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738666B-8001-4DDF-992A-4436D2A0D7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ilha1" sheetId="2" r:id="rId1"/>
    <sheet name="Carlos Alves" sheetId="5" r:id="rId2"/>
    <sheet name="Planilha5" sheetId="6" r:id="rId3"/>
    <sheet name="Meta Lallemand Sinop " sheetId="3" r:id="rId4"/>
    <sheet name="Planilha3" sheetId="4" r:id="rId5"/>
    <sheet name="Carteira Pedidos de Venda - 202" sheetId="1" r:id="rId6"/>
  </sheets>
  <definedNames>
    <definedName name="_xlnm._FilterDatabase" localSheetId="5" hidden="1">'Carteira Pedidos de Venda - 202'!$A$1:$W$2140</definedName>
  </definedNames>
  <calcPr calcId="181029"/>
  <pivotCaches>
    <pivotCache cacheId="184" r:id="rId7"/>
  </pivotCaches>
</workbook>
</file>

<file path=xl/calcChain.xml><?xml version="1.0" encoding="utf-8"?>
<calcChain xmlns="http://schemas.openxmlformats.org/spreadsheetml/2006/main">
  <c r="C3" i="6" l="1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" i="6"/>
  <c r="D3" i="4"/>
  <c r="D5" i="4"/>
  <c r="D6" i="4"/>
  <c r="D7" i="4"/>
  <c r="D8" i="4"/>
  <c r="D9" i="4"/>
  <c r="D10" i="4"/>
  <c r="D11" i="4"/>
  <c r="D12" i="4"/>
  <c r="D14" i="4"/>
  <c r="D15" i="4"/>
  <c r="D3" i="3"/>
  <c r="D4" i="3"/>
  <c r="D5" i="3"/>
  <c r="D6" i="3"/>
  <c r="D7" i="3"/>
  <c r="D8" i="3"/>
  <c r="D9" i="3"/>
  <c r="D10" i="3"/>
  <c r="D11" i="3"/>
  <c r="D12" i="3"/>
  <c r="D13" i="3"/>
  <c r="D2" i="3"/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" i="1"/>
</calcChain>
</file>

<file path=xl/sharedStrings.xml><?xml version="1.0" encoding="utf-8"?>
<sst xmlns="http://schemas.openxmlformats.org/spreadsheetml/2006/main" count="22274" uniqueCount="1501">
  <si>
    <t>Data da inserção</t>
  </si>
  <si>
    <t>Código do pedido de venda</t>
  </si>
  <si>
    <t>Razão social</t>
  </si>
  <si>
    <t>Réplica da data de emissão do pedido</t>
  </si>
  <si>
    <t>Data do vencimento do pedido</t>
  </si>
  <si>
    <t>Nome do vendedor 1</t>
  </si>
  <si>
    <t>Código do CFO</t>
  </si>
  <si>
    <t>Descrição do produto/serviço</t>
  </si>
  <si>
    <t>Unidade de medida</t>
  </si>
  <si>
    <t>Valor líquido do item (feito os rateios dos valores do fechamento do pedido)</t>
  </si>
  <si>
    <t>Número do pedido de origem</t>
  </si>
  <si>
    <t>Descrição Ciclo</t>
  </si>
  <si>
    <t>Quantidade pedida</t>
  </si>
  <si>
    <t>Quantidade entrada</t>
  </si>
  <si>
    <t>Quantidade Faturada</t>
  </si>
  <si>
    <t>Vencimento da parcela</t>
  </si>
  <si>
    <t>MUNIPRO</t>
  </si>
  <si>
    <t>CGC_TRA</t>
  </si>
  <si>
    <t>VLOR_IPE</t>
  </si>
  <si>
    <t>QPER_IPE</t>
  </si>
  <si>
    <t>AA AGRONEGOCIOS LTDA</t>
  </si>
  <si>
    <t>PEDRO FILIPE COELHO MAGALHAES</t>
  </si>
  <si>
    <t>510200</t>
  </si>
  <si>
    <t>VERDIVO MN ACTION 20 LT</t>
  </si>
  <si>
    <t>LT</t>
  </si>
  <si>
    <t>5532</t>
  </si>
  <si>
    <t>SAFRA 25/26</t>
  </si>
  <si>
    <t>NOVA UBIRATA</t>
  </si>
  <si>
    <t>42652916000176</t>
  </si>
  <si>
    <t>VERDIVO FIX COMONI 20 LT</t>
  </si>
  <si>
    <t>VERDIVO PRODUTIVO MZ 10 KG</t>
  </si>
  <si>
    <t>KG</t>
  </si>
  <si>
    <t>VERDIVO VERDMAX 20L</t>
  </si>
  <si>
    <t>VERDIVO BOROFORCE - 10 KG</t>
  </si>
  <si>
    <t>VERDIVO POTENZA K 10 KG</t>
  </si>
  <si>
    <t>VERDIVO EXACT 5 LT</t>
  </si>
  <si>
    <t>VERDIVO ATTACK SPRAY 5 LT</t>
  </si>
  <si>
    <t>VERDIVO COBRE EDTA 3 KG</t>
  </si>
  <si>
    <t>LALRISE AZOS - AZ39 3L</t>
  </si>
  <si>
    <t>5535</t>
  </si>
  <si>
    <t>RIZOS OG - 1 LT</t>
  </si>
  <si>
    <t>ONIX OG - 1 LT</t>
  </si>
  <si>
    <t>VERDIVO STAND 5 LT</t>
  </si>
  <si>
    <t>INOCULANTE STARFIX SOJA - 3 LT 1X10E10 UFC/ML</t>
  </si>
  <si>
    <t>QUALITY WG - 1 KG</t>
  </si>
  <si>
    <t>5534</t>
  </si>
  <si>
    <t>SAFRINHA 2026</t>
  </si>
  <si>
    <t>5808</t>
  </si>
  <si>
    <t>5814</t>
  </si>
  <si>
    <t>6027</t>
  </si>
  <si>
    <t>6098</t>
  </si>
  <si>
    <t>ADELIR ANTONIO STRAPAZZON</t>
  </si>
  <si>
    <t>LUCAS NADAL ANGELI</t>
  </si>
  <si>
    <t>FORTGREEN INVICTUS 1 LT</t>
  </si>
  <si>
    <t>83</t>
  </si>
  <si>
    <t>MARCELANDIA</t>
  </si>
  <si>
    <t>78405963987</t>
  </si>
  <si>
    <t>ADJUVANTE PROTANK RESOLVE 1 KG</t>
  </si>
  <si>
    <t>ADILSON FRANCISCO FISTAROL</t>
  </si>
  <si>
    <t>INOCULANTE LALFIX NITRO - 3 LT 1X10E10 UFC/ML</t>
  </si>
  <si>
    <t>9</t>
  </si>
  <si>
    <t>32524897168</t>
  </si>
  <si>
    <t>184</t>
  </si>
  <si>
    <t>LALSTOP ORGANIC WP - 1 KG</t>
  </si>
  <si>
    <t>488</t>
  </si>
  <si>
    <t>AGENOR VICENTE PELISSA</t>
  </si>
  <si>
    <t>CARLOS WILSON FERREIRA ALVES</t>
  </si>
  <si>
    <t>132</t>
  </si>
  <si>
    <t>SANTA CARMEM</t>
  </si>
  <si>
    <t>61472140982</t>
  </si>
  <si>
    <t>133</t>
  </si>
  <si>
    <t>UNIAO DO SUL</t>
  </si>
  <si>
    <t>VERDIVO ELYSIAN 1 LT</t>
  </si>
  <si>
    <t>141</t>
  </si>
  <si>
    <t>142</t>
  </si>
  <si>
    <t>CRYSTAL - 1 LT</t>
  </si>
  <si>
    <t>437</t>
  </si>
  <si>
    <t>383</t>
  </si>
  <si>
    <t>AGNALDO JOSE SANTANA</t>
  </si>
  <si>
    <t>VENDEDOR - LOJA SRS</t>
  </si>
  <si>
    <t>COUNTER - 15 KG</t>
  </si>
  <si>
    <t>5622</t>
  </si>
  <si>
    <t>TERRA NOVA DO NORTE</t>
  </si>
  <si>
    <t>57663246934</t>
  </si>
  <si>
    <t>AGRO PECUARIA TIJUCO PRETO LTDA</t>
  </si>
  <si>
    <t>PEDRO DIAS DA SILVA NETO</t>
  </si>
  <si>
    <t>5931</t>
  </si>
  <si>
    <t>24725368000185</t>
  </si>
  <si>
    <t>AGROGERMINAR SOLUCOES AGRICOLAS LTDA</t>
  </si>
  <si>
    <t>FORTGREEN FG PRODUCAO MAIS 10 KG</t>
  </si>
  <si>
    <t>5760</t>
  </si>
  <si>
    <t>41885372000120</t>
  </si>
  <si>
    <t>LALGUARD C99 WP (BR) - 1 KG</t>
  </si>
  <si>
    <t>5818</t>
  </si>
  <si>
    <t>5912</t>
  </si>
  <si>
    <t>5925</t>
  </si>
  <si>
    <t>FORTGREEN LI700 5 LT</t>
  </si>
  <si>
    <t>AGROPECUARIA GUBERT LTDA</t>
  </si>
  <si>
    <t>DIOGO PEREIRA SILVA</t>
  </si>
  <si>
    <t>5684</t>
  </si>
  <si>
    <t>46697506000283</t>
  </si>
  <si>
    <t>LALNIX RESIST - 1 KG</t>
  </si>
  <si>
    <t>5757</t>
  </si>
  <si>
    <t>ISABELA DALL APRIA</t>
  </si>
  <si>
    <t>CALTIMAG+SB CALTIM</t>
  </si>
  <si>
    <t>TON</t>
  </si>
  <si>
    <t>5771</t>
  </si>
  <si>
    <t>BOUVERIZ WP - 1 KG</t>
  </si>
  <si>
    <t>5705</t>
  </si>
  <si>
    <t>VOLANT Q-LATOP ZN 25 KG</t>
  </si>
  <si>
    <t>6126</t>
  </si>
  <si>
    <t>ALAN MATEUS FAITA WELTER</t>
  </si>
  <si>
    <t>HIGOR RICARDO GONCALVES</t>
  </si>
  <si>
    <t>5440</t>
  </si>
  <si>
    <t>03565667141</t>
  </si>
  <si>
    <t>ALBINO PERIN</t>
  </si>
  <si>
    <t>5627</t>
  </si>
  <si>
    <t>VERA</t>
  </si>
  <si>
    <t>14201720934</t>
  </si>
  <si>
    <t>ALDERICO POLITTA E OUTRA</t>
  </si>
  <si>
    <t>FORTGREEN MN STABILE 25 LT</t>
  </si>
  <si>
    <t>5557</t>
  </si>
  <si>
    <t>78709776915</t>
  </si>
  <si>
    <t>ALERI LUIZ CANAN</t>
  </si>
  <si>
    <t>4875</t>
  </si>
  <si>
    <t>SINOP</t>
  </si>
  <si>
    <t>43526640068</t>
  </si>
  <si>
    <t>4874</t>
  </si>
  <si>
    <t>5164</t>
  </si>
  <si>
    <t>5163</t>
  </si>
  <si>
    <t>FORTGREEN TOP ZERO 1 LT</t>
  </si>
  <si>
    <t>VERDIVO OFF ESPUMA 1 LT</t>
  </si>
  <si>
    <t>151</t>
  </si>
  <si>
    <t>ALEX DA VEIGA</t>
  </si>
  <si>
    <t>CALTIMAG+B CALTIM</t>
  </si>
  <si>
    <t>5147</t>
  </si>
  <si>
    <t>CLAUDIA</t>
  </si>
  <si>
    <t>87072300104</t>
  </si>
  <si>
    <t>ALEXANDRE EDUARDO KASPER E OUTRO</t>
  </si>
  <si>
    <t>5631</t>
  </si>
  <si>
    <t>MATUPA</t>
  </si>
  <si>
    <t>07239968901</t>
  </si>
  <si>
    <t>ALEXANDRE GAZIERO</t>
  </si>
  <si>
    <t>ARI BITTAR</t>
  </si>
  <si>
    <t>5767</t>
  </si>
  <si>
    <t>IPIRANGA DO NORTE</t>
  </si>
  <si>
    <t>97186384153</t>
  </si>
  <si>
    <t>3999</t>
  </si>
  <si>
    <t>VERDIVO DROP GUARD 5L</t>
  </si>
  <si>
    <t>ALEXANDRE LAIER</t>
  </si>
  <si>
    <t>5435</t>
  </si>
  <si>
    <t>SORRISO</t>
  </si>
  <si>
    <t>88483800187</t>
  </si>
  <si>
    <t>5434</t>
  </si>
  <si>
    <t>5583</t>
  </si>
  <si>
    <t>5585</t>
  </si>
  <si>
    <t>5887</t>
  </si>
  <si>
    <t>5889</t>
  </si>
  <si>
    <t>5896</t>
  </si>
  <si>
    <t>ALEXANDRO LERMEN</t>
  </si>
  <si>
    <t>5342</t>
  </si>
  <si>
    <t>71965025153</t>
  </si>
  <si>
    <t>INOC. NODUSOJA ELKANI - 3 LT</t>
  </si>
  <si>
    <t>5688</t>
  </si>
  <si>
    <t>5636</t>
  </si>
  <si>
    <t>5637</t>
  </si>
  <si>
    <t>5638</t>
  </si>
  <si>
    <t>5639</t>
  </si>
  <si>
    <t>5676</t>
  </si>
  <si>
    <t>5687</t>
  </si>
  <si>
    <t>VERDIVO BORO10 IBC 1000LT</t>
  </si>
  <si>
    <t>INOC. NODUSOJA BIOLYC L - 3 LT 7,5X10E9 UFC/ML</t>
  </si>
  <si>
    <t>5730</t>
  </si>
  <si>
    <t>FORTGREEN MAGIC OIL 25 LT</t>
  </si>
  <si>
    <t>5772</t>
  </si>
  <si>
    <t>5821</t>
  </si>
  <si>
    <t>FORTGREEN MAGIC OIL 5 LT</t>
  </si>
  <si>
    <t>VERDIVO BORO10 - 20L</t>
  </si>
  <si>
    <t>5837</t>
  </si>
  <si>
    <t>VERDIVO SULFATO DE MAGNESIO 25 KG</t>
  </si>
  <si>
    <t>5847</t>
  </si>
  <si>
    <t>VERDIVO AATIVUS 20 LT</t>
  </si>
  <si>
    <t>5911</t>
  </si>
  <si>
    <t>ALEXSANDRO GAZIERO</t>
  </si>
  <si>
    <t>3988</t>
  </si>
  <si>
    <t>00710405103</t>
  </si>
  <si>
    <t>MANCOZIN 10LT</t>
  </si>
  <si>
    <t>3989</t>
  </si>
  <si>
    <t>VERDIVO MN EDTA 10 KG</t>
  </si>
  <si>
    <t>5459</t>
  </si>
  <si>
    <t>VERNO - 10 KG</t>
  </si>
  <si>
    <t>VERDIVO PRODUTIVO - 10 KG</t>
  </si>
  <si>
    <t>VERDIVO MAGLEAF 20 LT</t>
  </si>
  <si>
    <t>FORTGREEN FGPHOTONSD 10KG</t>
  </si>
  <si>
    <t>3998</t>
  </si>
  <si>
    <t>5411</t>
  </si>
  <si>
    <t>5683</t>
  </si>
  <si>
    <t>5698</t>
  </si>
  <si>
    <t>5671</t>
  </si>
  <si>
    <t>5865</t>
  </si>
  <si>
    <t>5864</t>
  </si>
  <si>
    <t>LALSTIM NUTRI 20LT</t>
  </si>
  <si>
    <t>5866</t>
  </si>
  <si>
    <t>VERDIVO ELYVER 10 LT</t>
  </si>
  <si>
    <t>5927</t>
  </si>
  <si>
    <t>5867</t>
  </si>
  <si>
    <t>5869</t>
  </si>
  <si>
    <t>FUNGIPROTECT POCHONIA 1LT</t>
  </si>
  <si>
    <t>6003</t>
  </si>
  <si>
    <t>6021</t>
  </si>
  <si>
    <t>6034</t>
  </si>
  <si>
    <t>6060</t>
  </si>
  <si>
    <t>6067</t>
  </si>
  <si>
    <t>ALTAMIR CAPPELLARI E OUTRO</t>
  </si>
  <si>
    <t>5872</t>
  </si>
  <si>
    <t>29297087191</t>
  </si>
  <si>
    <t>ALUIZIO FERNANDES DE OLIVEIRA</t>
  </si>
  <si>
    <t>5944</t>
  </si>
  <si>
    <t>BOA ESPERANÇA DO NORTE</t>
  </si>
  <si>
    <t>03282038909</t>
  </si>
  <si>
    <t>5943</t>
  </si>
  <si>
    <t>5947</t>
  </si>
  <si>
    <t>5948</t>
  </si>
  <si>
    <t>ALYNE MARLA AGASSI E OUTROS</t>
  </si>
  <si>
    <t>5796</t>
  </si>
  <si>
    <t>PARANATINGA</t>
  </si>
  <si>
    <t>05517775918</t>
  </si>
  <si>
    <t>5959</t>
  </si>
  <si>
    <t>AMAURI LIBICH</t>
  </si>
  <si>
    <t>5919</t>
  </si>
  <si>
    <t>FELIZ NATAL</t>
  </si>
  <si>
    <t>53118510153</t>
  </si>
  <si>
    <t>ANA CRISTINA FREITAS RUST</t>
  </si>
  <si>
    <t>REVERS - 1 KG</t>
  </si>
  <si>
    <t>6043</t>
  </si>
  <si>
    <t>57683123668</t>
  </si>
  <si>
    <t>ANA LAURA NEIS CESCONETTO</t>
  </si>
  <si>
    <t>5536</t>
  </si>
  <si>
    <t>03596351138</t>
  </si>
  <si>
    <t>5537</t>
  </si>
  <si>
    <t>5726</t>
  </si>
  <si>
    <t>5838</t>
  </si>
  <si>
    <t>ANDERSON LUIZ WILLE</t>
  </si>
  <si>
    <t>5046</t>
  </si>
  <si>
    <t>04714155962</t>
  </si>
  <si>
    <t>5441</t>
  </si>
  <si>
    <t>ANDRE DIOGO DALBEN</t>
  </si>
  <si>
    <t>LUIS ANTONIO MAMENTE FILHO</t>
  </si>
  <si>
    <t>FORTGREEN RESOLVE DUO 5 LT</t>
  </si>
  <si>
    <t>5758</t>
  </si>
  <si>
    <t>00189784105</t>
  </si>
  <si>
    <t>ANDRE SICHIERI FERNANDES</t>
  </si>
  <si>
    <t>5528</t>
  </si>
  <si>
    <t>05330992931</t>
  </si>
  <si>
    <t>5529</t>
  </si>
  <si>
    <t>5530</t>
  </si>
  <si>
    <t>5812</t>
  </si>
  <si>
    <t>6001</t>
  </si>
  <si>
    <t>VERDIVO NITROVERD IBC 1.000 LT</t>
  </si>
  <si>
    <t>6091</t>
  </si>
  <si>
    <t>6116</t>
  </si>
  <si>
    <t>ANDREI DIETRICH</t>
  </si>
  <si>
    <t>5142</t>
  </si>
  <si>
    <t>TABAPORA</t>
  </si>
  <si>
    <t>04773324988</t>
  </si>
  <si>
    <t>115</t>
  </si>
  <si>
    <t>119</t>
  </si>
  <si>
    <t>121</t>
  </si>
  <si>
    <t>OPENEEM VALENTE 20 LT</t>
  </si>
  <si>
    <t>160</t>
  </si>
  <si>
    <t>438</t>
  </si>
  <si>
    <t>ANGELA CARDOSO BATISTA</t>
  </si>
  <si>
    <t>FORTGREEN FG MATURACAO 20KG</t>
  </si>
  <si>
    <t>5065</t>
  </si>
  <si>
    <t>NOVA SANTA HELENA</t>
  </si>
  <si>
    <t>75995387120</t>
  </si>
  <si>
    <t>FORTGREEN FG MATURACAO 10 KG</t>
  </si>
  <si>
    <t>FORTGREEN SEED DRY NI 1 KG</t>
  </si>
  <si>
    <t>FORTGREEN PHYSIOCROP FULL 20 LT</t>
  </si>
  <si>
    <t>FORTGREEN SEED DRY NI 5 KG</t>
  </si>
  <si>
    <t>FORTGREEN PHYSIOCROP FULL 5 LT</t>
  </si>
  <si>
    <t>FORTGREEN FGPHOTONSD 5KG</t>
  </si>
  <si>
    <t>99</t>
  </si>
  <si>
    <t>ANGELA MARIA BEAL</t>
  </si>
  <si>
    <t>5168</t>
  </si>
  <si>
    <t>68867212168</t>
  </si>
  <si>
    <t>122</t>
  </si>
  <si>
    <t>ANGELO CAVALLI</t>
  </si>
  <si>
    <t>5150</t>
  </si>
  <si>
    <t>09221631974</t>
  </si>
  <si>
    <t>ANISIO BIRK</t>
  </si>
  <si>
    <t>5130</t>
  </si>
  <si>
    <t>24107050904</t>
  </si>
  <si>
    <t>157</t>
  </si>
  <si>
    <t>473</t>
  </si>
  <si>
    <t>ANTONIO LEUCIR MASCARELLO</t>
  </si>
  <si>
    <t>5480</t>
  </si>
  <si>
    <t>00587893915</t>
  </si>
  <si>
    <t>5481</t>
  </si>
  <si>
    <t>5482</t>
  </si>
  <si>
    <t>5483</t>
  </si>
  <si>
    <t>5630</t>
  </si>
  <si>
    <t>5647</t>
  </si>
  <si>
    <t>5728</t>
  </si>
  <si>
    <t>5909</t>
  </si>
  <si>
    <t>5913</t>
  </si>
  <si>
    <t>6105</t>
  </si>
  <si>
    <t>393</t>
  </si>
  <si>
    <t>6125</t>
  </si>
  <si>
    <t>ANTONIO LOURIVAL MACHADO DE MENEZES E OUTRO</t>
  </si>
  <si>
    <t>5069</t>
  </si>
  <si>
    <t>COLIDER</t>
  </si>
  <si>
    <t>28158717934</t>
  </si>
  <si>
    <t>5070</t>
  </si>
  <si>
    <t>FORTGREEN BORO FLAME 10 KG</t>
  </si>
  <si>
    <t>88</t>
  </si>
  <si>
    <t>188</t>
  </si>
  <si>
    <t>192</t>
  </si>
  <si>
    <t>477</t>
  </si>
  <si>
    <t>ANTONIO MARCOS PRATES</t>
  </si>
  <si>
    <t>5568</t>
  </si>
  <si>
    <t>06855036902</t>
  </si>
  <si>
    <t>5903</t>
  </si>
  <si>
    <t>5904</t>
  </si>
  <si>
    <t>VENDEDOR - LOJA SNP</t>
  </si>
  <si>
    <t>76</t>
  </si>
  <si>
    <t>451</t>
  </si>
  <si>
    <t>452</t>
  </si>
  <si>
    <t>FORTGREEN DRIVE 5 LT</t>
  </si>
  <si>
    <t>459</t>
  </si>
  <si>
    <t>460</t>
  </si>
  <si>
    <t>461</t>
  </si>
  <si>
    <t>ANDERSON CUNHA DA COSTA</t>
  </si>
  <si>
    <t>380</t>
  </si>
  <si>
    <t>ARIOLANDO BORGES DE RESENDE E OUTROS</t>
  </si>
  <si>
    <t>APL TROPPOIL 25 LT</t>
  </si>
  <si>
    <t>123</t>
  </si>
  <si>
    <t>PEIXOTO DE AZEVEDO</t>
  </si>
  <si>
    <t>05550998220</t>
  </si>
  <si>
    <t>ZOM OLEO MINERAL 20 LT</t>
  </si>
  <si>
    <t>ARTHUR VINHOLIS SIMIONI</t>
  </si>
  <si>
    <t>5628</t>
  </si>
  <si>
    <t>NOBRES</t>
  </si>
  <si>
    <t>41450198813</t>
  </si>
  <si>
    <t>BIOFARM AGROINDUSTRIA LTDA</t>
  </si>
  <si>
    <t>5621</t>
  </si>
  <si>
    <t>51585579001104</t>
  </si>
  <si>
    <t>BIOTECH AGRO LTDA</t>
  </si>
  <si>
    <t>FORTGREEN MOLIBDENIO 15 5 LT</t>
  </si>
  <si>
    <t>52</t>
  </si>
  <si>
    <t>32562073000163</t>
  </si>
  <si>
    <t>5815</t>
  </si>
  <si>
    <t>BRUNO CESAR SIMONETTI LIMA</t>
  </si>
  <si>
    <t>5057</t>
  </si>
  <si>
    <t>03975343109</t>
  </si>
  <si>
    <t>FORTGREEN NI EDTA 10 KG</t>
  </si>
  <si>
    <t>FORTGREEN MAGGREEN 25 LT</t>
  </si>
  <si>
    <t>5</t>
  </si>
  <si>
    <t>FORTGREEN NITRO 32 25 LT</t>
  </si>
  <si>
    <t>476</t>
  </si>
  <si>
    <t>483</t>
  </si>
  <si>
    <t>BRUNO ROBERTO QUIROGA</t>
  </si>
  <si>
    <t>AGENCIADOR 01</t>
  </si>
  <si>
    <t>5324</t>
  </si>
  <si>
    <t>PORTO DOS GAUCHOS</t>
  </si>
  <si>
    <t>71799613100</t>
  </si>
  <si>
    <t>5351</t>
  </si>
  <si>
    <t>CARLA CELLA PRADO DA SILVA</t>
  </si>
  <si>
    <t>5538</t>
  </si>
  <si>
    <t>02733993909</t>
  </si>
  <si>
    <t>5539</t>
  </si>
  <si>
    <t>NOVA MUTUM</t>
  </si>
  <si>
    <t>5914</t>
  </si>
  <si>
    <t>5915</t>
  </si>
  <si>
    <t>6015</t>
  </si>
  <si>
    <t>5706</t>
  </si>
  <si>
    <t>CARLIN COELHO DE AZEVEDO</t>
  </si>
  <si>
    <t>F1RST INOC. QUESTDUON 5 LT</t>
  </si>
  <si>
    <t>5558</t>
  </si>
  <si>
    <t>99162466100</t>
  </si>
  <si>
    <t>F1RST INOC. SOJA QUESTXTRANOD 5 LT</t>
  </si>
  <si>
    <t>F1RST ROYAL TANUS 1 KG</t>
  </si>
  <si>
    <t>CARLOS ANTONIO DE SA BRITO</t>
  </si>
  <si>
    <t>5378</t>
  </si>
  <si>
    <t>43939295000</t>
  </si>
  <si>
    <t>CARLOS HENRIQUE MOREIRA ALVES</t>
  </si>
  <si>
    <t>4871</t>
  </si>
  <si>
    <t>01060583127</t>
  </si>
  <si>
    <t>CASSIANO LUIS DAMIANI</t>
  </si>
  <si>
    <t>5566</t>
  </si>
  <si>
    <t>92081908034</t>
  </si>
  <si>
    <t>5819</t>
  </si>
  <si>
    <t>6012</t>
  </si>
  <si>
    <t>6113</t>
  </si>
  <si>
    <t>CELSO LUIZ SORGATTO</t>
  </si>
  <si>
    <t>5601</t>
  </si>
  <si>
    <t>60456540997</t>
  </si>
  <si>
    <t>CENTRO DA MATA - AGRICULTURA, PECUARIA E COMERCIO LTDA</t>
  </si>
  <si>
    <t>5448</t>
  </si>
  <si>
    <t>20544304000127</t>
  </si>
  <si>
    <t>CHRISTIAN MENDES</t>
  </si>
  <si>
    <t>5258</t>
  </si>
  <si>
    <t>00017889146</t>
  </si>
  <si>
    <t>CLAUDEMIR MINATTO</t>
  </si>
  <si>
    <t>106</t>
  </si>
  <si>
    <t>ITANHANGA</t>
  </si>
  <si>
    <t>01937453995</t>
  </si>
  <si>
    <t>CLAUDIR ANTONIO DAMIANI</t>
  </si>
  <si>
    <t>5563</t>
  </si>
  <si>
    <t>30746043015</t>
  </si>
  <si>
    <t>0021</t>
  </si>
  <si>
    <t>CLEBER DE ALMEIDA</t>
  </si>
  <si>
    <t>5382</t>
  </si>
  <si>
    <t>01172373108</t>
  </si>
  <si>
    <t>CLEDEMIR LUIS MOCELINI</t>
  </si>
  <si>
    <t>5773</t>
  </si>
  <si>
    <t>63313995004</t>
  </si>
  <si>
    <t>CLEDIR JOSE FIABANE</t>
  </si>
  <si>
    <t>DANIEL XAVIER SOARES JUNIOR</t>
  </si>
  <si>
    <t>248</t>
  </si>
  <si>
    <t>48887307172</t>
  </si>
  <si>
    <t>CLEMENTINO JOSE PRESSI</t>
  </si>
  <si>
    <t>5573</t>
  </si>
  <si>
    <t>34911634987</t>
  </si>
  <si>
    <t>CLEURI ANTONIO SANDRI</t>
  </si>
  <si>
    <t>4851</t>
  </si>
  <si>
    <t>66819407068</t>
  </si>
  <si>
    <t>CLEVERSON EMILIO GNANN</t>
  </si>
  <si>
    <t>423</t>
  </si>
  <si>
    <t>NOVO MUNDO</t>
  </si>
  <si>
    <t>02071043952</t>
  </si>
  <si>
    <t>COACEN - COOPERATIVA AGROPECUARIA E INDUSTRIAL CELEIRO DO NORT</t>
  </si>
  <si>
    <t>5614</t>
  </si>
  <si>
    <t>07572351000116</t>
  </si>
  <si>
    <t>5810</t>
  </si>
  <si>
    <t>5846</t>
  </si>
  <si>
    <t>5908</t>
  </si>
  <si>
    <t>6020</t>
  </si>
  <si>
    <t>COOPERATIVA AGROINDUSTRIAL VALE DO AZUL - COOAZUL</t>
  </si>
  <si>
    <t>VOLANT MANGANES SC 25KG</t>
  </si>
  <si>
    <t>6151</t>
  </si>
  <si>
    <t>21567370000266</t>
  </si>
  <si>
    <t>5131</t>
  </si>
  <si>
    <t>5134</t>
  </si>
  <si>
    <t>5149</t>
  </si>
  <si>
    <t>101</t>
  </si>
  <si>
    <t>114</t>
  </si>
  <si>
    <t>86</t>
  </si>
  <si>
    <t>174</t>
  </si>
  <si>
    <t>474</t>
  </si>
  <si>
    <t>126</t>
  </si>
  <si>
    <t>127</t>
  </si>
  <si>
    <t>128</t>
  </si>
  <si>
    <t>434</t>
  </si>
  <si>
    <t>COOPERATIVA AGROPECUARIA MISTA BOA ESPERANCA LTDA - COAMBE</t>
  </si>
  <si>
    <t>5379</t>
  </si>
  <si>
    <t>36891034000160</t>
  </si>
  <si>
    <t>5784</t>
  </si>
  <si>
    <t>DALTRO ANTONIO FERRAZZO</t>
  </si>
  <si>
    <t>5450</t>
  </si>
  <si>
    <t>62104012953</t>
  </si>
  <si>
    <t>5572</t>
  </si>
  <si>
    <t>5576</t>
  </si>
  <si>
    <t>5595</t>
  </si>
  <si>
    <t>5878</t>
  </si>
  <si>
    <t>5884</t>
  </si>
  <si>
    <t>5885</t>
  </si>
  <si>
    <t>6023</t>
  </si>
  <si>
    <t>CRYSTAL - 5 LT</t>
  </si>
  <si>
    <t>5886</t>
  </si>
  <si>
    <t>5892</t>
  </si>
  <si>
    <t>INOC. NODUSOJA NODUBEANS L FEIJAO 3 LT</t>
  </si>
  <si>
    <t>DANIEL SCHALM</t>
  </si>
  <si>
    <t>5113</t>
  </si>
  <si>
    <t>07616241980</t>
  </si>
  <si>
    <t>DANILO PECIM DALE LUCHE</t>
  </si>
  <si>
    <t>5540</t>
  </si>
  <si>
    <t>JUINA</t>
  </si>
  <si>
    <t>02345776145</t>
  </si>
  <si>
    <t>6007</t>
  </si>
  <si>
    <t>DARCI TIRLONI</t>
  </si>
  <si>
    <t>5123</t>
  </si>
  <si>
    <t>33150842034</t>
  </si>
  <si>
    <t>DAVI SILVEIRA PIOVEZAN</t>
  </si>
  <si>
    <t>610200</t>
  </si>
  <si>
    <t>5174</t>
  </si>
  <si>
    <t>NOVO PROGRESSO</t>
  </si>
  <si>
    <t>06307262133</t>
  </si>
  <si>
    <t>153</t>
  </si>
  <si>
    <t>DEFENDER INSUMOS AGRICOLAS LTDA</t>
  </si>
  <si>
    <t>6100</t>
  </si>
  <si>
    <t>47875139000142</t>
  </si>
  <si>
    <t>DEISE CRISTINA BISSONI SACHETTI E OUTROS</t>
  </si>
  <si>
    <t>5329</t>
  </si>
  <si>
    <t>GAUCHA DO NORTE</t>
  </si>
  <si>
    <t>01882114116</t>
  </si>
  <si>
    <t>512011</t>
  </si>
  <si>
    <t>BIOPROTECTOR - 3L</t>
  </si>
  <si>
    <t>DEISE TASSIANA MARCHIORO PRATES</t>
  </si>
  <si>
    <t>237</t>
  </si>
  <si>
    <t>01864619171</t>
  </si>
  <si>
    <t>DEOMIR JOAO PRIMON</t>
  </si>
  <si>
    <t>CALTIMAG CALTIM</t>
  </si>
  <si>
    <t>4852</t>
  </si>
  <si>
    <t>49205188972</t>
  </si>
  <si>
    <t>DIEGO SABINO SAUER</t>
  </si>
  <si>
    <t>376</t>
  </si>
  <si>
    <t>06121964103</t>
  </si>
  <si>
    <t>DIELLISON LUIZ SILVA</t>
  </si>
  <si>
    <t>3</t>
  </si>
  <si>
    <t>03171481170</t>
  </si>
  <si>
    <t>179</t>
  </si>
  <si>
    <t>180</t>
  </si>
  <si>
    <t>183</t>
  </si>
  <si>
    <t>190</t>
  </si>
  <si>
    <t>487</t>
  </si>
  <si>
    <t>DIOGO DAMIANI</t>
  </si>
  <si>
    <t>480</t>
  </si>
  <si>
    <t>03520707144</t>
  </si>
  <si>
    <t>VERDIVO PHOTOMIX 10KG</t>
  </si>
  <si>
    <t>EDNO VALMOR CORTEZIA</t>
  </si>
  <si>
    <t>5175</t>
  </si>
  <si>
    <t>50391402153</t>
  </si>
  <si>
    <t>EDSSON EMILIO PALUDO</t>
  </si>
  <si>
    <t>5574</t>
  </si>
  <si>
    <t>05242630949</t>
  </si>
  <si>
    <t>5882</t>
  </si>
  <si>
    <t>EDUARDO ANTONELLI SPAK</t>
  </si>
  <si>
    <t>470</t>
  </si>
  <si>
    <t>06227541141</t>
  </si>
  <si>
    <t>EDUARDO PICCINI E OUTROS</t>
  </si>
  <si>
    <t>5875</t>
  </si>
  <si>
    <t>LUCAS DO RIO VERDE</t>
  </si>
  <si>
    <t>89472063187</t>
  </si>
  <si>
    <t>5983</t>
  </si>
  <si>
    <t>6053</t>
  </si>
  <si>
    <t>6055</t>
  </si>
  <si>
    <t>6065</t>
  </si>
  <si>
    <t>ELEANDRO CESAR CASSOL</t>
  </si>
  <si>
    <t>5155</t>
  </si>
  <si>
    <t>82819866115</t>
  </si>
  <si>
    <t>ELIO SAUER</t>
  </si>
  <si>
    <t>5165</t>
  </si>
  <si>
    <t>32777566100</t>
  </si>
  <si>
    <t>5167</t>
  </si>
  <si>
    <t>SEM. DE MILHO BM 990 VIP3 + TRAT FORTIS BB</t>
  </si>
  <si>
    <t>SC</t>
  </si>
  <si>
    <t>124</t>
  </si>
  <si>
    <t>ATRAZINA 900 WG ATRAER 10 KG</t>
  </si>
  <si>
    <t>147</t>
  </si>
  <si>
    <t>439</t>
  </si>
  <si>
    <t>448</t>
  </si>
  <si>
    <t>ELVIO FERNANDO PELISSA</t>
  </si>
  <si>
    <t>4873</t>
  </si>
  <si>
    <t>01730387942</t>
  </si>
  <si>
    <t>4872</t>
  </si>
  <si>
    <t>135</t>
  </si>
  <si>
    <t>429</t>
  </si>
  <si>
    <t>436</t>
  </si>
  <si>
    <t>METOMIL 215 SL - CHDS 20 LT</t>
  </si>
  <si>
    <t>442</t>
  </si>
  <si>
    <t>EMERSON RODRIGO DOS SANTOS</t>
  </si>
  <si>
    <t>131</t>
  </si>
  <si>
    <t>05531478119</t>
  </si>
  <si>
    <t>EUGENIO GIACHINI NETO</t>
  </si>
  <si>
    <t>5204</t>
  </si>
  <si>
    <t>34571485972</t>
  </si>
  <si>
    <t>5203</t>
  </si>
  <si>
    <t>5221</t>
  </si>
  <si>
    <t>246</t>
  </si>
  <si>
    <t>FORTGREEN PLENONSD 10 KG</t>
  </si>
  <si>
    <t>98</t>
  </si>
  <si>
    <t>456</t>
  </si>
  <si>
    <t>418</t>
  </si>
  <si>
    <t>422</t>
  </si>
  <si>
    <t>425</t>
  </si>
  <si>
    <t>5241</t>
  </si>
  <si>
    <t>FABIANO NICHELE</t>
  </si>
  <si>
    <t>4410</t>
  </si>
  <si>
    <t>84117508172</t>
  </si>
  <si>
    <t>5646</t>
  </si>
  <si>
    <t>FABIO JULIO CARNEIRO</t>
  </si>
  <si>
    <t>5905</t>
  </si>
  <si>
    <t>96806222153</t>
  </si>
  <si>
    <t>FABIO LAIER</t>
  </si>
  <si>
    <t>5442</t>
  </si>
  <si>
    <t>55504280168</t>
  </si>
  <si>
    <t>FABIO LUIS BRATZ</t>
  </si>
  <si>
    <t>5555</t>
  </si>
  <si>
    <t>79901069149</t>
  </si>
  <si>
    <t>FABRICIO KLEYTON BERNARDI COELHO PORTILHO</t>
  </si>
  <si>
    <t>5620</t>
  </si>
  <si>
    <t>66762014100</t>
  </si>
  <si>
    <t>5619</t>
  </si>
  <si>
    <t>SAO JOSE DO RIO CLARO</t>
  </si>
  <si>
    <t>5985</t>
  </si>
  <si>
    <t>FAGNER CARLOTT</t>
  </si>
  <si>
    <t>FORTGREEN PODLOCK 5 LT</t>
  </si>
  <si>
    <t>5562</t>
  </si>
  <si>
    <t>99739070191</t>
  </si>
  <si>
    <t>BIFENTRINA 400 EC - ALVOFIX 1 LT</t>
  </si>
  <si>
    <t>5643</t>
  </si>
  <si>
    <t>BIFENTRINA 400 EC - ALVOFIX 5 LT</t>
  </si>
  <si>
    <t>5826</t>
  </si>
  <si>
    <t>5840</t>
  </si>
  <si>
    <t>6016</t>
  </si>
  <si>
    <t>6033</t>
  </si>
  <si>
    <t>6081</t>
  </si>
  <si>
    <t>6101</t>
  </si>
  <si>
    <t>6111</t>
  </si>
  <si>
    <t>FELIPE AUGUSTO GRIEBLER</t>
  </si>
  <si>
    <t>152</t>
  </si>
  <si>
    <t>69796769115</t>
  </si>
  <si>
    <t>163</t>
  </si>
  <si>
    <t>FORTGREEN SULPER 5 LT</t>
  </si>
  <si>
    <t>471</t>
  </si>
  <si>
    <t>FELIX RECHMANN</t>
  </si>
  <si>
    <t>5255</t>
  </si>
  <si>
    <t>01880153106</t>
  </si>
  <si>
    <t>FERNANDO BEDIN</t>
  </si>
  <si>
    <t>6006</t>
  </si>
  <si>
    <t>87899566134</t>
  </si>
  <si>
    <t>FERNANDO HERRMANN</t>
  </si>
  <si>
    <t>447</t>
  </si>
  <si>
    <t>00674597141</t>
  </si>
  <si>
    <t>FERNANDO LUIS STOFFEL</t>
  </si>
  <si>
    <t>5234</t>
  </si>
  <si>
    <t>02598136993</t>
  </si>
  <si>
    <t>415</t>
  </si>
  <si>
    <t>384</t>
  </si>
  <si>
    <t>FERNANDO PRANTE E OUTROS</t>
  </si>
  <si>
    <t>6017</t>
  </si>
  <si>
    <t>03140565135</t>
  </si>
  <si>
    <t>GABRIEL HENRIQUE PINHEIRO ANDRADE</t>
  </si>
  <si>
    <t>5073</t>
  </si>
  <si>
    <t>05102238183</t>
  </si>
  <si>
    <t>GENIVAL MARCON</t>
  </si>
  <si>
    <t>WESLEY  CARLOS GOMES BAUER</t>
  </si>
  <si>
    <t>5408</t>
  </si>
  <si>
    <t>27608662972</t>
  </si>
  <si>
    <t>GERSON ANTONIO MAURINA E OUTROS</t>
  </si>
  <si>
    <t>5586</t>
  </si>
  <si>
    <t>ITAUBA</t>
  </si>
  <si>
    <t>59499583149</t>
  </si>
  <si>
    <t>5588</t>
  </si>
  <si>
    <t>5593</t>
  </si>
  <si>
    <t>5877</t>
  </si>
  <si>
    <t>5876</t>
  </si>
  <si>
    <t>5883</t>
  </si>
  <si>
    <t>5890</t>
  </si>
  <si>
    <t>6097</t>
  </si>
  <si>
    <t>GETULIO FARIAS</t>
  </si>
  <si>
    <t>5138</t>
  </si>
  <si>
    <t>47413255120</t>
  </si>
  <si>
    <t>GIANCARLOS BAVARESCO E OUTROS</t>
  </si>
  <si>
    <t>5901</t>
  </si>
  <si>
    <t>73501867034</t>
  </si>
  <si>
    <t>GILMAR POLAZZO</t>
  </si>
  <si>
    <t>5789</t>
  </si>
  <si>
    <t>77977572915</t>
  </si>
  <si>
    <t>FORTGREEN BORO 10 25 LT</t>
  </si>
  <si>
    <t>5791</t>
  </si>
  <si>
    <t>5798</t>
  </si>
  <si>
    <t>5953</t>
  </si>
  <si>
    <t>6030</t>
  </si>
  <si>
    <t>5970</t>
  </si>
  <si>
    <t>6121</t>
  </si>
  <si>
    <t>GIORDANO DAL RIO DE FREITAS</t>
  </si>
  <si>
    <t>ALTAMIRA</t>
  </si>
  <si>
    <t>12110642807</t>
  </si>
  <si>
    <t>96</t>
  </si>
  <si>
    <t>VERDIVO DROP GUARD 1L</t>
  </si>
  <si>
    <t>ADJUVANTE REMOUVER 5 LT</t>
  </si>
  <si>
    <t>136</t>
  </si>
  <si>
    <t>GIVAN WILSON AMORIM LEAL E OUTROS</t>
  </si>
  <si>
    <t>427</t>
  </si>
  <si>
    <t>80956939104</t>
  </si>
  <si>
    <t>CALTIMAG+S CALTIM</t>
  </si>
  <si>
    <t>CALTIMAG+SZN CALTIM</t>
  </si>
  <si>
    <t>GLACSTONE CARAMORI</t>
  </si>
  <si>
    <t>5443</t>
  </si>
  <si>
    <t>69404070904</t>
  </si>
  <si>
    <t>VERDIVO EXACT 1 LT</t>
  </si>
  <si>
    <t>5437</t>
  </si>
  <si>
    <t>5438</t>
  </si>
  <si>
    <t>5598</t>
  </si>
  <si>
    <t>5879</t>
  </si>
  <si>
    <t>5880</t>
  </si>
  <si>
    <t>GRAO BRASIL AGRONEGOCIOS LTDA</t>
  </si>
  <si>
    <t>103</t>
  </si>
  <si>
    <t>42722513000237</t>
  </si>
  <si>
    <t>INOC. NODUSOJA TURFOSO - 0,8 GR 6X10E9 UFC/G</t>
  </si>
  <si>
    <t>105</t>
  </si>
  <si>
    <t>GUILHERME ROTILLI</t>
  </si>
  <si>
    <t>5044</t>
  </si>
  <si>
    <t>00206558007</t>
  </si>
  <si>
    <t>5449</t>
  </si>
  <si>
    <t>5584</t>
  </si>
  <si>
    <t>5693</t>
  </si>
  <si>
    <t>5594</t>
  </si>
  <si>
    <t>5596</t>
  </si>
  <si>
    <t>5600</t>
  </si>
  <si>
    <t>5870</t>
  </si>
  <si>
    <t>6024</t>
  </si>
  <si>
    <t>5891</t>
  </si>
  <si>
    <t>GUIVERSON FERREIRA BUENO</t>
  </si>
  <si>
    <t>4498</t>
  </si>
  <si>
    <t>05680256100</t>
  </si>
  <si>
    <t>GUSTAVO CAPITANIO BETELLA</t>
  </si>
  <si>
    <t>5144</t>
  </si>
  <si>
    <t>00033827109</t>
  </si>
  <si>
    <t>170</t>
  </si>
  <si>
    <t>GUSTAVO GATTI</t>
  </si>
  <si>
    <t>5642</t>
  </si>
  <si>
    <t>JUARA</t>
  </si>
  <si>
    <t>93546505034</t>
  </si>
  <si>
    <t>GUSTAVO ZOCOLOTTO</t>
  </si>
  <si>
    <t>VALENCE STOPPING GO 20 LT</t>
  </si>
  <si>
    <t>5162</t>
  </si>
  <si>
    <t>05435338166</t>
  </si>
  <si>
    <t>175</t>
  </si>
  <si>
    <t>475</t>
  </si>
  <si>
    <t>137</t>
  </si>
  <si>
    <t>HANDRIGO MARTINS</t>
  </si>
  <si>
    <t>41</t>
  </si>
  <si>
    <t>03427195139</t>
  </si>
  <si>
    <t>0242</t>
  </si>
  <si>
    <t>404</t>
  </si>
  <si>
    <t>5236</t>
  </si>
  <si>
    <t>378</t>
  </si>
  <si>
    <t>HELIO JOSE BERTUOL</t>
  </si>
  <si>
    <t>5446</t>
  </si>
  <si>
    <t>57226210991</t>
  </si>
  <si>
    <t>5634</t>
  </si>
  <si>
    <t>HELIO MEINERZ</t>
  </si>
  <si>
    <t>82</t>
  </si>
  <si>
    <t>01562472917</t>
  </si>
  <si>
    <t>HELIX SEMENTES E BIOTECNOLOGIA LTDA</t>
  </si>
  <si>
    <t>FORTGREEN BLACK GOLD 5 LT</t>
  </si>
  <si>
    <t>6029</t>
  </si>
  <si>
    <t>04365017001680</t>
  </si>
  <si>
    <t>6036</t>
  </si>
  <si>
    <t>6078</t>
  </si>
  <si>
    <t>HIGOR CANTON ASSIS</t>
  </si>
  <si>
    <t>426</t>
  </si>
  <si>
    <t>05390457137</t>
  </si>
  <si>
    <t>472</t>
  </si>
  <si>
    <t>HILARIO RENATO PICCINI E OUTROS</t>
  </si>
  <si>
    <t>5651</t>
  </si>
  <si>
    <t>22481826949</t>
  </si>
  <si>
    <t>5653</t>
  </si>
  <si>
    <t>TAPURAH</t>
  </si>
  <si>
    <t>IDENIO MARIANI</t>
  </si>
  <si>
    <t>6022</t>
  </si>
  <si>
    <t>41129806120</t>
  </si>
  <si>
    <t>ILDO JOSE KLEIN</t>
  </si>
  <si>
    <t>5117</t>
  </si>
  <si>
    <t>58109714900</t>
  </si>
  <si>
    <t>5505</t>
  </si>
  <si>
    <t>5786</t>
  </si>
  <si>
    <t>SEM. DE MILHO BM 183 VIP3 + TRAT FORTIS</t>
  </si>
  <si>
    <t>5792</t>
  </si>
  <si>
    <t>6076</t>
  </si>
  <si>
    <t>IRINEU AFONSO BRAGAGNOLO E OUTROS</t>
  </si>
  <si>
    <t>5327</t>
  </si>
  <si>
    <t>TESOURO</t>
  </si>
  <si>
    <t>25114417053</t>
  </si>
  <si>
    <t>ITALO DALPONTE</t>
  </si>
  <si>
    <t>5132</t>
  </si>
  <si>
    <t>05091443908</t>
  </si>
  <si>
    <t>5139</t>
  </si>
  <si>
    <t>ITAMAR FLEMING</t>
  </si>
  <si>
    <t>5445</t>
  </si>
  <si>
    <t>01860905951</t>
  </si>
  <si>
    <t>5582</t>
  </si>
  <si>
    <t>5412</t>
  </si>
  <si>
    <t>5589</t>
  </si>
  <si>
    <t>5850</t>
  </si>
  <si>
    <t>6005</t>
  </si>
  <si>
    <t>5881</t>
  </si>
  <si>
    <t>TERRAMAR 10 LT</t>
  </si>
  <si>
    <t>5894</t>
  </si>
  <si>
    <t>5895</t>
  </si>
  <si>
    <t>IVAN ANTONIO FRANZEN ZANIN</t>
  </si>
  <si>
    <t>5650</t>
  </si>
  <si>
    <t>01451272901</t>
  </si>
  <si>
    <t>5755</t>
  </si>
  <si>
    <t>5806</t>
  </si>
  <si>
    <t>69002</t>
  </si>
  <si>
    <t>6028</t>
  </si>
  <si>
    <t>6049</t>
  </si>
  <si>
    <t>6099</t>
  </si>
  <si>
    <t>IVANIR FERLIN E OUTRA</t>
  </si>
  <si>
    <t>5352</t>
  </si>
  <si>
    <t>63703807920</t>
  </si>
  <si>
    <t>5624</t>
  </si>
  <si>
    <t>FORTGREEN GERMINATE 1 LT</t>
  </si>
  <si>
    <t>6084</t>
  </si>
  <si>
    <t>IVANOR ALBA</t>
  </si>
  <si>
    <t>4867</t>
  </si>
  <si>
    <t>SANTAREM</t>
  </si>
  <si>
    <t>21078963053</t>
  </si>
  <si>
    <t>112</t>
  </si>
  <si>
    <t>IVOLZIR BEDIN</t>
  </si>
  <si>
    <t>INOC. NODUSOJA L - 3 LT 6X10E9 UFC/ML</t>
  </si>
  <si>
    <t>5587</t>
  </si>
  <si>
    <t>41145011934</t>
  </si>
  <si>
    <t>5893</t>
  </si>
  <si>
    <t>J &amp; B AGRO LTDA</t>
  </si>
  <si>
    <t>5844</t>
  </si>
  <si>
    <t>49998028000159</t>
  </si>
  <si>
    <t>6009</t>
  </si>
  <si>
    <t>5993</t>
  </si>
  <si>
    <t>6025</t>
  </si>
  <si>
    <t>6026</t>
  </si>
  <si>
    <t>6031</t>
  </si>
  <si>
    <t>5999</t>
  </si>
  <si>
    <t>6045</t>
  </si>
  <si>
    <t>JANDIR SIMA E OUTROS</t>
  </si>
  <si>
    <t>85</t>
  </si>
  <si>
    <t>02707982938</t>
  </si>
  <si>
    <t>JEAN SOUKEF CAMPOS</t>
  </si>
  <si>
    <t>159</t>
  </si>
  <si>
    <t>68894511120</t>
  </si>
  <si>
    <t>129</t>
  </si>
  <si>
    <t>433</t>
  </si>
  <si>
    <t>431</t>
  </si>
  <si>
    <t>444</t>
  </si>
  <si>
    <t>JOAO CARLOS RANDON</t>
  </si>
  <si>
    <t>5405</t>
  </si>
  <si>
    <t>58010661953</t>
  </si>
  <si>
    <t>JOAO DARCI GIUSTI</t>
  </si>
  <si>
    <t>5485</t>
  </si>
  <si>
    <t>33401152904</t>
  </si>
  <si>
    <t>5486</t>
  </si>
  <si>
    <t>6039</t>
  </si>
  <si>
    <t>6119</t>
  </si>
  <si>
    <t>JOAO DARCI GIUSTI JUNIOR</t>
  </si>
  <si>
    <t>5489</t>
  </si>
  <si>
    <t>97543640104</t>
  </si>
  <si>
    <t>5490</t>
  </si>
  <si>
    <t>5497</t>
  </si>
  <si>
    <t>5494</t>
  </si>
  <si>
    <t>5763</t>
  </si>
  <si>
    <t>ELMO 5 LT</t>
  </si>
  <si>
    <t>5764</t>
  </si>
  <si>
    <t>5829</t>
  </si>
  <si>
    <t>JOAO LUIZ PEDRASSANI</t>
  </si>
  <si>
    <t>417</t>
  </si>
  <si>
    <t>00903746905</t>
  </si>
  <si>
    <t>457</t>
  </si>
  <si>
    <t>JOAO OSÓRIO DUMONCEL</t>
  </si>
  <si>
    <t>6122</t>
  </si>
  <si>
    <t>04804104020</t>
  </si>
  <si>
    <t>JOAO SICHIERI</t>
  </si>
  <si>
    <t>5500</t>
  </si>
  <si>
    <t>02349167968</t>
  </si>
  <si>
    <t>5526</t>
  </si>
  <si>
    <t>5527</t>
  </si>
  <si>
    <t>5629</t>
  </si>
  <si>
    <t>5681</t>
  </si>
  <si>
    <t>5682</t>
  </si>
  <si>
    <t>5811</t>
  </si>
  <si>
    <t>FORTGREEN MN EDTA 10 KG</t>
  </si>
  <si>
    <t>6013</t>
  </si>
  <si>
    <t>6092</t>
  </si>
  <si>
    <t>FORTGREEN NITRO 32 IBC 1.000 LT</t>
  </si>
  <si>
    <t>6115</t>
  </si>
  <si>
    <t>JOAQUIM  DO COUTO ROSA</t>
  </si>
  <si>
    <t>5835</t>
  </si>
  <si>
    <t>06351162866</t>
  </si>
  <si>
    <t>5926</t>
  </si>
  <si>
    <t>5937</t>
  </si>
  <si>
    <t>5938</t>
  </si>
  <si>
    <t>5945</t>
  </si>
  <si>
    <t>5946</t>
  </si>
  <si>
    <t>5949</t>
  </si>
  <si>
    <t>JOEL MARCOVICZ</t>
  </si>
  <si>
    <t>CLORFENAPIR 240 SC PRETORIAN 5 LT</t>
  </si>
  <si>
    <t>6032</t>
  </si>
  <si>
    <t>02068862921</t>
  </si>
  <si>
    <t>JONATHAN LAZAROTTO</t>
  </si>
  <si>
    <t>5611</t>
  </si>
  <si>
    <t>00114966141</t>
  </si>
  <si>
    <t>5658</t>
  </si>
  <si>
    <t>5663</t>
  </si>
  <si>
    <t>VERDIVO CYTOGEN 5LT</t>
  </si>
  <si>
    <t>5669</t>
  </si>
  <si>
    <t>5590</t>
  </si>
  <si>
    <t>5981</t>
  </si>
  <si>
    <t>6063</t>
  </si>
  <si>
    <t>JORGE JOAO HARTMANN</t>
  </si>
  <si>
    <t>5114</t>
  </si>
  <si>
    <t>29754720991</t>
  </si>
  <si>
    <t>5504</t>
  </si>
  <si>
    <t>JORGE ROBERTO MANFROI</t>
  </si>
  <si>
    <t>462</t>
  </si>
  <si>
    <t>55159540920</t>
  </si>
  <si>
    <t>JOSE ALBERTO FAVARETTO</t>
  </si>
  <si>
    <t>5404</t>
  </si>
  <si>
    <t>50959522972</t>
  </si>
  <si>
    <t>5551</t>
  </si>
  <si>
    <t>5552</t>
  </si>
  <si>
    <t>JOSE ALTAIR LAZAROTTO</t>
  </si>
  <si>
    <t>5612</t>
  </si>
  <si>
    <t>33080364015</t>
  </si>
  <si>
    <t>5659</t>
  </si>
  <si>
    <t>5661</t>
  </si>
  <si>
    <t>INOC. NODUSOJA REND+ 3 LT</t>
  </si>
  <si>
    <t>5804</t>
  </si>
  <si>
    <t>5824</t>
  </si>
  <si>
    <t>5980</t>
  </si>
  <si>
    <t>6000</t>
  </si>
  <si>
    <t>JOSE ARMANDO MACHADO</t>
  </si>
  <si>
    <t>5062</t>
  </si>
  <si>
    <t>32778716149</t>
  </si>
  <si>
    <t>5067</t>
  </si>
  <si>
    <t>14</t>
  </si>
  <si>
    <t>489</t>
  </si>
  <si>
    <t>JOSE CASTILHO RUIZ E OUTRO</t>
  </si>
  <si>
    <t>4824</t>
  </si>
  <si>
    <t>53960793987</t>
  </si>
  <si>
    <t>4825</t>
  </si>
  <si>
    <t>5641</t>
  </si>
  <si>
    <t>JOSE ERNESTO LORENZON E OUTROS</t>
  </si>
  <si>
    <t>5212</t>
  </si>
  <si>
    <t>34620702900</t>
  </si>
  <si>
    <t>5213</t>
  </si>
  <si>
    <t>233</t>
  </si>
  <si>
    <t>93</t>
  </si>
  <si>
    <t>389</t>
  </si>
  <si>
    <t>JOSE MARIO MAGNANI FILHO</t>
  </si>
  <si>
    <t>100</t>
  </si>
  <si>
    <t>83017046168</t>
  </si>
  <si>
    <t>478</t>
  </si>
  <si>
    <t>JOSEANE BEAL</t>
  </si>
  <si>
    <t>5169</t>
  </si>
  <si>
    <t>00224953125</t>
  </si>
  <si>
    <t>JULIANO MISSIO E OUTROS</t>
  </si>
  <si>
    <t>6118</t>
  </si>
  <si>
    <t>03034331169</t>
  </si>
  <si>
    <t>JULIO CESAR MARTINI CAMARGO</t>
  </si>
  <si>
    <t>VERDIVO NITRATO DE K 25KG</t>
  </si>
  <si>
    <t>5233</t>
  </si>
  <si>
    <t>07824039994</t>
  </si>
  <si>
    <t>JUNIOR FERLA</t>
  </si>
  <si>
    <t>APL TROPPOIL 20 LT</t>
  </si>
  <si>
    <t>5466</t>
  </si>
  <si>
    <t>84053283191</t>
  </si>
  <si>
    <t>191</t>
  </si>
  <si>
    <t>6040</t>
  </si>
  <si>
    <t>482</t>
  </si>
  <si>
    <t>23</t>
  </si>
  <si>
    <t>479</t>
  </si>
  <si>
    <t>LAERCIO NICOLAI CLOSS E OUTRO</t>
  </si>
  <si>
    <t>5556</t>
  </si>
  <si>
    <t>71788069153</t>
  </si>
  <si>
    <t>LAURI BRAZ FERRAREZI</t>
  </si>
  <si>
    <t>38498650020</t>
  </si>
  <si>
    <t>LEANDRO BEDIN</t>
  </si>
  <si>
    <t>4412</t>
  </si>
  <si>
    <t>02491507196</t>
  </si>
  <si>
    <t>4422</t>
  </si>
  <si>
    <t>5833</t>
  </si>
  <si>
    <t>LEILA DAIANE SCHAURICH RAZNIEVSKI E OUTRO</t>
  </si>
  <si>
    <t>5225</t>
  </si>
  <si>
    <t>03092637194</t>
  </si>
  <si>
    <t>LEONIR BEAL</t>
  </si>
  <si>
    <t>36850535900</t>
  </si>
  <si>
    <t>LEONIR ZANON</t>
  </si>
  <si>
    <t>5160</t>
  </si>
  <si>
    <t>71691723991</t>
  </si>
  <si>
    <t>LUCAS ANDRE FALCADE</t>
  </si>
  <si>
    <t>4857</t>
  </si>
  <si>
    <t>04848673186</t>
  </si>
  <si>
    <t>5159</t>
  </si>
  <si>
    <t>161</t>
  </si>
  <si>
    <t>164</t>
  </si>
  <si>
    <t>430</t>
  </si>
  <si>
    <t>LUCIANE FRANCIO E OUTROS</t>
  </si>
  <si>
    <t>1</t>
  </si>
  <si>
    <t>48886750153</t>
  </si>
  <si>
    <t>2</t>
  </si>
  <si>
    <t>6</t>
  </si>
  <si>
    <t>7</t>
  </si>
  <si>
    <t>5756</t>
  </si>
  <si>
    <t>485</t>
  </si>
  <si>
    <t>196</t>
  </si>
  <si>
    <t>F1RST ROYAL UP 5 LT</t>
  </si>
  <si>
    <t>197</t>
  </si>
  <si>
    <t>LUIZ CARLOS BORTOLINI</t>
  </si>
  <si>
    <t>5390</t>
  </si>
  <si>
    <t>03903336971</t>
  </si>
  <si>
    <t>5395</t>
  </si>
  <si>
    <t>SEM. DE MILHO BM 163 PRO4 + TRAT FORTIS</t>
  </si>
  <si>
    <t>5396</t>
  </si>
  <si>
    <t>5776</t>
  </si>
  <si>
    <t>5785</t>
  </si>
  <si>
    <t>5836</t>
  </si>
  <si>
    <t>LUIZ CARLOS DOS SANTOS</t>
  </si>
  <si>
    <t>5136</t>
  </si>
  <si>
    <t>69916950172</t>
  </si>
  <si>
    <t>LUIZ CARLOS GUARNIERI</t>
  </si>
  <si>
    <t>5259</t>
  </si>
  <si>
    <t>90419006168</t>
  </si>
  <si>
    <t>LUIZ CARLOS GUSATTI</t>
  </si>
  <si>
    <t>4807</t>
  </si>
  <si>
    <t>27582710010</t>
  </si>
  <si>
    <t>4806</t>
  </si>
  <si>
    <t>FORTGREEN ROUTER 5 LT</t>
  </si>
  <si>
    <t>FORTGREEN XCELLENCE MAIS 10 KG</t>
  </si>
  <si>
    <t>5260</t>
  </si>
  <si>
    <t>LUIZ CARLOS NARDI</t>
  </si>
  <si>
    <t>5597</t>
  </si>
  <si>
    <t>40930726987</t>
  </si>
  <si>
    <t>LUIZ DIVINO DA SILVA E OUTRA</t>
  </si>
  <si>
    <t>5802</t>
  </si>
  <si>
    <t>22232567087</t>
  </si>
  <si>
    <t>LUIZ GABRIEL NOMURA DA SILVA E OUTROS</t>
  </si>
  <si>
    <t>134</t>
  </si>
  <si>
    <t>02652087185</t>
  </si>
  <si>
    <t>443</t>
  </si>
  <si>
    <t>LUIZ ROGERIO CALEFFI</t>
  </si>
  <si>
    <t>77</t>
  </si>
  <si>
    <t>94564337904</t>
  </si>
  <si>
    <t>5232</t>
  </si>
  <si>
    <t>MAFRA AGRONEGOCIOS LTDA</t>
  </si>
  <si>
    <t>5567</t>
  </si>
  <si>
    <t>39687362000219</t>
  </si>
  <si>
    <t>5610</t>
  </si>
  <si>
    <t>4421</t>
  </si>
  <si>
    <t>5664</t>
  </si>
  <si>
    <t>5668</t>
  </si>
  <si>
    <t>5775</t>
  </si>
  <si>
    <t>INOCULANTE NITROSPHERA AMENDOIM - 1,5 LT</t>
  </si>
  <si>
    <t>5827</t>
  </si>
  <si>
    <t>5592</t>
  </si>
  <si>
    <t>5982</t>
  </si>
  <si>
    <t>6058</t>
  </si>
  <si>
    <t>MARAPE AGROPECUARIA (S/C) LTDA</t>
  </si>
  <si>
    <t>5609</t>
  </si>
  <si>
    <t>89971568000244</t>
  </si>
  <si>
    <t>5754</t>
  </si>
  <si>
    <t>5667</t>
  </si>
  <si>
    <t>5774</t>
  </si>
  <si>
    <t>5591</t>
  </si>
  <si>
    <t>6057</t>
  </si>
  <si>
    <t>387</t>
  </si>
  <si>
    <t>MARCELINO MANOEL SICHIERI</t>
  </si>
  <si>
    <t>4821</t>
  </si>
  <si>
    <t>81451610106</t>
  </si>
  <si>
    <t>4822</t>
  </si>
  <si>
    <t>4820</t>
  </si>
  <si>
    <t>5605</t>
  </si>
  <si>
    <t>5809</t>
  </si>
  <si>
    <t>5849</t>
  </si>
  <si>
    <t>6038</t>
  </si>
  <si>
    <t>6109</t>
  </si>
  <si>
    <t>6124</t>
  </si>
  <si>
    <t>MARCELO ANTONIO NERVO E OUTROS</t>
  </si>
  <si>
    <t>4813</t>
  </si>
  <si>
    <t>90796381100</t>
  </si>
  <si>
    <t>5479</t>
  </si>
  <si>
    <t>5561</t>
  </si>
  <si>
    <t>5541</t>
  </si>
  <si>
    <t>5256</t>
  </si>
  <si>
    <t>5677</t>
  </si>
  <si>
    <t>5689</t>
  </si>
  <si>
    <t>5766</t>
  </si>
  <si>
    <t>5768</t>
  </si>
  <si>
    <t>5813</t>
  </si>
  <si>
    <t>5921</t>
  </si>
  <si>
    <t>6008</t>
  </si>
  <si>
    <t>6011</t>
  </si>
  <si>
    <t>6014</t>
  </si>
  <si>
    <t>6019</t>
  </si>
  <si>
    <t>6035</t>
  </si>
  <si>
    <t>6044</t>
  </si>
  <si>
    <t>MARCELO FERRAZ DE SOUZA</t>
  </si>
  <si>
    <t>392</t>
  </si>
  <si>
    <t>52928250182</t>
  </si>
  <si>
    <t>MARCELO KNAPIK</t>
  </si>
  <si>
    <t>5907</t>
  </si>
  <si>
    <t>98746006168</t>
  </si>
  <si>
    <t>5910</t>
  </si>
  <si>
    <t>MARCO ANTONIO TOMELIN E OUTRA</t>
  </si>
  <si>
    <t>SEM. DE MILHO BM 163 PRO4 + TRAT FORTIS NB BB</t>
  </si>
  <si>
    <t>39</t>
  </si>
  <si>
    <t>96439785915</t>
  </si>
  <si>
    <t>43</t>
  </si>
  <si>
    <t>MARCO CESAR ESTEVES DA ROCHA</t>
  </si>
  <si>
    <t>5675</t>
  </si>
  <si>
    <t>75019590991</t>
  </si>
  <si>
    <t>MARCOS LUIZ PANISSAN LODI</t>
  </si>
  <si>
    <t>5124</t>
  </si>
  <si>
    <t>64436055949</t>
  </si>
  <si>
    <t>5383</t>
  </si>
  <si>
    <t>5954</t>
  </si>
  <si>
    <t>SEM. DE MILHO BM 166 VIP3 + TRAT FORTIS</t>
  </si>
  <si>
    <t>5967</t>
  </si>
  <si>
    <t>MARCOS LUNARDI VARGAS MATIOTTI</t>
  </si>
  <si>
    <t>5476</t>
  </si>
  <si>
    <t>17917697053</t>
  </si>
  <si>
    <t>5477</t>
  </si>
  <si>
    <t>5842</t>
  </si>
  <si>
    <t>5917</t>
  </si>
  <si>
    <t>5918</t>
  </si>
  <si>
    <t>5920</t>
  </si>
  <si>
    <t>5936</t>
  </si>
  <si>
    <t>5934</t>
  </si>
  <si>
    <t>6112</t>
  </si>
  <si>
    <t>MARIANGELY MENEGAZZO MEDEIROS</t>
  </si>
  <si>
    <t>45</t>
  </si>
  <si>
    <t>03999681136</t>
  </si>
  <si>
    <t>46</t>
  </si>
  <si>
    <t>50</t>
  </si>
  <si>
    <t>49</t>
  </si>
  <si>
    <t>401</t>
  </si>
  <si>
    <t>403</t>
  </si>
  <si>
    <t>413</t>
  </si>
  <si>
    <t>MARIO ROQUE LUPATINI E OUTROS</t>
  </si>
  <si>
    <t>5617</t>
  </si>
  <si>
    <t>48820784904</t>
  </si>
  <si>
    <t>5618</t>
  </si>
  <si>
    <t>5697</t>
  </si>
  <si>
    <t>MARIO WOLF FILHO</t>
  </si>
  <si>
    <t>NOVA CANAA DO NORTE</t>
  </si>
  <si>
    <t>08738866900</t>
  </si>
  <si>
    <t>F1RST QUESTSPIN - 3 LT</t>
  </si>
  <si>
    <t>5218</t>
  </si>
  <si>
    <t>FORTGREEN CURATIVE START 10 KG</t>
  </si>
  <si>
    <t>26</t>
  </si>
  <si>
    <t>30</t>
  </si>
  <si>
    <t>SEM. DE MILHO BM 166 VIP3 + TRAT FORTIS BB</t>
  </si>
  <si>
    <t>44</t>
  </si>
  <si>
    <t>405</t>
  </si>
  <si>
    <t>406</t>
  </si>
  <si>
    <t>411</t>
  </si>
  <si>
    <t>424</t>
  </si>
  <si>
    <t>5244</t>
  </si>
  <si>
    <t>MARTA POSSAMAI</t>
  </si>
  <si>
    <t>5447</t>
  </si>
  <si>
    <t>94326436034</t>
  </si>
  <si>
    <t>5679</t>
  </si>
  <si>
    <t>MAURI BEPPLER</t>
  </si>
  <si>
    <t>4853</t>
  </si>
  <si>
    <t>00412379945</t>
  </si>
  <si>
    <t>5146</t>
  </si>
  <si>
    <t>120</t>
  </si>
  <si>
    <t>251</t>
  </si>
  <si>
    <t>146</t>
  </si>
  <si>
    <t>MAURICIO CATTAPAN</t>
  </si>
  <si>
    <t>6088</t>
  </si>
  <si>
    <t>00524974020</t>
  </si>
  <si>
    <t>MAURICIO FUHR RESENDE</t>
  </si>
  <si>
    <t>5902</t>
  </si>
  <si>
    <t>03372503163</t>
  </si>
  <si>
    <t>6046</t>
  </si>
  <si>
    <t>MAURO FELIX CORREA E OUTRA</t>
  </si>
  <si>
    <t>5407</t>
  </si>
  <si>
    <t>79340504968</t>
  </si>
  <si>
    <t>5406</t>
  </si>
  <si>
    <t>5409</t>
  </si>
  <si>
    <t>5816</t>
  </si>
  <si>
    <t>5413</t>
  </si>
  <si>
    <t>5414</t>
  </si>
  <si>
    <t>5420</t>
  </si>
  <si>
    <t>6050</t>
  </si>
  <si>
    <t>MOACIR BELLE E OUTRO</t>
  </si>
  <si>
    <t>SEM. DE MILHO BM 163 PRO4 + TRAT FORTIS N BB</t>
  </si>
  <si>
    <t>5797</t>
  </si>
  <si>
    <t>56780788015</t>
  </si>
  <si>
    <t>MONICA RODRIGUES GOMES DE SOUZA</t>
  </si>
  <si>
    <t>6104</t>
  </si>
  <si>
    <t>BOA VISTA</t>
  </si>
  <si>
    <t>84647787915</t>
  </si>
  <si>
    <t>ONIX OG - 5 LT</t>
  </si>
  <si>
    <t>RIZOS OG - 5 LT</t>
  </si>
  <si>
    <t>NADIANA AGRONEGOCIOS LTDA</t>
  </si>
  <si>
    <t>5759</t>
  </si>
  <si>
    <t>NOVA MARINGA</t>
  </si>
  <si>
    <t>53612975000480</t>
  </si>
  <si>
    <t>NELI IVONE RUARO</t>
  </si>
  <si>
    <t>4861</t>
  </si>
  <si>
    <t>57324832253</t>
  </si>
  <si>
    <t>NELIO PIVA</t>
  </si>
  <si>
    <t>5906</t>
  </si>
  <si>
    <t>47787082968</t>
  </si>
  <si>
    <t>5332</t>
  </si>
  <si>
    <t>5334</t>
  </si>
  <si>
    <t>5335</t>
  </si>
  <si>
    <t>31</t>
  </si>
  <si>
    <t>5338</t>
  </si>
  <si>
    <t>5340</t>
  </si>
  <si>
    <t>236</t>
  </si>
  <si>
    <t>409</t>
  </si>
  <si>
    <t>408</t>
  </si>
  <si>
    <t>412</t>
  </si>
  <si>
    <t>5239</t>
  </si>
  <si>
    <t>5238</t>
  </si>
  <si>
    <t>5246</t>
  </si>
  <si>
    <t>NILZA HARUYO NOMURA</t>
  </si>
  <si>
    <t>5158</t>
  </si>
  <si>
    <t>ROSARIO OESTE</t>
  </si>
  <si>
    <t>11171480172</t>
  </si>
  <si>
    <t>NIREU JORGE PELIZON E OUTRA</t>
  </si>
  <si>
    <t>5916</t>
  </si>
  <si>
    <t>60159510104</t>
  </si>
  <si>
    <t>NIVALDO LUCINI</t>
  </si>
  <si>
    <t>5633</t>
  </si>
  <si>
    <t>01536165980</t>
  </si>
  <si>
    <t>NORMELIO PELIZON E OUTRA</t>
  </si>
  <si>
    <t>VITTIA TRICHO TURBO 5LT</t>
  </si>
  <si>
    <t>5625</t>
  </si>
  <si>
    <t>19322356049</t>
  </si>
  <si>
    <t>5635</t>
  </si>
  <si>
    <t>5660</t>
  </si>
  <si>
    <t>5820</t>
  </si>
  <si>
    <t>5843</t>
  </si>
  <si>
    <t>5871</t>
  </si>
  <si>
    <t>6082</t>
  </si>
  <si>
    <t>OSMAR ROSSI</t>
  </si>
  <si>
    <t>4865</t>
  </si>
  <si>
    <t>01769215913</t>
  </si>
  <si>
    <t>5154</t>
  </si>
  <si>
    <t>5143</t>
  </si>
  <si>
    <t>91</t>
  </si>
  <si>
    <t>156</t>
  </si>
  <si>
    <t>SEM. DE MILHO BM 990 VIP3 + TRAT FORTIS</t>
  </si>
  <si>
    <t>455</t>
  </si>
  <si>
    <t>PABLO FILLIPETTO</t>
  </si>
  <si>
    <t>5655</t>
  </si>
  <si>
    <t>94534730144</t>
  </si>
  <si>
    <t>PABLO HENRIQUE CHAVES SOARES</t>
  </si>
  <si>
    <t>5072</t>
  </si>
  <si>
    <t>04525220139</t>
  </si>
  <si>
    <t>PASCHOAL DALL APRIA</t>
  </si>
  <si>
    <t>5632</t>
  </si>
  <si>
    <t>28474481953</t>
  </si>
  <si>
    <t>5686</t>
  </si>
  <si>
    <t>6010</t>
  </si>
  <si>
    <t>6042</t>
  </si>
  <si>
    <t>6085</t>
  </si>
  <si>
    <t>6107</t>
  </si>
  <si>
    <t>PAULO CAMPAGNOLO</t>
  </si>
  <si>
    <t>04243459193</t>
  </si>
  <si>
    <t>PAULO JOSE MARCHIORO</t>
  </si>
  <si>
    <t>5384</t>
  </si>
  <si>
    <t>54338239034</t>
  </si>
  <si>
    <t>PAULO KOZIK</t>
  </si>
  <si>
    <t>172</t>
  </si>
  <si>
    <t>59870001904</t>
  </si>
  <si>
    <t>PAULO ROBERTO JUSTI</t>
  </si>
  <si>
    <t>5498</t>
  </si>
  <si>
    <t>02108762981</t>
  </si>
  <si>
    <t>5492</t>
  </si>
  <si>
    <t>5560</t>
  </si>
  <si>
    <t>PAULO SAMPAIO MAIA</t>
  </si>
  <si>
    <t>5381</t>
  </si>
  <si>
    <t>70091737109</t>
  </si>
  <si>
    <t>5397</t>
  </si>
  <si>
    <t>5778</t>
  </si>
  <si>
    <t>5704</t>
  </si>
  <si>
    <t>5781</t>
  </si>
  <si>
    <t>5782</t>
  </si>
  <si>
    <t>5793</t>
  </si>
  <si>
    <t>5952</t>
  </si>
  <si>
    <t>5957</t>
  </si>
  <si>
    <t>5958</t>
  </si>
  <si>
    <t>6079</t>
  </si>
  <si>
    <t>6176</t>
  </si>
  <si>
    <t>PAULO SERGIO GARBIN</t>
  </si>
  <si>
    <t>5487</t>
  </si>
  <si>
    <t>37190806091</t>
  </si>
  <si>
    <t>5488</t>
  </si>
  <si>
    <t>VOLANT Q-LATOP COBRE 25 KG</t>
  </si>
  <si>
    <t>5832</t>
  </si>
  <si>
    <t>5845</t>
  </si>
  <si>
    <t>PEDRO AUGUSTO TEIXEIRA MINOTTO</t>
  </si>
  <si>
    <t>5171</t>
  </si>
  <si>
    <t>88562980234</t>
  </si>
  <si>
    <t>PEDRO BRAGA DA SILVA</t>
  </si>
  <si>
    <t>5626</t>
  </si>
  <si>
    <t>55047378691</t>
  </si>
  <si>
    <t>PEDRO JOSE BERTUOL</t>
  </si>
  <si>
    <t>5580</t>
  </si>
  <si>
    <t>86643851149</t>
  </si>
  <si>
    <t>PONTES INSUMOS AGRICOLAS LTDA</t>
  </si>
  <si>
    <t>379</t>
  </si>
  <si>
    <t>20026465000129</t>
  </si>
  <si>
    <t>PROFARM INSUMOS AGRICOLA LTDA</t>
  </si>
  <si>
    <t>5602</t>
  </si>
  <si>
    <t>32892850000138</t>
  </si>
  <si>
    <t>5604</t>
  </si>
  <si>
    <t>5570</t>
  </si>
  <si>
    <t>5613</t>
  </si>
  <si>
    <t>5615</t>
  </si>
  <si>
    <t>5680</t>
  </si>
  <si>
    <t>5694</t>
  </si>
  <si>
    <t>6037</t>
  </si>
  <si>
    <t>RAFAEL LAGEMANN</t>
  </si>
  <si>
    <t>421</t>
  </si>
  <si>
    <t>00784733066</t>
  </si>
  <si>
    <t>RAFAEL VILSO FAVARETTO</t>
  </si>
  <si>
    <t>5708</t>
  </si>
  <si>
    <t>93560834104</t>
  </si>
  <si>
    <t>RICARDO POTRICH E OUTROS</t>
  </si>
  <si>
    <t>5701</t>
  </si>
  <si>
    <t>88630684100</t>
  </si>
  <si>
    <t>RICHELLI BRUNO GALIASSI COTRIM</t>
  </si>
  <si>
    <t>5337</t>
  </si>
  <si>
    <t>01046293125</t>
  </si>
  <si>
    <t>RODRIGO FRANZOI DE OLIVEIRA</t>
  </si>
  <si>
    <t>4567</t>
  </si>
  <si>
    <t>00259750131</t>
  </si>
  <si>
    <t>4568</t>
  </si>
  <si>
    <t>4575</t>
  </si>
  <si>
    <t>FORTGREEN BLACK GOLD 25 LT</t>
  </si>
  <si>
    <t>5825</t>
  </si>
  <si>
    <t>ROGERIO CHICARELLI E OUTROS</t>
  </si>
  <si>
    <t>239</t>
  </si>
  <si>
    <t>79752993915</t>
  </si>
  <si>
    <t>5235</t>
  </si>
  <si>
    <t>390</t>
  </si>
  <si>
    <t>ROGERIO LUIS KONRATH E OUTRA</t>
  </si>
  <si>
    <t>107</t>
  </si>
  <si>
    <t>03939876984</t>
  </si>
  <si>
    <t>ROGERIO WENZEL</t>
  </si>
  <si>
    <t>5116</t>
  </si>
  <si>
    <t>02537327195</t>
  </si>
  <si>
    <t>RONALDO GUBERT</t>
  </si>
  <si>
    <t>5578</t>
  </si>
  <si>
    <t>97697435187</t>
  </si>
  <si>
    <t>ROSANE VILELA PANIAGO CREMONESE</t>
  </si>
  <si>
    <t>5385</t>
  </si>
  <si>
    <t>78413915104</t>
  </si>
  <si>
    <t>ROSENILDO SCHMOLLER DO PRADO</t>
  </si>
  <si>
    <t>5148</t>
  </si>
  <si>
    <t>01102473960</t>
  </si>
  <si>
    <t>RUBEM SAUER</t>
  </si>
  <si>
    <t>4869</t>
  </si>
  <si>
    <t>50393430197</t>
  </si>
  <si>
    <t>5170</t>
  </si>
  <si>
    <t>440</t>
  </si>
  <si>
    <t>RUBENS FERNANDO ALVES SEGATTO</t>
  </si>
  <si>
    <t>469</t>
  </si>
  <si>
    <t>72963069120</t>
  </si>
  <si>
    <t>171</t>
  </si>
  <si>
    <t>SAMUEL PRESSI</t>
  </si>
  <si>
    <t>5888</t>
  </si>
  <si>
    <t>01683619900</t>
  </si>
  <si>
    <t>SANTHIAGO GABRIEL DOS REIS</t>
  </si>
  <si>
    <t>5398</t>
  </si>
  <si>
    <t>07796114117</t>
  </si>
  <si>
    <t>5783</t>
  </si>
  <si>
    <t>5788</t>
  </si>
  <si>
    <t>5795</t>
  </si>
  <si>
    <t>5955</t>
  </si>
  <si>
    <t>5960</t>
  </si>
  <si>
    <t>5962</t>
  </si>
  <si>
    <t>5968</t>
  </si>
  <si>
    <t>5969</t>
  </si>
  <si>
    <t>6102</t>
  </si>
  <si>
    <t>6120</t>
  </si>
  <si>
    <t>SAULO DE MARCO</t>
  </si>
  <si>
    <t>4408</t>
  </si>
  <si>
    <t>90036662100</t>
  </si>
  <si>
    <t>5868</t>
  </si>
  <si>
    <t>5994</t>
  </si>
  <si>
    <t>5997</t>
  </si>
  <si>
    <t>6051</t>
  </si>
  <si>
    <t>SERGIO FERREIRA DOS SANTOS</t>
  </si>
  <si>
    <t>12</t>
  </si>
  <si>
    <t>75979225153</t>
  </si>
  <si>
    <t>SERGIO JUNIOR MARTINIS SANTOS E OUTROS</t>
  </si>
  <si>
    <t>181</t>
  </si>
  <si>
    <t>04486836103</t>
  </si>
  <si>
    <t>198</t>
  </si>
  <si>
    <t>SERGIO LUIZ FLORENTINO</t>
  </si>
  <si>
    <t>4870</t>
  </si>
  <si>
    <t>48850799187</t>
  </si>
  <si>
    <t>162</t>
  </si>
  <si>
    <t>168</t>
  </si>
  <si>
    <t>SILVIANO VICENTE MICHELON</t>
  </si>
  <si>
    <t>85677361100</t>
  </si>
  <si>
    <t>6114</t>
  </si>
  <si>
    <t>SUELEN SILVA PONTELO GASPAROTTO</t>
  </si>
  <si>
    <t>5240</t>
  </si>
  <si>
    <t>05461482988</t>
  </si>
  <si>
    <t>SULIMAR PICOLI</t>
  </si>
  <si>
    <t>5122</t>
  </si>
  <si>
    <t>29877482134</t>
  </si>
  <si>
    <t>5399</t>
  </si>
  <si>
    <t>5777</t>
  </si>
  <si>
    <t>5956</t>
  </si>
  <si>
    <t>THIAGO MURILO MENDONCA FACHIANO E OUTRO</t>
  </si>
  <si>
    <t>5391</t>
  </si>
  <si>
    <t>36285969809</t>
  </si>
  <si>
    <t>5787</t>
  </si>
  <si>
    <t>5951</t>
  </si>
  <si>
    <t>5964</t>
  </si>
  <si>
    <t>TIAGO LUIZ RAUCH E OUTROS</t>
  </si>
  <si>
    <t>108</t>
  </si>
  <si>
    <t>02335937138</t>
  </si>
  <si>
    <t>117</t>
  </si>
  <si>
    <t>84</t>
  </si>
  <si>
    <t>155</t>
  </si>
  <si>
    <t>169</t>
  </si>
  <si>
    <t>130</t>
  </si>
  <si>
    <t>449</t>
  </si>
  <si>
    <t>TIAGO PIVA</t>
  </si>
  <si>
    <t>5341</t>
  </si>
  <si>
    <t>04644589195</t>
  </si>
  <si>
    <t>VALDECIR JOSE POZZATTO</t>
  </si>
  <si>
    <t>5554</t>
  </si>
  <si>
    <t>45919321172</t>
  </si>
  <si>
    <t>VALMIR LUIZ PIAZZETTA</t>
  </si>
  <si>
    <t>5753</t>
  </si>
  <si>
    <t>40764621068</t>
  </si>
  <si>
    <t>VICENTE BISSONI NETO</t>
  </si>
  <si>
    <t>5328</t>
  </si>
  <si>
    <t>04733158904</t>
  </si>
  <si>
    <t>VILMAR VEDANA</t>
  </si>
  <si>
    <t>4405</t>
  </si>
  <si>
    <t>20826710972</t>
  </si>
  <si>
    <t>5989</t>
  </si>
  <si>
    <t>5988</t>
  </si>
  <si>
    <t>5990</t>
  </si>
  <si>
    <t>VILSO ANTONIO FAVARETTO</t>
  </si>
  <si>
    <t>4560</t>
  </si>
  <si>
    <t>47993898900</t>
  </si>
  <si>
    <t>FORTGREEN GERMINATE 5 LT</t>
  </si>
  <si>
    <t>FORTGREEN XCELLENCE 10 KG</t>
  </si>
  <si>
    <t>4561</t>
  </si>
  <si>
    <t>FORTGREEN ZN EDTA 10 KG</t>
  </si>
  <si>
    <t>FORTGREEN VIDHA GOLD 10 KG</t>
  </si>
  <si>
    <t>4573</t>
  </si>
  <si>
    <t>5460</t>
  </si>
  <si>
    <t>6080</t>
  </si>
  <si>
    <t>6093</t>
  </si>
  <si>
    <t>VITORIO MIGLIORINI</t>
  </si>
  <si>
    <t>5152</t>
  </si>
  <si>
    <t>18267882987</t>
  </si>
  <si>
    <t>102</t>
  </si>
  <si>
    <t>467</t>
  </si>
  <si>
    <t>144</t>
  </si>
  <si>
    <t>432</t>
  </si>
  <si>
    <t>446</t>
  </si>
  <si>
    <t>VOLNEI COSTA BEBER</t>
  </si>
  <si>
    <t>5807</t>
  </si>
  <si>
    <t>57167060100</t>
  </si>
  <si>
    <t>WALDECIR ROMAN ROSS</t>
  </si>
  <si>
    <t>5559</t>
  </si>
  <si>
    <t>75810514987</t>
  </si>
  <si>
    <t>WALDEMAR RAITER</t>
  </si>
  <si>
    <t>182</t>
  </si>
  <si>
    <t>06130089015</t>
  </si>
  <si>
    <t>WALDIR ALMEIDA</t>
  </si>
  <si>
    <t>5392</t>
  </si>
  <si>
    <t>20451830920</t>
  </si>
  <si>
    <t>5393</t>
  </si>
  <si>
    <t>5779</t>
  </si>
  <si>
    <t>6041</t>
  </si>
  <si>
    <t>5966</t>
  </si>
  <si>
    <t>WALTER  GIOVELLI</t>
  </si>
  <si>
    <t>4720</t>
  </si>
  <si>
    <t>35608897072</t>
  </si>
  <si>
    <t>5042</t>
  </si>
  <si>
    <t>5436</t>
  </si>
  <si>
    <t>5439</t>
  </si>
  <si>
    <t>5577</t>
  </si>
  <si>
    <t>5702</t>
  </si>
  <si>
    <t>5769</t>
  </si>
  <si>
    <t>5805</t>
  </si>
  <si>
    <t>WILLIAN PABLO CARBONI DA SILVA</t>
  </si>
  <si>
    <t>17</t>
  </si>
  <si>
    <t>02570535141</t>
  </si>
  <si>
    <t>WILLIMAR WELKE</t>
  </si>
  <si>
    <t>5112</t>
  </si>
  <si>
    <t>28843894153</t>
  </si>
  <si>
    <t>YELLOW AGROINDUSTRIAL LTDA</t>
  </si>
  <si>
    <t>MILHO EM GRAOS</t>
  </si>
  <si>
    <t>693C</t>
  </si>
  <si>
    <t>37711303000122</t>
  </si>
  <si>
    <t>(Tudo)</t>
  </si>
  <si>
    <t>Total Geral</t>
  </si>
  <si>
    <t>Rótulos de Linha</t>
  </si>
  <si>
    <t>Soma de Quantidade Faturada</t>
  </si>
  <si>
    <t>Total Vendas</t>
  </si>
  <si>
    <t>Categoria</t>
  </si>
  <si>
    <t>Verdivo</t>
  </si>
  <si>
    <t>Lallemand</t>
  </si>
  <si>
    <t>Loja</t>
  </si>
  <si>
    <t>Sorriso</t>
  </si>
  <si>
    <t>Sinop</t>
  </si>
  <si>
    <t>Soma de Total Vendas</t>
  </si>
  <si>
    <t>26/27</t>
  </si>
  <si>
    <t>%</t>
  </si>
  <si>
    <t xml:space="preserve">CLIENTE </t>
  </si>
  <si>
    <t>PRODUTO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</si>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</sst>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\ h:mm:ss"/>
    <numFmt numFmtId="165" formatCode="#,##0.00;\-#,##0.00;@"/>
    <numFmt numFmtId="166" formatCode="&quot;R$&quot;\ #,##0.00"/>
    <numFmt numFmtId="172" formatCode="0.0"/>
  </numFmts>
  <fonts count="5" x14ac:knownFonts="1"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>
      <protection locked="0" hidden="1"/>
    </xf>
    <xf numFmtId="164" fontId="0" fillId="2" borderId="0" xfId="0" applyNumberFormat="1">
      <protection locked="0" hidden="1"/>
    </xf>
    <xf numFmtId="14" fontId="0" fillId="2" borderId="0" xfId="0" applyNumberFormat="1">
      <protection locked="0" hidden="1"/>
    </xf>
    <xf numFmtId="165" fontId="0" fillId="2" borderId="0" xfId="0" applyNumberFormat="1">
      <protection locked="0" hidden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166" fontId="0" fillId="0" borderId="0" xfId="0" applyNumberFormat="1"/>
    <xf numFmtId="0" fontId="2" fillId="3" borderId="1" xfId="0" applyFont="1" applyFill="1" applyBorder="1"/>
    <xf numFmtId="0" fontId="1" fillId="2" borderId="0" xfId="0" applyFont="1" applyFill="1" applyProtection="1">
      <protection locked="0" hidden="1"/>
    </xf>
    <xf numFmtId="165" fontId="0" fillId="2" borderId="0" xfId="0" applyNumberFormat="1" applyFill="1" applyProtection="1">
      <protection locked="0" hidden="1"/>
    </xf>
    <xf numFmtId="0" fontId="3" fillId="2" borderId="0" xfId="0" applyFont="1" applyFill="1" applyProtection="1">
      <protection locked="0" hidden="1"/>
    </xf>
    <xf numFmtId="0" fontId="2" fillId="3" borderId="2" xfId="0" applyFont="1" applyFill="1" applyBorder="1" applyAlignment="1">
      <alignment horizontal="left"/>
    </xf>
    <xf numFmtId="0" fontId="2" fillId="3" borderId="2" xfId="0" applyNumberFormat="1" applyFont="1" applyFill="1" applyBorder="1"/>
    <xf numFmtId="0" fontId="4" fillId="0" borderId="0" xfId="0" applyFont="1"/>
    <xf numFmtId="2" fontId="0" fillId="0" borderId="0" xfId="0" applyNumberFormat="1"/>
    <xf numFmtId="172" fontId="0" fillId="0" borderId="0" xfId="0" applyNumberFormat="1"/>
    <xf numFmtId="0" fontId="2" fillId="0" borderId="1" xfId="0" applyFont="1" applyBorder="1" applyAlignment="1">
      <alignment horizontal="left"/>
    </xf>
    <xf numFmtId="0" fontId="2" fillId="0" borderId="1" xfId="0" applyNumberFormat="1" applyFont="1" applyBorder="1"/>
    <xf numFmtId="166" fontId="2" fillId="0" borderId="1" xfId="0" applyNumberFormat="1" applyFont="1" applyBorder="1"/>
    <xf numFmtId="166" fontId="2" fillId="3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98.385420023151" createdVersion="8" refreshedVersion="8" minRefreshableVersion="3" recordCount="2140" xr:uid="{9B3C7DB1-674B-4669-B6AB-A1857C0D79ED}">
  <cacheSource type="worksheet">
    <worksheetSource ref="A1:W1048576" sheet="Carteira Pedidos de Venda - 202"/>
  </cacheSource>
  <cacheFields count="23">
    <cacheField name="Data da inserção" numFmtId="0">
      <sharedItems containsNonDate="0" containsDate="1" containsString="0" containsBlank="1" minDate="2025-03-03T14:15:47" maxDate="2026-03-13T14:34:59"/>
    </cacheField>
    <cacheField name="Código do pedido de venda" numFmtId="0">
      <sharedItems containsString="0" containsBlank="1" containsNumber="1" containsInteger="1" minValue="167" maxValue="4652"/>
    </cacheField>
    <cacheField name="Razão social" numFmtId="0">
      <sharedItems containsBlank="1" count="245">
        <s v="AA AGRONEGOCIOS LTDA"/>
        <s v="ADELIR ANTONIO STRAPAZZON"/>
        <s v="ADILSON FRANCISCO FISTAROL"/>
        <s v="AGENOR VICENTE PELISSA"/>
        <s v="AGNALDO JOSE SANTANA"/>
        <s v="AGRO PECUARIA TIJUCO PRETO LTDA"/>
        <s v="AGROGERMINAR SOLUCOES AGRICOLAS LTDA"/>
        <s v="AGROPECUARIA GUBERT LTDA"/>
        <s v="ALAN MATEUS FAITA WELTER"/>
        <s v="ALBINO PERIN"/>
        <s v="ALDERICO POLITTA E OUTRA"/>
        <s v="ALERI LUIZ CANAN"/>
        <s v="ALEX DA VEIGA"/>
        <s v="ALEXANDRE EDUARDO KASPER E OUTRO"/>
        <s v="ALEXANDRE GAZIERO"/>
        <s v="ALEXANDRE LAIER"/>
        <s v="ALEXANDRO LERMEN"/>
        <s v="ALEXSANDRO GAZIERO"/>
        <s v="ALTAMIR CAPPELLARI E OUTRO"/>
        <s v="ALUIZIO FERNANDES DE OLIVEIRA"/>
        <s v="ALYNE MARLA AGASSI E OUTROS"/>
        <s v="AMAURI LIBICH"/>
        <s v="ANA CRISTINA FREITAS RUST"/>
        <s v="ANA LAURA NEIS CESCONETTO"/>
        <s v="ANDERSON LUIZ WILLE"/>
        <s v="ANDRE DIOGO DALBEN"/>
        <s v="ANDRE SICHIERI FERNANDES"/>
        <s v="ANDREI DIETRICH"/>
        <s v="ANGELA CARDOSO BATISTA"/>
        <s v="ANGELA MARIA BEAL"/>
        <s v="ANGELO CAVALLI"/>
        <s v="ANISIO BIRK"/>
        <s v="ANTONIO LEUCIR MASCARELLO"/>
        <s v="ANTONIO LOURIVAL MACHADO DE MENEZES E OUTRO"/>
        <s v="ANTONIO MARCOS PRATES"/>
        <s v="ARIOLANDO BORGES DE RESENDE E OUTROS"/>
        <s v="ARTHUR VINHOLIS SIMIONI"/>
        <s v="BIOFARM AGROINDUSTRIA LTDA"/>
        <s v="BIOTECH AGRO LTDA"/>
        <s v="BRUNO CESAR SIMONETTI LIMA"/>
        <s v="BRUNO ROBERTO QUIROGA"/>
        <s v="CARLA CELLA PRADO DA SILVA"/>
        <s v="CARLIN COELHO DE AZEVEDO"/>
        <s v="CARLOS ANTONIO DE SA BRITO"/>
        <s v="CARLOS HENRIQUE MOREIRA ALVES"/>
        <s v="CASSIANO LUIS DAMIANI"/>
        <s v="CELSO LUIZ SORGATTO"/>
        <s v="CENTRO DA MATA - AGRICULTURA, PECUARIA E COMERCIO LTDA"/>
        <s v="CHRISTIAN MENDES"/>
        <s v="CLAUDEMIR MINATTO"/>
        <s v="CLAUDIR ANTONIO DAMIANI"/>
        <s v="CLEBER DE ALMEIDA"/>
        <s v="CLEDEMIR LUIS MOCELINI"/>
        <s v="CLEDIR JOSE FIABANE"/>
        <s v="CLEMENTINO JOSE PRESSI"/>
        <s v="CLEURI ANTONIO SANDRI"/>
        <s v="CLEVERSON EMILIO GNANN"/>
        <s v="COACEN - COOPERATIVA AGROPECUARIA E INDUSTRIAL CELEIRO DO NORT"/>
        <s v="COOPERATIVA AGROINDUSTRIAL VALE DO AZUL - COOAZUL"/>
        <s v="COOPERATIVA AGROPECUARIA MISTA BOA ESPERANCA LTDA - COAMBE"/>
        <s v="DALTRO ANTONIO FERRAZZO"/>
        <s v="DANIEL SCHALM"/>
        <s v="DANILO PECIM DALE LUCHE"/>
        <s v="DARCI TIRLONI"/>
        <s v="DAVI SILVEIRA PIOVEZAN"/>
        <s v="DEFENDER INSUMOS AGRICOLAS LTDA"/>
        <s v="DEISE CRISTINA BISSONI SACHETTI E OUTROS"/>
        <s v="DEISE TASSIANA MARCHIORO PRATES"/>
        <s v="DEOMIR JOAO PRIMON"/>
        <s v="DIEGO SABINO SAUER"/>
        <s v="DIELLISON LUIZ SILVA"/>
        <s v="DIOGO DAMIANI"/>
        <s v="EDNO VALMOR CORTEZIA"/>
        <s v="EDSSON EMILIO PALUDO"/>
        <s v="EDUARDO ANTONELLI SPAK"/>
        <s v="EDUARDO PICCINI E OUTROS"/>
        <s v="ELEANDRO CESAR CASSOL"/>
        <s v="ELIO SAUER"/>
        <s v="ELVIO FERNANDO PELISSA"/>
        <s v="EMERSON RODRIGO DOS SANTOS"/>
        <s v="EUGENIO GIACHINI NETO"/>
        <s v="FABIANO NICHELE"/>
        <s v="FABIO JULIO CARNEIRO"/>
        <s v="FABIO LAIER"/>
        <s v="FABIO LUIS BRATZ"/>
        <s v="FABRICIO KLEYTON BERNARDI COELHO PORTILHO"/>
        <s v="FAGNER CARLOTT"/>
        <s v="FELIPE AUGUSTO GRIEBLER"/>
        <s v="FELIX RECHMANN"/>
        <s v="FERNANDO BEDIN"/>
        <s v="FERNANDO HERRMANN"/>
        <s v="FERNANDO LUIS STOFFEL"/>
        <s v="FERNANDO PRANTE E OUTROS"/>
        <s v="GABRIEL HENRIQUE PINHEIRO ANDRADE"/>
        <s v="GENIVAL MARCON"/>
        <s v="GERSON ANTONIO MAURINA E OUTROS"/>
        <s v="GETULIO FARIAS"/>
        <s v="GIANCARLOS BAVARESCO E OUTROS"/>
        <s v="GILMAR POLAZZO"/>
        <s v="GIORDANO DAL RIO DE FREITAS"/>
        <s v="GIVAN WILSON AMORIM LEAL E OUTROS"/>
        <s v="GLACSTONE CARAMORI"/>
        <s v="GRAO BRASIL AGRONEGOCIOS LTDA"/>
        <s v="GUILHERME ROTILLI"/>
        <s v="GUIVERSON FERREIRA BUENO"/>
        <s v="GUSTAVO CAPITANIO BETELLA"/>
        <s v="GUSTAVO GATTI"/>
        <s v="GUSTAVO ZOCOLOTTO"/>
        <s v="HANDRIGO MARTINS"/>
        <s v="HELIO JOSE BERTUOL"/>
        <s v="HELIO MEINERZ"/>
        <s v="HELIX SEMENTES E BIOTECNOLOGIA LTDA"/>
        <s v="HIGOR CANTON ASSIS"/>
        <s v="HILARIO RENATO PICCINI E OUTROS"/>
        <s v="IDENIO MARIANI"/>
        <s v="ILDO JOSE KLEIN"/>
        <s v="IRINEU AFONSO BRAGAGNOLO E OUTROS"/>
        <s v="ITALO DALPONTE"/>
        <s v="ITAMAR FLEMING"/>
        <s v="IVAN ANTONIO FRANZEN ZANIN"/>
        <s v="IVANIR FERLIN E OUTRA"/>
        <s v="IVANOR ALBA"/>
        <s v="IVOLZIR BEDIN"/>
        <s v="J &amp; B AGRO LTDA"/>
        <s v="JANDIR SIMA E OUTROS"/>
        <s v="JEAN SOUKEF CAMPOS"/>
        <s v="JOAO CARLOS RANDON"/>
        <s v="JOAO DARCI GIUSTI"/>
        <s v="JOAO DARCI GIUSTI JUNIOR"/>
        <s v="JOAO LUIZ PEDRASSANI"/>
        <s v="JOAO OSÓRIO DUMONCEL"/>
        <s v="JOAO SICHIERI"/>
        <s v="JOAQUIM  DO COUTO ROSA"/>
        <s v="JOEL MARCOVICZ"/>
        <s v="JONATHAN LAZAROTTO"/>
        <s v="JORGE JOAO HARTMANN"/>
        <s v="JORGE ROBERTO MANFROI"/>
        <s v="JOSE ALBERTO FAVARETTO"/>
        <s v="JOSE ALTAIR LAZAROTTO"/>
        <s v="JOSE ARMANDO MACHADO"/>
        <s v="JOSE CASTILHO RUIZ E OUTRO"/>
        <s v="JOSE ERNESTO LORENZON E OUTROS"/>
        <s v="JOSE MARIO MAGNANI FILHO"/>
        <s v="JOSEANE BEAL"/>
        <s v="JULIANO MISSIO E OUTROS"/>
        <s v="JULIO CESAR MARTINI CAMARGO"/>
        <s v="JUNIOR FERLA"/>
        <s v="LAERCIO NICOLAI CLOSS E OUTRO"/>
        <s v="LAURI BRAZ FERRAREZI"/>
        <s v="LEANDRO BEDIN"/>
        <s v="LEILA DAIANE SCHAURICH RAZNIEVSKI E OUTRO"/>
        <s v="LEONIR BEAL"/>
        <s v="LEONIR ZANON"/>
        <s v="LUCAS ANDRE FALCADE"/>
        <s v="LUCIANE FRANCIO E OUTROS"/>
        <s v="LUIZ CARLOS BORTOLINI"/>
        <s v="LUIZ CARLOS DOS SANTOS"/>
        <s v="LUIZ CARLOS GUARNIERI"/>
        <s v="LUIZ CARLOS GUSATTI"/>
        <s v="LUIZ CARLOS NARDI"/>
        <s v="LUIZ DIVINO DA SILVA E OUTRA"/>
        <s v="LUIZ GABRIEL NOMURA DA SILVA E OUTROS"/>
        <s v="LUIZ ROGERIO CALEFFI"/>
        <s v="MAFRA AGRONEGOCIOS LTDA"/>
        <s v="MARAPE AGROPECUARIA (S/C) LTDA"/>
        <s v="MARCELINO MANOEL SICHIERI"/>
        <s v="MARCELO ANTONIO NERVO E OUTROS"/>
        <s v="MARCELO FERRAZ DE SOUZA"/>
        <s v="MARCELO KNAPIK"/>
        <s v="MARCO ANTONIO TOMELIN E OUTRA"/>
        <s v="MARCO CESAR ESTEVES DA ROCHA"/>
        <s v="MARCOS LUIZ PANISSAN LODI"/>
        <s v="MARCOS LUNARDI VARGAS MATIOTTI"/>
        <s v="MARIANGELY MENEGAZZO MEDEIROS"/>
        <s v="MARIO ROQUE LUPATINI E OUTROS"/>
        <s v="MARIO WOLF FILHO"/>
        <s v="MARTA POSSAMAI"/>
        <s v="MAURI BEPPLER"/>
        <s v="MAURICIO CATTAPAN"/>
        <s v="MAURICIO FUHR RESENDE"/>
        <s v="MAURO FELIX CORREA E OUTRA"/>
        <s v="MOACIR BELLE E OUTRO"/>
        <s v="MONICA RODRIGUES GOMES DE SOUZA"/>
        <s v="NADIANA AGRONEGOCIOS LTDA"/>
        <s v="NELI IVONE RUARO"/>
        <s v="NELIO PIVA"/>
        <s v="NILZA HARUYO NOMURA"/>
        <s v="NIREU JORGE PELIZON E OUTRA"/>
        <s v="NIVALDO LUCINI"/>
        <s v="NORMELIO PELIZON E OUTRA"/>
        <s v="OSMAR ROSSI"/>
        <s v="PABLO FILLIPETTO"/>
        <s v="PABLO HENRIQUE CHAVES SOARES"/>
        <s v="PASCHOAL DALL APRIA"/>
        <s v="PAULO CAMPAGNOLO"/>
        <s v="PAULO JOSE MARCHIORO"/>
        <s v="PAULO KOZIK"/>
        <s v="PAULO ROBERTO JUSTI"/>
        <s v="PAULO SAMPAIO MAIA"/>
        <s v="PAULO SERGIO GARBIN"/>
        <s v="PEDRO AUGUSTO TEIXEIRA MINOTTO"/>
        <s v="PEDRO BRAGA DA SILVA"/>
        <s v="PEDRO JOSE BERTUOL"/>
        <s v="PONTES INSUMOS AGRICOLAS LTDA"/>
        <s v="PROFARM INSUMOS AGRICOLA LTDA"/>
        <s v="RAFAEL LAGEMANN"/>
        <s v="RAFAEL VILSO FAVARETTO"/>
        <s v="RICARDO POTRICH E OUTROS"/>
        <s v="RICHELLI BRUNO GALIASSI COTRIM"/>
        <s v="RODRIGO FRANZOI DE OLIVEIRA"/>
        <s v="ROGERIO CHICARELLI E OUTROS"/>
        <s v="ROGERIO LUIS KONRATH E OUTRA"/>
        <s v="ROGERIO WENZEL"/>
        <s v="RONALDO GUBERT"/>
        <s v="ROSANE VILELA PANIAGO CREMONESE"/>
        <s v="ROSENILDO SCHMOLLER DO PRADO"/>
        <s v="RUBEM SAUER"/>
        <s v="RUBENS FERNANDO ALVES SEGATTO"/>
        <s v="SAMUEL PRESSI"/>
        <s v="SANTHIAGO GABRIEL DOS REIS"/>
        <s v="SAULO DE MARCO"/>
        <s v="SERGIO FERREIRA DOS SANTOS"/>
        <s v="SERGIO JUNIOR MARTINIS SANTOS E OUTROS"/>
        <s v="SERGIO LUIZ FLORENTINO"/>
        <s v="SILVIANO VICENTE MICHELON"/>
        <s v="SUELEN SILVA PONTELO GASPAROTTO"/>
        <s v="SULIMAR PICOLI"/>
        <s v="THIAGO MURILO MENDONCA FACHIANO E OUTRO"/>
        <s v="TIAGO LUIZ RAUCH E OUTROS"/>
        <s v="TIAGO PIVA"/>
        <s v="VALDECIR JOSE POZZATTO"/>
        <s v="VALMIR LUIZ PIAZZETTA"/>
        <s v="VICENTE BISSONI NETO"/>
        <s v="VILMAR VEDANA"/>
        <s v="VILSO ANTONIO FAVARETTO"/>
        <s v="VITORIO MIGLIORINI"/>
        <s v="VOLNEI COSTA BEBER"/>
        <s v="WALDECIR ROMAN ROSS"/>
        <s v="WALDEMAR RAITER"/>
        <s v="WALDIR ALMEIDA"/>
        <s v="WALTER  GIOVELLI"/>
        <s v="WILLIAN PABLO CARBONI DA SILVA"/>
        <s v="WILLIMAR WELKE"/>
        <s v="YELLOW AGROINDUSTRIAL LTDA"/>
        <m/>
      </sharedItems>
    </cacheField>
    <cacheField name="Réplica da data de emissão do pedido" numFmtId="0">
      <sharedItems containsNonDate="0" containsDate="1" containsString="0" containsBlank="1" minDate="2024-12-19T00:00:00" maxDate="2026-03-14T00:00:00"/>
    </cacheField>
    <cacheField name="Data do vencimento do pedido" numFmtId="0">
      <sharedItems containsNonDate="0" containsDate="1" containsString="0" containsBlank="1" minDate="2025-04-14T00:00:00" maxDate="2026-10-31T00:00:00"/>
    </cacheField>
    <cacheField name="Nome do vendedor 1" numFmtId="0">
      <sharedItems containsBlank="1" count="16">
        <s v="PEDRO FILIPE COELHO MAGALHAES"/>
        <s v="LUCAS NADAL ANGELI"/>
        <s v="CARLOS WILSON FERREIRA ALVES"/>
        <s v="VENDEDOR - LOJA SRS"/>
        <s v="PEDRO DIAS DA SILVA NETO"/>
        <s v="DIOGO PEREIRA SILVA"/>
        <s v="ISABELA DALL APRIA"/>
        <s v="HIGOR RICARDO GONCALVES"/>
        <s v="ARI BITTAR"/>
        <s v="LUIS ANTONIO MAMENTE FILHO"/>
        <s v="VENDEDOR - LOJA SNP"/>
        <s v="ANDERSON CUNHA DA COSTA"/>
        <s v="AGENCIADOR 01"/>
        <s v="DANIEL XAVIER SOARES JUNIOR"/>
        <s v="WESLEY  CARLOS GOMES BAUER"/>
        <m/>
      </sharedItems>
    </cacheField>
    <cacheField name="Loja" numFmtId="0">
      <sharedItems containsBlank="1" count="3">
        <m/>
        <s v="Sorriso"/>
        <s v="Sinop"/>
      </sharedItems>
    </cacheField>
    <cacheField name="Código do CFO" numFmtId="0">
      <sharedItems containsBlank="1"/>
    </cacheField>
    <cacheField name="Descrição do produto/serviço" numFmtId="0">
      <sharedItems containsBlank="1" count="131">
        <s v="VERDIVO MN ACTION 20 LT"/>
        <s v="VERDIVO FIX COMONI 20 LT"/>
        <s v="VERDIVO PRODUTIVO MZ 10 KG"/>
        <s v="VERDIVO VERDMAX 20L"/>
        <s v="VERDIVO BOROFORCE - 10 KG"/>
        <s v="VERDIVO POTENZA K 10 KG"/>
        <s v="VERDIVO EXACT 5 LT"/>
        <s v="VERDIVO ATTACK SPRAY 5 LT"/>
        <s v="VERDIVO COBRE EDTA 3 KG"/>
        <s v="LALRISE AZOS - AZ39 3L"/>
        <s v="RIZOS OG - 1 LT"/>
        <s v="ONIX OG - 1 LT"/>
        <s v="VERDIVO STAND 5 LT"/>
        <s v="INOCULANTE STARFIX SOJA - 3 LT 1X10E10 UFC/ML"/>
        <s v="QUALITY WG - 1 KG"/>
        <s v="FORTGREEN INVICTUS 1 LT"/>
        <s v="ADJUVANTE PROTANK RESOLVE 1 KG"/>
        <s v="INOCULANTE LALFIX NITRO - 3 LT 1X10E10 UFC/ML"/>
        <s v="LALSTOP ORGANIC WP - 1 KG"/>
        <s v="VERDIVO ELYSIAN 1 LT"/>
        <s v="CRYSTAL - 1 LT"/>
        <s v="COUNTER - 15 KG"/>
        <s v="FORTGREEN FG PRODUCAO MAIS 10 KG"/>
        <s v="LALGUARD C99 WP (BR) - 1 KG"/>
        <s v="FORTGREEN LI700 5 LT"/>
        <s v="LALNIX RESIST - 1 KG"/>
        <s v="CALTIMAG+SB CALTIM"/>
        <s v="BOUVERIZ WP - 1 KG"/>
        <s v="VOLANT Q-LATOP ZN 25 KG"/>
        <s v="FORTGREEN MN STABILE 25 LT"/>
        <s v="FORTGREEN TOP ZERO 1 LT"/>
        <s v="VERDIVO OFF ESPUMA 1 LT"/>
        <s v="CALTIMAG+B CALTIM"/>
        <s v="VERDIVO DROP GUARD 5L"/>
        <s v="INOC. NODUSOJA ELKANI - 3 LT"/>
        <s v="VERDIVO BORO10 IBC 1000LT"/>
        <s v="INOC. NODUSOJA BIOLYC L - 3 LT 7,5X10E9 UFC/ML"/>
        <s v="FORTGREEN MAGIC OIL 25 LT"/>
        <s v="FORTGREEN MAGIC OIL 5 LT"/>
        <s v="VERDIVO BORO10 - 20L"/>
        <s v="VERDIVO SULFATO DE MAGNESIO 25 KG"/>
        <s v="VERDIVO AATIVUS 20 LT"/>
        <s v="MANCOZIN 10LT"/>
        <s v="VERDIVO MN EDTA 10 KG"/>
        <s v="VERNO - 10 KG"/>
        <s v="VERDIVO PRODUTIVO - 10 KG"/>
        <s v="VERDIVO MAGLEAF 20 LT"/>
        <s v="FORTGREEN FGPHOTONSD 10KG"/>
        <s v="LALSTIM NUTRI 20LT"/>
        <s v="VERDIVO ELYVER 10 LT"/>
        <s v="FUNGIPROTECT POCHONIA 1LT"/>
        <s v="REVERS - 1 KG"/>
        <s v="FORTGREEN RESOLVE DUO 5 LT"/>
        <s v="VERDIVO NITROVERD IBC 1.000 LT"/>
        <s v="OPENEEM VALENTE 20 LT"/>
        <s v="FORTGREEN FG MATURACAO 20KG"/>
        <s v="FORTGREEN FG MATURACAO 10 KG"/>
        <s v="FORTGREEN SEED DRY NI 1 KG"/>
        <s v="FORTGREEN PHYSIOCROP FULL 20 LT"/>
        <s v="FORTGREEN SEED DRY NI 5 KG"/>
        <s v="FORTGREEN PHYSIOCROP FULL 5 LT"/>
        <s v="FORTGREEN FGPHOTONSD 5KG"/>
        <s v="FORTGREEN BORO FLAME 10 KG"/>
        <s v="FORTGREEN DRIVE 5 LT"/>
        <s v="APL TROPPOIL 25 LT"/>
        <s v="ZOM OLEO MINERAL 20 LT"/>
        <s v="FORTGREEN MOLIBDENIO 15 5 LT"/>
        <s v="FORTGREEN NI EDTA 10 KG"/>
        <s v="FORTGREEN MAGGREEN 25 LT"/>
        <s v="FORTGREEN NITRO 32 25 LT"/>
        <s v="F1RST INOC. QUESTDUON 5 LT"/>
        <s v="F1RST INOC. SOJA QUESTXTRANOD 5 LT"/>
        <s v="F1RST ROYAL TANUS 1 KG"/>
        <s v="VOLANT MANGANES SC 25KG"/>
        <s v="CRYSTAL - 5 LT"/>
        <s v="INOC. NODUSOJA NODUBEANS L FEIJAO 3 LT"/>
        <s v="BIOPROTECTOR - 3L"/>
        <s v="CALTIMAG CALTIM"/>
        <s v="VERDIVO PHOTOMIX 10KG"/>
        <s v="SEM. DE MILHO BM 990 VIP3 + TRAT FORTIS BB"/>
        <s v="ATRAZINA 900 WG ATRAER 10 KG"/>
        <s v="METOMIL 215 SL - CHDS 20 LT"/>
        <s v="FORTGREEN PLENONSD 10 KG"/>
        <s v="FORTGREEN PODLOCK 5 LT"/>
        <s v="BIFENTRINA 400 EC - ALVOFIX 1 LT"/>
        <s v="BIFENTRINA 400 EC - ALVOFIX 5 LT"/>
        <s v="FORTGREEN SULPER 5 LT"/>
        <s v="FORTGREEN BORO 10 25 LT"/>
        <s v="VERDIVO DROP GUARD 1L"/>
        <s v="ADJUVANTE REMOUVER 5 LT"/>
        <s v="CALTIMAG+S CALTIM"/>
        <s v="CALTIMAG+SZN CALTIM"/>
        <s v="VERDIVO EXACT 1 LT"/>
        <s v="INOC. NODUSOJA TURFOSO - 0,8 GR 6X10E9 UFC/G"/>
        <s v="VALENCE STOPPING GO 20 LT"/>
        <s v="FORTGREEN BLACK GOLD 5 LT"/>
        <s v="SEM. DE MILHO BM 183 VIP3 + TRAT FORTIS"/>
        <s v="TERRAMAR 10 LT"/>
        <s v="FORTGREEN GERMINATE 1 LT"/>
        <s v="INOC. NODUSOJA L - 3 LT 6X10E9 UFC/ML"/>
        <s v="ELMO 5 LT"/>
        <s v="FORTGREEN MN EDTA 10 KG"/>
        <s v="FORTGREEN NITRO 32 IBC 1.000 LT"/>
        <s v="CLORFENAPIR 240 SC PRETORIAN 5 LT"/>
        <s v="VERDIVO CYTOGEN 5LT"/>
        <s v="INOC. NODUSOJA REND+ 3 LT"/>
        <s v="VERDIVO NITRATO DE K 25KG"/>
        <s v="APL TROPPOIL 20 LT"/>
        <s v="F1RST ROYAL UP 5 LT"/>
        <s v="SEM. DE MILHO BM 163 PRO4 + TRAT FORTIS"/>
        <s v="FORTGREEN ROUTER 5 LT"/>
        <s v="FORTGREEN XCELLENCE MAIS 10 KG"/>
        <s v="INOCULANTE NITROSPHERA AMENDOIM - 1,5 LT"/>
        <s v="SEM. DE MILHO BM 163 PRO4 + TRAT FORTIS NB BB"/>
        <s v="SEM. DE MILHO BM 166 VIP3 + TRAT FORTIS"/>
        <s v="F1RST QUESTSPIN - 3 LT"/>
        <s v="FORTGREEN CURATIVE START 10 KG"/>
        <s v="SEM. DE MILHO BM 166 VIP3 + TRAT FORTIS BB"/>
        <s v="SEM. DE MILHO BM 163 PRO4 + TRAT FORTIS N BB"/>
        <s v="ONIX OG - 5 LT"/>
        <s v="RIZOS OG - 5 LT"/>
        <s v="VITTIA TRICHO TURBO 5LT"/>
        <s v="SEM. DE MILHO BM 990 VIP3 + TRAT FORTIS"/>
        <s v="VOLANT Q-LATOP COBRE 25 KG"/>
        <s v="FORTGREEN BLACK GOLD 25 LT"/>
        <s v="FORTGREEN GERMINATE 5 LT"/>
        <s v="FORTGREEN XCELLENCE 10 KG"/>
        <s v="FORTGREEN ZN EDTA 10 KG"/>
        <s v="FORTGREEN VIDHA GOLD 10 KG"/>
        <s v="MILHO EM GRAOS"/>
        <m/>
      </sharedItems>
    </cacheField>
    <cacheField name="Categoria" numFmtId="0">
      <sharedItems containsBlank="1" count="3">
        <s v="Verdivo"/>
        <s v="Lallemand"/>
        <m/>
      </sharedItems>
    </cacheField>
    <cacheField name="Unidade de medida" numFmtId="0">
      <sharedItems containsBlank="1"/>
    </cacheField>
    <cacheField name="Valor líquido do item (feito os rateios dos valores do fechamento do pedido)" numFmtId="0">
      <sharedItems containsString="0" containsBlank="1" containsNumber="1" minValue="0.816666" maxValue="6000"/>
    </cacheField>
    <cacheField name="Número do pedido de origem" numFmtId="0">
      <sharedItems containsBlank="1"/>
    </cacheField>
    <cacheField name="Descrição Ciclo" numFmtId="0">
      <sharedItems containsBlank="1"/>
    </cacheField>
    <cacheField name="Quantidade pedida" numFmtId="0">
      <sharedItems containsString="0" containsBlank="1" containsNumber="1" minValue="1" maxValue="160260"/>
    </cacheField>
    <cacheField name="Quantidade entrada" numFmtId="0">
      <sharedItems containsString="0" containsBlank="1" containsNumber="1" containsInteger="1" minValue="0" maxValue="1500"/>
    </cacheField>
    <cacheField name="Quantidade Faturada" numFmtId="0">
      <sharedItems containsString="0" containsBlank="1" containsNumber="1" minValue="0" maxValue="160260"/>
    </cacheField>
    <cacheField name="Total Vendas" numFmtId="0">
      <sharedItems containsString="0" containsBlank="1" containsNumber="1" minValue="0" maxValue="1590000"/>
    </cacheField>
    <cacheField name="Vencimento da parcela" numFmtId="0">
      <sharedItems containsNonDate="0" containsString="0" containsBlank="1"/>
    </cacheField>
    <cacheField name="MUNIPRO" numFmtId="0">
      <sharedItems containsBlank="1"/>
    </cacheField>
    <cacheField name="CGC_TRA" numFmtId="0">
      <sharedItems containsBlank="1"/>
    </cacheField>
    <cacheField name="VLOR_IPE" numFmtId="0">
      <sharedItems containsString="0" containsBlank="1" containsNumber="1" minValue="0.816666" maxValue="6000"/>
    </cacheField>
    <cacheField name="QPER_IPE" numFmtId="0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40">
  <r>
    <d v="2025-08-11T08:27:34"/>
    <n v="3973"/>
    <x v="0"/>
    <d v="2025-08-11T00:00:00"/>
    <d v="2026-04-30T00:00:00"/>
    <x v="0"/>
    <x v="0"/>
    <s v="510200"/>
    <x v="0"/>
    <x v="0"/>
    <s v="LT"/>
    <n v="18"/>
    <s v="5532"/>
    <s v="SAFRA 25/26"/>
    <n v="700"/>
    <n v="0"/>
    <n v="700"/>
    <n v="12600"/>
    <m/>
    <s v="NOVA UBIRATA"/>
    <s v="42652916000176"/>
    <n v="18"/>
    <n v="0"/>
  </r>
  <r>
    <d v="2025-08-11T08:27:34"/>
    <n v="3973"/>
    <x v="0"/>
    <d v="2025-08-11T00:00:00"/>
    <d v="2026-04-30T00:00:00"/>
    <x v="0"/>
    <x v="0"/>
    <s v="510200"/>
    <x v="1"/>
    <x v="0"/>
    <s v="LT"/>
    <n v="160"/>
    <s v="5532"/>
    <s v="SAFRA 25/26"/>
    <n v="140"/>
    <n v="0"/>
    <n v="140"/>
    <n v="22400"/>
    <m/>
    <s v="NOVA UBIRATA"/>
    <s v="42652916000176"/>
    <n v="160"/>
    <n v="0"/>
  </r>
  <r>
    <d v="2025-08-11T08:27:34"/>
    <n v="3973"/>
    <x v="0"/>
    <d v="2025-08-11T00:00:00"/>
    <d v="2026-04-30T00:00:00"/>
    <x v="0"/>
    <x v="0"/>
    <s v="510200"/>
    <x v="2"/>
    <x v="0"/>
    <s v="KG"/>
    <n v="23.5"/>
    <s v="5532"/>
    <s v="SAFRA 25/26"/>
    <n v="1410"/>
    <n v="0"/>
    <n v="1410"/>
    <n v="33135"/>
    <m/>
    <s v="NOVA UBIRATA"/>
    <s v="42652916000176"/>
    <n v="23.5"/>
    <n v="0"/>
  </r>
  <r>
    <d v="2025-08-11T08:27:34"/>
    <n v="3973"/>
    <x v="0"/>
    <d v="2025-08-11T00:00:00"/>
    <d v="2026-04-30T00:00:00"/>
    <x v="0"/>
    <x v="0"/>
    <s v="510200"/>
    <x v="3"/>
    <x v="0"/>
    <s v="LT"/>
    <n v="25"/>
    <s v="5532"/>
    <s v="SAFRA 25/26"/>
    <n v="700"/>
    <n v="0"/>
    <n v="700"/>
    <n v="17500"/>
    <m/>
    <s v="NOVA UBIRATA"/>
    <s v="42652916000176"/>
    <n v="25"/>
    <n v="0"/>
  </r>
  <r>
    <d v="2025-08-11T08:27:34"/>
    <n v="3973"/>
    <x v="0"/>
    <d v="2025-08-11T00:00:00"/>
    <d v="2026-04-30T00:00:00"/>
    <x v="0"/>
    <x v="0"/>
    <s v="510200"/>
    <x v="4"/>
    <x v="0"/>
    <s v="KG"/>
    <n v="28"/>
    <s v="5532"/>
    <s v="SAFRA 25/26"/>
    <n v="1770"/>
    <n v="0"/>
    <n v="1770"/>
    <n v="49560"/>
    <m/>
    <s v="NOVA UBIRATA"/>
    <s v="42652916000176"/>
    <n v="28"/>
    <n v="0"/>
  </r>
  <r>
    <d v="2025-08-11T08:27:34"/>
    <n v="3973"/>
    <x v="0"/>
    <d v="2025-08-11T00:00:00"/>
    <d v="2026-04-30T00:00:00"/>
    <x v="0"/>
    <x v="0"/>
    <s v="510200"/>
    <x v="5"/>
    <x v="0"/>
    <s v="KG"/>
    <n v="25"/>
    <s v="5532"/>
    <s v="SAFRA 25/26"/>
    <n v="1060"/>
    <n v="0"/>
    <n v="1060"/>
    <n v="26500"/>
    <m/>
    <s v="NOVA UBIRATA"/>
    <s v="42652916000176"/>
    <n v="25"/>
    <n v="0"/>
  </r>
  <r>
    <d v="2025-08-11T08:27:34"/>
    <n v="3973"/>
    <x v="0"/>
    <d v="2025-08-11T00:00:00"/>
    <d v="2026-04-30T00:00:00"/>
    <x v="0"/>
    <x v="0"/>
    <s v="510200"/>
    <x v="6"/>
    <x v="0"/>
    <s v="LT"/>
    <n v="75"/>
    <s v="5532"/>
    <s v="SAFRA 25/26"/>
    <n v="140"/>
    <n v="0"/>
    <n v="140"/>
    <n v="10500"/>
    <m/>
    <s v="NOVA UBIRATA"/>
    <s v="42652916000176"/>
    <n v="75"/>
    <n v="0"/>
  </r>
  <r>
    <d v="2025-08-11T08:27:34"/>
    <n v="3973"/>
    <x v="0"/>
    <d v="2025-08-11T00:00:00"/>
    <d v="2026-04-30T00:00:00"/>
    <x v="0"/>
    <x v="0"/>
    <s v="510200"/>
    <x v="7"/>
    <x v="0"/>
    <s v="LT"/>
    <n v="75"/>
    <s v="5532"/>
    <s v="SAFRA 25/26"/>
    <n v="105"/>
    <n v="0"/>
    <n v="105"/>
    <n v="7875"/>
    <m/>
    <s v="NOVA UBIRATA"/>
    <s v="42652916000176"/>
    <n v="75"/>
    <n v="0"/>
  </r>
  <r>
    <d v="2025-08-11T08:27:34"/>
    <n v="3973"/>
    <x v="0"/>
    <d v="2025-08-11T00:00:00"/>
    <d v="2026-04-30T00:00:00"/>
    <x v="0"/>
    <x v="0"/>
    <s v="510200"/>
    <x v="8"/>
    <x v="0"/>
    <s v="KG"/>
    <n v="95"/>
    <s v="5532"/>
    <s v="SAFRA 25/26"/>
    <n v="72"/>
    <n v="0"/>
    <n v="72"/>
    <n v="6840"/>
    <m/>
    <s v="NOVA UBIRATA"/>
    <s v="42652916000176"/>
    <n v="95"/>
    <n v="0"/>
  </r>
  <r>
    <d v="2025-08-11T08:44:34"/>
    <n v="3974"/>
    <x v="0"/>
    <d v="2025-08-11T00:00:00"/>
    <d v="2026-04-30T00:00:00"/>
    <x v="0"/>
    <x v="1"/>
    <s v="510200"/>
    <x v="9"/>
    <x v="1"/>
    <s v="LT"/>
    <n v="49.5"/>
    <s v="5535"/>
    <s v="SAFRA 25/26"/>
    <n v="72"/>
    <n v="0"/>
    <n v="72"/>
    <n v="3564"/>
    <m/>
    <s v="NOVA UBIRATA"/>
    <s v="42652916000176"/>
    <n v="49.5"/>
    <n v="0"/>
  </r>
  <r>
    <d v="2025-08-11T08:44:34"/>
    <n v="3974"/>
    <x v="0"/>
    <d v="2025-08-11T00:00:00"/>
    <d v="2026-04-30T00:00:00"/>
    <x v="0"/>
    <x v="1"/>
    <s v="510200"/>
    <x v="10"/>
    <x v="1"/>
    <s v="LT"/>
    <n v="321"/>
    <s v="5535"/>
    <s v="SAFRA 25/26"/>
    <n v="35"/>
    <n v="0"/>
    <n v="35"/>
    <n v="11235"/>
    <m/>
    <s v="NOVA UBIRATA"/>
    <s v="42652916000176"/>
    <n v="321"/>
    <n v="0"/>
  </r>
  <r>
    <d v="2025-08-11T08:44:34"/>
    <n v="3974"/>
    <x v="0"/>
    <d v="2025-08-11T00:00:00"/>
    <d v="2026-04-30T00:00:00"/>
    <x v="0"/>
    <x v="1"/>
    <s v="510200"/>
    <x v="11"/>
    <x v="1"/>
    <s v="LT"/>
    <n v="311"/>
    <s v="5535"/>
    <s v="SAFRA 25/26"/>
    <n v="35"/>
    <n v="0"/>
    <n v="35"/>
    <n v="10885"/>
    <m/>
    <s v="NOVA UBIRATA"/>
    <s v="42652916000176"/>
    <n v="311"/>
    <n v="0"/>
  </r>
  <r>
    <d v="2025-08-11T08:44:34"/>
    <n v="3974"/>
    <x v="0"/>
    <d v="2025-08-11T00:00:00"/>
    <d v="2026-04-30T00:00:00"/>
    <x v="0"/>
    <x v="0"/>
    <s v="510200"/>
    <x v="12"/>
    <x v="0"/>
    <s v="LT"/>
    <n v="220"/>
    <s v="5535"/>
    <s v="SAFRA 25/26"/>
    <n v="70"/>
    <n v="0"/>
    <n v="70"/>
    <n v="15400"/>
    <m/>
    <s v="NOVA UBIRATA"/>
    <s v="42652916000176"/>
    <n v="220"/>
    <n v="0"/>
  </r>
  <r>
    <d v="2025-08-11T08:44:34"/>
    <n v="3974"/>
    <x v="0"/>
    <d v="2025-08-11T00:00:00"/>
    <d v="2026-04-30T00:00:00"/>
    <x v="0"/>
    <x v="1"/>
    <s v="510200"/>
    <x v="13"/>
    <x v="1"/>
    <s v="LT"/>
    <n v="50"/>
    <s v="5535"/>
    <s v="SAFRA 25/26"/>
    <n v="72"/>
    <n v="0"/>
    <n v="72"/>
    <n v="3600"/>
    <m/>
    <s v="NOVA UBIRATA"/>
    <s v="42652916000176"/>
    <n v="50"/>
    <n v="0"/>
  </r>
  <r>
    <d v="2025-08-11T08:44:34"/>
    <n v="3974"/>
    <x v="0"/>
    <d v="2025-08-11T00:00:00"/>
    <d v="2026-04-30T00:00:00"/>
    <x v="0"/>
    <x v="1"/>
    <s v="510200"/>
    <x v="14"/>
    <x v="1"/>
    <s v="KG"/>
    <n v="385"/>
    <s v="5535"/>
    <s v="SAFRA 25/26"/>
    <n v="35"/>
    <n v="0"/>
    <n v="35"/>
    <n v="13475"/>
    <m/>
    <s v="NOVA UBIRATA"/>
    <s v="42652916000176"/>
    <n v="385"/>
    <n v="0"/>
  </r>
  <r>
    <d v="2025-08-11T08:59:14"/>
    <n v="3975"/>
    <x v="0"/>
    <d v="2025-08-11T00:00:00"/>
    <d v="2026-09-30T00:00:00"/>
    <x v="0"/>
    <x v="1"/>
    <s v="510200"/>
    <x v="14"/>
    <x v="1"/>
    <s v="KG"/>
    <n v="385"/>
    <s v="5534"/>
    <s v="SAFRINHA 2026"/>
    <n v="28"/>
    <n v="0"/>
    <n v="28"/>
    <n v="10780"/>
    <m/>
    <s v="NOVA UBIRATA"/>
    <s v="42652916000176"/>
    <n v="385"/>
    <n v="0"/>
  </r>
  <r>
    <d v="2025-08-11T08:59:14"/>
    <n v="3975"/>
    <x v="0"/>
    <d v="2025-08-11T00:00:00"/>
    <d v="2026-09-30T00:00:00"/>
    <x v="0"/>
    <x v="0"/>
    <s v="510200"/>
    <x v="0"/>
    <x v="0"/>
    <s v="LT"/>
    <n v="18"/>
    <s v="5534"/>
    <s v="SAFRINHA 2026"/>
    <n v="700"/>
    <n v="0"/>
    <n v="700"/>
    <n v="12600"/>
    <m/>
    <s v="NOVA UBIRATA"/>
    <s v="42652916000176"/>
    <n v="18"/>
    <n v="0"/>
  </r>
  <r>
    <d v="2025-08-11T08:59:14"/>
    <n v="3975"/>
    <x v="0"/>
    <d v="2025-08-11T00:00:00"/>
    <d v="2026-09-30T00:00:00"/>
    <x v="0"/>
    <x v="1"/>
    <s v="510200"/>
    <x v="10"/>
    <x v="1"/>
    <s v="LT"/>
    <n v="311"/>
    <s v="5534"/>
    <s v="SAFRINHA 2026"/>
    <n v="14"/>
    <n v="0"/>
    <n v="14"/>
    <n v="4354"/>
    <m/>
    <s v="NOVA UBIRATA"/>
    <s v="42652916000176"/>
    <n v="311"/>
    <n v="0"/>
  </r>
  <r>
    <d v="2025-08-11T08:59:14"/>
    <n v="3975"/>
    <x v="0"/>
    <d v="2025-08-11T00:00:00"/>
    <d v="2026-09-30T00:00:00"/>
    <x v="0"/>
    <x v="0"/>
    <s v="510200"/>
    <x v="3"/>
    <x v="0"/>
    <s v="LT"/>
    <n v="25"/>
    <s v="5534"/>
    <s v="SAFRINHA 2026"/>
    <n v="700"/>
    <n v="0"/>
    <n v="700"/>
    <n v="17500"/>
    <m/>
    <s v="NOVA UBIRATA"/>
    <s v="42652916000176"/>
    <n v="25"/>
    <n v="0"/>
  </r>
  <r>
    <d v="2025-08-11T08:59:14"/>
    <n v="3975"/>
    <x v="0"/>
    <d v="2025-08-11T00:00:00"/>
    <d v="2026-09-30T00:00:00"/>
    <x v="0"/>
    <x v="0"/>
    <s v="510200"/>
    <x v="2"/>
    <x v="0"/>
    <s v="KG"/>
    <n v="23.5"/>
    <s v="5534"/>
    <s v="SAFRINHA 2026"/>
    <n v="1410"/>
    <n v="0"/>
    <n v="1410"/>
    <n v="33135"/>
    <m/>
    <s v="NOVA UBIRATA"/>
    <s v="42652916000176"/>
    <n v="23.5"/>
    <n v="0"/>
  </r>
  <r>
    <d v="2025-08-11T08:59:14"/>
    <n v="3975"/>
    <x v="0"/>
    <d v="2025-08-11T00:00:00"/>
    <d v="2026-09-30T00:00:00"/>
    <x v="0"/>
    <x v="0"/>
    <s v="510200"/>
    <x v="7"/>
    <x v="0"/>
    <s v="LT"/>
    <n v="75"/>
    <s v="5534"/>
    <s v="SAFRINHA 2026"/>
    <n v="60"/>
    <n v="0"/>
    <n v="60"/>
    <n v="4500"/>
    <m/>
    <s v="NOVA UBIRATA"/>
    <s v="42652916000176"/>
    <n v="75"/>
    <n v="0"/>
  </r>
  <r>
    <d v="2025-08-11T08:59:14"/>
    <n v="3975"/>
    <x v="0"/>
    <d v="2025-08-11T00:00:00"/>
    <d v="2026-09-30T00:00:00"/>
    <x v="0"/>
    <x v="1"/>
    <s v="510200"/>
    <x v="11"/>
    <x v="1"/>
    <s v="LT"/>
    <n v="321"/>
    <s v="5534"/>
    <s v="SAFRINHA 2026"/>
    <n v="14"/>
    <n v="0"/>
    <n v="14"/>
    <n v="4494"/>
    <m/>
    <s v="NOVA UBIRATA"/>
    <s v="42652916000176"/>
    <n v="321"/>
    <n v="0"/>
  </r>
  <r>
    <d v="2025-08-11T08:59:14"/>
    <n v="3975"/>
    <x v="0"/>
    <d v="2025-08-11T00:00:00"/>
    <d v="2026-09-30T00:00:00"/>
    <x v="0"/>
    <x v="1"/>
    <s v="510200"/>
    <x v="9"/>
    <x v="1"/>
    <s v="LT"/>
    <n v="49.5"/>
    <s v="5534"/>
    <s v="SAFRINHA 2026"/>
    <n v="72"/>
    <n v="0"/>
    <n v="72"/>
    <n v="3564"/>
    <m/>
    <s v="NOVA UBIRATA"/>
    <s v="42652916000176"/>
    <n v="49.5"/>
    <n v="0"/>
  </r>
  <r>
    <d v="2025-08-11T08:59:14"/>
    <n v="3975"/>
    <x v="0"/>
    <d v="2025-08-11T00:00:00"/>
    <d v="2026-09-30T00:00:00"/>
    <x v="0"/>
    <x v="0"/>
    <s v="510200"/>
    <x v="12"/>
    <x v="0"/>
    <s v="LT"/>
    <n v="220"/>
    <s v="5534"/>
    <s v="SAFRINHA 2026"/>
    <n v="70"/>
    <n v="0"/>
    <n v="70"/>
    <n v="15400"/>
    <m/>
    <s v="NOVA UBIRATA"/>
    <s v="42652916000176"/>
    <n v="220"/>
    <n v="0"/>
  </r>
  <r>
    <d v="2025-08-11T08:59:14"/>
    <n v="3975"/>
    <x v="0"/>
    <d v="2025-08-11T00:00:00"/>
    <d v="2026-09-30T00:00:00"/>
    <x v="0"/>
    <x v="0"/>
    <s v="510200"/>
    <x v="6"/>
    <x v="0"/>
    <s v="LT"/>
    <n v="75"/>
    <s v="5534"/>
    <s v="SAFRINHA 2026"/>
    <n v="140"/>
    <n v="0"/>
    <n v="140"/>
    <n v="10500"/>
    <m/>
    <s v="NOVA UBIRATA"/>
    <s v="42652916000176"/>
    <n v="75"/>
    <n v="0"/>
  </r>
  <r>
    <d v="2025-08-11T08:59:14"/>
    <n v="3975"/>
    <x v="0"/>
    <d v="2025-08-11T00:00:00"/>
    <d v="2026-09-30T00:00:00"/>
    <x v="0"/>
    <x v="0"/>
    <s v="510200"/>
    <x v="1"/>
    <x v="0"/>
    <s v="LT"/>
    <n v="160"/>
    <s v="5534"/>
    <s v="SAFRINHA 2026"/>
    <n v="220"/>
    <n v="0"/>
    <n v="220"/>
    <n v="35200"/>
    <m/>
    <s v="NOVA UBIRATA"/>
    <s v="42652916000176"/>
    <n v="160"/>
    <n v="0"/>
  </r>
  <r>
    <d v="2025-11-11T13:44:26"/>
    <n v="4257"/>
    <x v="0"/>
    <d v="2025-11-11T00:00:00"/>
    <d v="2026-04-30T00:00:00"/>
    <x v="0"/>
    <x v="0"/>
    <s v="510200"/>
    <x v="3"/>
    <x v="0"/>
    <s v="LT"/>
    <n v="25"/>
    <s v="5808"/>
    <s v="SAFRA 25/26"/>
    <n v="100"/>
    <n v="0"/>
    <n v="100"/>
    <n v="2500"/>
    <m/>
    <s v="NOVA UBIRATA"/>
    <s v="42652916000176"/>
    <n v="25"/>
    <n v="0"/>
  </r>
  <r>
    <d v="2025-11-14T09:04:11"/>
    <n v="4270"/>
    <x v="0"/>
    <d v="2025-11-14T00:00:00"/>
    <d v="2026-04-30T00:00:00"/>
    <x v="0"/>
    <x v="0"/>
    <s v="510200"/>
    <x v="3"/>
    <x v="0"/>
    <s v="LT"/>
    <n v="25"/>
    <s v="5814"/>
    <s v="SAFRA 25/26"/>
    <n v="100"/>
    <n v="0"/>
    <n v="100"/>
    <n v="2500"/>
    <m/>
    <s v="NOVA UBIRATA"/>
    <s v="42652916000176"/>
    <n v="25"/>
    <n v="0"/>
  </r>
  <r>
    <d v="2026-01-21T17:03:46"/>
    <n v="4480"/>
    <x v="0"/>
    <d v="2026-01-21T00:00:00"/>
    <d v="2026-09-30T00:00:00"/>
    <x v="0"/>
    <x v="0"/>
    <s v="510200"/>
    <x v="4"/>
    <x v="0"/>
    <s v="KG"/>
    <n v="26.5"/>
    <s v="6027"/>
    <s v="SAFRINHA 2026"/>
    <n v="1800"/>
    <n v="0"/>
    <n v="1800"/>
    <n v="47700"/>
    <m/>
    <s v="NOVA UBIRATA"/>
    <s v="42652916000176"/>
    <n v="26.5"/>
    <n v="0"/>
  </r>
  <r>
    <d v="2026-02-23T09:49:56"/>
    <n v="4600"/>
    <x v="0"/>
    <d v="2026-02-23T00:00:00"/>
    <d v="2026-09-30T00:00:00"/>
    <x v="0"/>
    <x v="0"/>
    <s v="510200"/>
    <x v="12"/>
    <x v="0"/>
    <s v="LT"/>
    <n v="220"/>
    <s v="6098"/>
    <s v="SAFRINHA 2026"/>
    <n v="5"/>
    <n v="0"/>
    <n v="5"/>
    <n v="1100"/>
    <m/>
    <s v="NOVA UBIRATA"/>
    <s v="42652916000176"/>
    <n v="220"/>
    <n v="0"/>
  </r>
  <r>
    <d v="2025-10-13T09:21:17"/>
    <n v="343"/>
    <x v="1"/>
    <d v="2025-10-13T00:00:00"/>
    <d v="2026-03-30T00:00:00"/>
    <x v="1"/>
    <x v="0"/>
    <s v="510200"/>
    <x v="15"/>
    <x v="2"/>
    <s v="LT"/>
    <n v="165"/>
    <s v="83"/>
    <s v="SAFRA 25/26"/>
    <n v="10"/>
    <n v="0"/>
    <n v="10"/>
    <n v="1650"/>
    <m/>
    <s v="MARCELANDIA"/>
    <s v="78405963987"/>
    <n v="165"/>
    <n v="0"/>
  </r>
  <r>
    <d v="2025-10-13T09:21:17"/>
    <n v="343"/>
    <x v="1"/>
    <d v="2025-10-13T00:00:00"/>
    <d v="2026-03-30T00:00:00"/>
    <x v="1"/>
    <x v="0"/>
    <s v="510200"/>
    <x v="16"/>
    <x v="2"/>
    <s v="KG"/>
    <n v="80"/>
    <s v="83"/>
    <s v="SAFRA 25/26"/>
    <n v="10"/>
    <n v="0"/>
    <n v="10"/>
    <n v="800"/>
    <m/>
    <s v="MARCELANDIA"/>
    <s v="78405963987"/>
    <n v="80"/>
    <n v="0"/>
  </r>
  <r>
    <d v="2025-07-10T14:09:09"/>
    <n v="245"/>
    <x v="2"/>
    <d v="2025-07-10T00:00:00"/>
    <d v="2026-04-30T00:00:00"/>
    <x v="1"/>
    <x v="2"/>
    <s v="510200"/>
    <x v="17"/>
    <x v="1"/>
    <s v="LT"/>
    <n v="36"/>
    <s v="9"/>
    <s v="SAFRA 25/26"/>
    <n v="1950"/>
    <n v="0"/>
    <n v="1950"/>
    <n v="70200"/>
    <m/>
    <s v="MARCELANDIA"/>
    <s v="32524897168"/>
    <n v="36"/>
    <n v="0"/>
  </r>
  <r>
    <d v="2025-07-10T14:09:09"/>
    <n v="245"/>
    <x v="2"/>
    <d v="2025-07-10T00:00:00"/>
    <d v="2026-04-30T00:00:00"/>
    <x v="1"/>
    <x v="2"/>
    <s v="510200"/>
    <x v="9"/>
    <x v="1"/>
    <s v="LT"/>
    <n v="40"/>
    <s v="9"/>
    <s v="SAFRA 25/26"/>
    <n v="1302"/>
    <n v="0"/>
    <n v="1302"/>
    <n v="52080"/>
    <m/>
    <s v="MARCELANDIA"/>
    <s v="32524897168"/>
    <n v="40"/>
    <n v="0"/>
  </r>
  <r>
    <d v="2025-07-10T14:09:09"/>
    <n v="245"/>
    <x v="2"/>
    <d v="2025-07-10T00:00:00"/>
    <d v="2026-04-30T00:00:00"/>
    <x v="1"/>
    <x v="2"/>
    <s v="510200"/>
    <x v="13"/>
    <x v="1"/>
    <s v="LT"/>
    <n v="36"/>
    <s v="9"/>
    <s v="SAFRA 25/26"/>
    <n v="1950"/>
    <n v="0"/>
    <n v="1950"/>
    <n v="70200"/>
    <m/>
    <s v="MARCELANDIA"/>
    <s v="32524897168"/>
    <n v="36"/>
    <n v="0"/>
  </r>
  <r>
    <d v="2025-07-10T14:09:09"/>
    <n v="245"/>
    <x v="2"/>
    <d v="2025-07-10T00:00:00"/>
    <d v="2026-04-30T00:00:00"/>
    <x v="1"/>
    <x v="2"/>
    <s v="510200"/>
    <x v="14"/>
    <x v="1"/>
    <s v="KG"/>
    <n v="360"/>
    <s v="9"/>
    <s v="SAFRA 25/26"/>
    <n v="650"/>
    <n v="0"/>
    <n v="650"/>
    <n v="234000"/>
    <m/>
    <s v="MARCELANDIA"/>
    <s v="32524897168"/>
    <n v="360"/>
    <n v="0"/>
  </r>
  <r>
    <d v="2025-07-10T14:09:09"/>
    <n v="245"/>
    <x v="2"/>
    <d v="2025-07-10T00:00:00"/>
    <d v="2026-04-30T00:00:00"/>
    <x v="1"/>
    <x v="0"/>
    <s v="510200"/>
    <x v="6"/>
    <x v="0"/>
    <s v="LT"/>
    <n v="65"/>
    <s v="9"/>
    <s v="SAFRA 25/26"/>
    <n v="1000"/>
    <n v="0"/>
    <n v="1000"/>
    <n v="65000"/>
    <m/>
    <s v="MARCELANDIA"/>
    <s v="32524897168"/>
    <n v="65"/>
    <n v="0"/>
  </r>
  <r>
    <d v="2025-07-10T14:09:09"/>
    <n v="245"/>
    <x v="2"/>
    <d v="2025-07-10T00:00:00"/>
    <d v="2026-04-30T00:00:00"/>
    <x v="1"/>
    <x v="2"/>
    <s v="510200"/>
    <x v="11"/>
    <x v="1"/>
    <s v="LT"/>
    <n v="260"/>
    <s v="9"/>
    <s v="SAFRA 25/26"/>
    <n v="650"/>
    <n v="0"/>
    <n v="650"/>
    <n v="169000"/>
    <m/>
    <s v="MARCELANDIA"/>
    <s v="32524897168"/>
    <n v="260"/>
    <n v="0"/>
  </r>
  <r>
    <d v="2025-07-10T14:09:09"/>
    <n v="245"/>
    <x v="2"/>
    <d v="2025-07-10T00:00:00"/>
    <d v="2026-04-30T00:00:00"/>
    <x v="1"/>
    <x v="2"/>
    <s v="510200"/>
    <x v="10"/>
    <x v="1"/>
    <s v="LT"/>
    <n v="260"/>
    <s v="9"/>
    <s v="SAFRA 25/26"/>
    <n v="650"/>
    <n v="0"/>
    <n v="650"/>
    <n v="169000"/>
    <m/>
    <s v="MARCELANDIA"/>
    <s v="32524897168"/>
    <n v="260"/>
    <n v="0"/>
  </r>
  <r>
    <d v="2025-11-26T15:53:43"/>
    <n v="427"/>
    <x v="2"/>
    <d v="2025-11-26T00:00:00"/>
    <d v="2026-10-30T00:00:00"/>
    <x v="1"/>
    <x v="2"/>
    <s v="510200"/>
    <x v="10"/>
    <x v="1"/>
    <s v="LT"/>
    <n v="260"/>
    <s v="184"/>
    <s v="SAFRINHA 2026"/>
    <n v="765"/>
    <n v="0"/>
    <n v="765"/>
    <n v="198900"/>
    <m/>
    <s v="MARCELANDIA"/>
    <s v="32524897168"/>
    <n v="260"/>
    <n v="0"/>
  </r>
  <r>
    <d v="2025-11-26T15:53:43"/>
    <n v="427"/>
    <x v="2"/>
    <d v="2025-11-26T00:00:00"/>
    <d v="2026-10-30T00:00:00"/>
    <x v="1"/>
    <x v="2"/>
    <s v="510200"/>
    <x v="9"/>
    <x v="1"/>
    <s v="LT"/>
    <n v="40"/>
    <s v="184"/>
    <s v="SAFRINHA 2026"/>
    <n v="1032"/>
    <n v="0"/>
    <n v="1032"/>
    <n v="41280"/>
    <m/>
    <s v="MARCELANDIA"/>
    <s v="32524897168"/>
    <n v="40"/>
    <n v="0"/>
  </r>
  <r>
    <d v="2025-11-26T15:53:43"/>
    <n v="427"/>
    <x v="2"/>
    <d v="2025-11-26T00:00:00"/>
    <d v="2026-10-30T00:00:00"/>
    <x v="1"/>
    <x v="2"/>
    <s v="510200"/>
    <x v="14"/>
    <x v="1"/>
    <s v="KG"/>
    <n v="360"/>
    <s v="184"/>
    <s v="SAFRINHA 2026"/>
    <n v="250"/>
    <n v="0"/>
    <n v="250"/>
    <n v="90000"/>
    <m/>
    <s v="MARCELANDIA"/>
    <s v="32524897168"/>
    <n v="360"/>
    <n v="0"/>
  </r>
  <r>
    <d v="2025-11-26T15:53:43"/>
    <n v="427"/>
    <x v="2"/>
    <d v="2025-11-26T00:00:00"/>
    <d v="2026-10-30T00:00:00"/>
    <x v="1"/>
    <x v="2"/>
    <s v="510200"/>
    <x v="18"/>
    <x v="1"/>
    <s v="KG"/>
    <n v="200"/>
    <s v="184"/>
    <s v="SAFRINHA 2026"/>
    <n v="424"/>
    <n v="0"/>
    <n v="424"/>
    <n v="84800"/>
    <m/>
    <s v="MARCELANDIA"/>
    <s v="32524897168"/>
    <n v="200"/>
    <n v="0"/>
  </r>
  <r>
    <d v="2025-11-26T15:53:43"/>
    <n v="427"/>
    <x v="2"/>
    <d v="2025-11-26T00:00:00"/>
    <d v="2026-10-30T00:00:00"/>
    <x v="1"/>
    <x v="0"/>
    <s v="510200"/>
    <x v="6"/>
    <x v="0"/>
    <s v="LT"/>
    <n v="65"/>
    <s v="184"/>
    <s v="SAFRINHA 2026"/>
    <n v="1000"/>
    <n v="0"/>
    <n v="1000"/>
    <n v="65000"/>
    <m/>
    <s v="MARCELANDIA"/>
    <s v="32524897168"/>
    <n v="65"/>
    <n v="0"/>
  </r>
  <r>
    <d v="2025-11-26T15:53:43"/>
    <n v="427"/>
    <x v="2"/>
    <d v="2025-11-26T00:00:00"/>
    <d v="2026-10-30T00:00:00"/>
    <x v="1"/>
    <x v="2"/>
    <s v="510200"/>
    <x v="11"/>
    <x v="1"/>
    <s v="LT"/>
    <n v="260"/>
    <s v="184"/>
    <s v="SAFRINHA 2026"/>
    <n v="515"/>
    <n v="0"/>
    <n v="515"/>
    <n v="133900"/>
    <m/>
    <s v="MARCELANDIA"/>
    <s v="32524897168"/>
    <n v="260"/>
    <n v="0"/>
  </r>
  <r>
    <d v="2026-03-04T07:49:00"/>
    <n v="567"/>
    <x v="2"/>
    <d v="2026-03-04T00:00:00"/>
    <d v="2026-10-30T00:00:00"/>
    <x v="1"/>
    <x v="0"/>
    <s v="510200"/>
    <x v="6"/>
    <x v="0"/>
    <s v="LT"/>
    <n v="65"/>
    <s v="488"/>
    <s v="SAFRINHA 2026"/>
    <n v="3000"/>
    <n v="1500"/>
    <n v="1500"/>
    <n v="97500"/>
    <m/>
    <s v="MARCELANDIA"/>
    <s v="32524897168"/>
    <n v="65"/>
    <n v="0"/>
  </r>
  <r>
    <d v="2026-01-10T06:55:32"/>
    <n v="490"/>
    <x v="3"/>
    <d v="2026-01-10T00:00:00"/>
    <d v="2026-09-30T00:00:00"/>
    <x v="2"/>
    <x v="2"/>
    <s v="510200"/>
    <x v="18"/>
    <x v="1"/>
    <s v="KG"/>
    <n v="175"/>
    <s v="132"/>
    <s v="SAFRINHA 2026"/>
    <n v="190"/>
    <n v="0"/>
    <n v="190"/>
    <n v="33250"/>
    <m/>
    <s v="SANTA CARMEM"/>
    <s v="61472140982"/>
    <n v="175"/>
    <n v="0"/>
  </r>
  <r>
    <d v="2026-01-10T06:59:09"/>
    <n v="491"/>
    <x v="3"/>
    <d v="2026-01-10T00:00:00"/>
    <d v="2026-09-30T00:00:00"/>
    <x v="2"/>
    <x v="2"/>
    <s v="510200"/>
    <x v="18"/>
    <x v="1"/>
    <s v="KG"/>
    <n v="175"/>
    <s v="133"/>
    <s v="SAFRINHA 2026"/>
    <n v="620"/>
    <n v="0"/>
    <n v="620"/>
    <n v="108500"/>
    <m/>
    <s v="UNIAO DO SUL"/>
    <s v="61472140982"/>
    <n v="175"/>
    <n v="0"/>
  </r>
  <r>
    <d v="2026-01-16T17:20:26"/>
    <n v="503"/>
    <x v="3"/>
    <d v="2026-01-16T00:00:00"/>
    <d v="2026-09-30T00:00:00"/>
    <x v="2"/>
    <x v="0"/>
    <s v="510200"/>
    <x v="19"/>
    <x v="0"/>
    <s v="LT"/>
    <n v="975"/>
    <s v="141"/>
    <s v="SAFRINHA 2026"/>
    <n v="56"/>
    <n v="0"/>
    <n v="56"/>
    <n v="54600"/>
    <m/>
    <s v="SANTA CARMEM"/>
    <s v="61472140982"/>
    <n v="975"/>
    <n v="0"/>
  </r>
  <r>
    <d v="2026-01-16T17:20:26"/>
    <n v="503"/>
    <x v="3"/>
    <d v="2026-01-16T00:00:00"/>
    <d v="2026-09-30T00:00:00"/>
    <x v="2"/>
    <x v="2"/>
    <s v="510200"/>
    <x v="10"/>
    <x v="1"/>
    <s v="LT"/>
    <n v="300"/>
    <s v="141"/>
    <s v="SAFRINHA 2026"/>
    <n v="84"/>
    <n v="0"/>
    <n v="84"/>
    <n v="25200"/>
    <m/>
    <s v="SANTA CARMEM"/>
    <s v="61472140982"/>
    <n v="300"/>
    <n v="0"/>
  </r>
  <r>
    <d v="2026-01-16T17:20:26"/>
    <n v="503"/>
    <x v="3"/>
    <d v="2026-01-16T00:00:00"/>
    <d v="2026-09-30T00:00:00"/>
    <x v="2"/>
    <x v="2"/>
    <s v="510200"/>
    <x v="11"/>
    <x v="1"/>
    <s v="LT"/>
    <n v="300"/>
    <s v="141"/>
    <s v="SAFRINHA 2026"/>
    <n v="84"/>
    <n v="0"/>
    <n v="84"/>
    <n v="25200"/>
    <m/>
    <s v="SANTA CARMEM"/>
    <s v="61472140982"/>
    <n v="300"/>
    <n v="0"/>
  </r>
  <r>
    <d v="2026-01-16T17:23:12"/>
    <n v="504"/>
    <x v="3"/>
    <d v="2026-01-16T00:00:00"/>
    <d v="2026-09-30T00:00:00"/>
    <x v="2"/>
    <x v="2"/>
    <s v="510200"/>
    <x v="11"/>
    <x v="1"/>
    <s v="LT"/>
    <n v="300"/>
    <s v="142"/>
    <s v="SAFRINHA 2026"/>
    <n v="156"/>
    <n v="0"/>
    <n v="156"/>
    <n v="46800"/>
    <m/>
    <s v="UNIAO DO SUL"/>
    <s v="61472140982"/>
    <n v="300"/>
    <n v="0"/>
  </r>
  <r>
    <d v="2026-01-16T17:23:12"/>
    <n v="504"/>
    <x v="3"/>
    <d v="2026-01-16T00:00:00"/>
    <d v="2026-09-30T00:00:00"/>
    <x v="2"/>
    <x v="0"/>
    <s v="510200"/>
    <x v="19"/>
    <x v="0"/>
    <s v="LT"/>
    <n v="975"/>
    <s v="142"/>
    <s v="SAFRINHA 2026"/>
    <n v="104"/>
    <n v="0"/>
    <n v="104"/>
    <n v="101400"/>
    <m/>
    <s v="UNIAO DO SUL"/>
    <s v="61472140982"/>
    <n v="975"/>
    <n v="0"/>
  </r>
  <r>
    <d v="2026-01-16T17:23:12"/>
    <n v="504"/>
    <x v="3"/>
    <d v="2026-01-16T00:00:00"/>
    <d v="2026-09-30T00:00:00"/>
    <x v="2"/>
    <x v="2"/>
    <s v="510200"/>
    <x v="10"/>
    <x v="1"/>
    <s v="LT"/>
    <n v="300"/>
    <s v="142"/>
    <s v="SAFRINHA 2026"/>
    <n v="156"/>
    <n v="0"/>
    <n v="156"/>
    <n v="46800"/>
    <m/>
    <s v="UNIAO DO SUL"/>
    <s v="61472140982"/>
    <n v="300"/>
    <n v="0"/>
  </r>
  <r>
    <d v="2026-02-09T18:24:39"/>
    <n v="540"/>
    <x v="3"/>
    <d v="2026-02-09T00:00:00"/>
    <d v="2026-09-30T00:00:00"/>
    <x v="2"/>
    <x v="2"/>
    <s v="510200"/>
    <x v="20"/>
    <x v="1"/>
    <s v="LT"/>
    <n v="35"/>
    <s v="437"/>
    <s v="SAFRINHA 2026"/>
    <n v="450"/>
    <n v="0"/>
    <n v="450"/>
    <n v="15750"/>
    <m/>
    <s v="SANTA CARMEM"/>
    <s v="61472140982"/>
    <n v="35"/>
    <n v="0"/>
  </r>
  <r>
    <d v="2026-02-17T07:31:19"/>
    <n v="550"/>
    <x v="3"/>
    <d v="2026-02-17T00:00:00"/>
    <d v="2026-09-30T00:00:00"/>
    <x v="2"/>
    <x v="2"/>
    <s v="510200"/>
    <x v="18"/>
    <x v="1"/>
    <s v="KG"/>
    <n v="175"/>
    <s v="383"/>
    <s v="SAFRINHA 2026"/>
    <n v="42"/>
    <n v="0"/>
    <n v="42"/>
    <n v="7350"/>
    <m/>
    <s v="SANTA CARMEM"/>
    <s v="61472140982"/>
    <n v="175"/>
    <n v="0"/>
  </r>
  <r>
    <d v="2025-09-18T07:44:49"/>
    <n v="4052"/>
    <x v="4"/>
    <d v="2025-09-18T00:00:00"/>
    <d v="2025-09-18T00:00:00"/>
    <x v="3"/>
    <x v="0"/>
    <s v="510200"/>
    <x v="21"/>
    <x v="2"/>
    <s v="KG"/>
    <n v="36"/>
    <s v="5622"/>
    <s v="SAFRA 25/26"/>
    <n v="105"/>
    <n v="0"/>
    <n v="105"/>
    <n v="3780"/>
    <m/>
    <s v="TERRA NOVA DO NORTE"/>
    <s v="57663246934"/>
    <n v="36"/>
    <n v="0"/>
  </r>
  <r>
    <d v="2025-12-22T17:47:20"/>
    <n v="4375"/>
    <x v="5"/>
    <d v="2025-12-22T00:00:00"/>
    <d v="2026-01-15T00:00:00"/>
    <x v="4"/>
    <x v="0"/>
    <s v="510200"/>
    <x v="5"/>
    <x v="0"/>
    <s v="KG"/>
    <n v="23.5"/>
    <s v="5931"/>
    <s v="SAFRA 25/26"/>
    <n v="980"/>
    <n v="0"/>
    <n v="980"/>
    <n v="23030"/>
    <m/>
    <s v="NOVA UBIRATA"/>
    <s v="24725368000185"/>
    <n v="23.5"/>
    <n v="0"/>
  </r>
  <r>
    <d v="2025-10-27T10:33:35"/>
    <n v="4210"/>
    <x v="6"/>
    <d v="2025-10-27T00:00:00"/>
    <d v="2026-04-30T00:00:00"/>
    <x v="3"/>
    <x v="0"/>
    <s v="510200"/>
    <x v="22"/>
    <x v="2"/>
    <s v="KG"/>
    <n v="15"/>
    <s v="5760"/>
    <s v="SAFRA 25/26"/>
    <n v="3270"/>
    <n v="0"/>
    <n v="3270"/>
    <n v="49050"/>
    <m/>
    <m/>
    <s v="41885372000120"/>
    <n v="15"/>
    <n v="0"/>
  </r>
  <r>
    <d v="2025-11-17T11:01:41"/>
    <n v="4275"/>
    <x v="6"/>
    <d v="2025-11-17T00:00:00"/>
    <d v="2026-03-30T00:00:00"/>
    <x v="3"/>
    <x v="1"/>
    <s v="510200"/>
    <x v="23"/>
    <x v="1"/>
    <s v="KG"/>
    <n v="270"/>
    <s v="5818"/>
    <s v="SAFRA 25/26"/>
    <n v="185"/>
    <n v="0"/>
    <n v="185"/>
    <n v="49950"/>
    <m/>
    <m/>
    <s v="41885372000120"/>
    <n v="270"/>
    <n v="0"/>
  </r>
  <r>
    <d v="2025-12-23T14:10:19"/>
    <n v="4377"/>
    <x v="6"/>
    <d v="2025-12-23T00:00:00"/>
    <d v="2025-12-24T00:00:00"/>
    <x v="3"/>
    <x v="0"/>
    <s v="510200"/>
    <x v="21"/>
    <x v="2"/>
    <s v="KG"/>
    <n v="27.016884999999998"/>
    <s v="5912"/>
    <s v="SAFRA 25/26"/>
    <n v="7995"/>
    <n v="0"/>
    <n v="7995"/>
    <n v="215999.99557499998"/>
    <m/>
    <m/>
    <s v="41885372000120"/>
    <n v="27.016884999999998"/>
    <n v="0"/>
  </r>
  <r>
    <d v="2026-01-07T08:57:08"/>
    <n v="4413"/>
    <x v="6"/>
    <d v="2026-01-07T00:00:00"/>
    <d v="2026-04-30T00:00:00"/>
    <x v="3"/>
    <x v="0"/>
    <s v="510200"/>
    <x v="21"/>
    <x v="2"/>
    <s v="KG"/>
    <n v="26.368421000000001"/>
    <s v="5925"/>
    <s v="SAFRA 25/26"/>
    <n v="285"/>
    <n v="0"/>
    <n v="285"/>
    <n v="7514.9999850000004"/>
    <m/>
    <m/>
    <s v="41885372000120"/>
    <n v="26.368421000000001"/>
    <n v="0"/>
  </r>
  <r>
    <d v="2026-01-07T08:57:08"/>
    <n v="4413"/>
    <x v="6"/>
    <d v="2026-01-07T00:00:00"/>
    <d v="2026-04-30T00:00:00"/>
    <x v="3"/>
    <x v="0"/>
    <s v="510200"/>
    <x v="24"/>
    <x v="2"/>
    <s v="LT"/>
    <n v="51.153846000000001"/>
    <s v="5925"/>
    <s v="SAFRA 25/26"/>
    <n v="260"/>
    <n v="0"/>
    <n v="260"/>
    <n v="13299.999960000001"/>
    <m/>
    <m/>
    <s v="41885372000120"/>
    <n v="51.153846000000001"/>
    <n v="0"/>
  </r>
  <r>
    <d v="2025-10-16T07:58:47"/>
    <n v="4167"/>
    <x v="7"/>
    <d v="2025-10-16T00:00:00"/>
    <d v="2026-03-30T00:00:00"/>
    <x v="5"/>
    <x v="1"/>
    <s v="510200"/>
    <x v="11"/>
    <x v="1"/>
    <s v="LT"/>
    <n v="340"/>
    <s v="5684"/>
    <s v="SAFRA 25/26"/>
    <n v="2"/>
    <n v="0"/>
    <n v="2"/>
    <n v="680"/>
    <m/>
    <s v="NOVA UBIRATA"/>
    <s v="46697506000283"/>
    <n v="340"/>
    <n v="0"/>
  </r>
  <r>
    <d v="2025-10-16T07:58:47"/>
    <n v="4167"/>
    <x v="7"/>
    <d v="2025-10-16T00:00:00"/>
    <d v="2026-03-30T00:00:00"/>
    <x v="5"/>
    <x v="1"/>
    <s v="510200"/>
    <x v="13"/>
    <x v="1"/>
    <s v="LT"/>
    <n v="52"/>
    <s v="5684"/>
    <s v="SAFRA 25/26"/>
    <n v="3"/>
    <n v="0"/>
    <n v="3"/>
    <n v="156"/>
    <m/>
    <s v="NOVA UBIRATA"/>
    <s v="46697506000283"/>
    <n v="52"/>
    <n v="0"/>
  </r>
  <r>
    <d v="2025-10-16T07:58:47"/>
    <n v="4167"/>
    <x v="7"/>
    <d v="2025-10-16T00:00:00"/>
    <d v="2026-03-30T00:00:00"/>
    <x v="5"/>
    <x v="1"/>
    <s v="510200"/>
    <x v="18"/>
    <x v="1"/>
    <s v="KG"/>
    <n v="220"/>
    <s v="5684"/>
    <s v="SAFRA 25/26"/>
    <n v="2"/>
    <n v="0"/>
    <n v="2"/>
    <n v="440"/>
    <m/>
    <s v="NOVA UBIRATA"/>
    <s v="46697506000283"/>
    <n v="220"/>
    <n v="0"/>
  </r>
  <r>
    <d v="2025-10-16T07:58:47"/>
    <n v="4167"/>
    <x v="7"/>
    <d v="2025-10-16T00:00:00"/>
    <d v="2026-03-30T00:00:00"/>
    <x v="5"/>
    <x v="1"/>
    <s v="510200"/>
    <x v="9"/>
    <x v="1"/>
    <s v="LT"/>
    <n v="55"/>
    <s v="5684"/>
    <s v="SAFRA 25/26"/>
    <n v="3"/>
    <n v="0"/>
    <n v="3"/>
    <n v="165"/>
    <m/>
    <s v="NOVA UBIRATA"/>
    <s v="46697506000283"/>
    <n v="55"/>
    <n v="0"/>
  </r>
  <r>
    <d v="2025-10-16T07:58:47"/>
    <n v="4167"/>
    <x v="7"/>
    <d v="2025-10-16T00:00:00"/>
    <d v="2026-03-30T00:00:00"/>
    <x v="5"/>
    <x v="1"/>
    <s v="510200"/>
    <x v="25"/>
    <x v="1"/>
    <s v="KG"/>
    <n v="550"/>
    <s v="5684"/>
    <s v="SAFRA 25/26"/>
    <n v="1"/>
    <n v="0"/>
    <n v="1"/>
    <n v="550"/>
    <m/>
    <s v="NOVA UBIRATA"/>
    <s v="46697506000283"/>
    <n v="550"/>
    <n v="0"/>
  </r>
  <r>
    <d v="2025-10-23T08:47:40"/>
    <n v="4202"/>
    <x v="7"/>
    <d v="2025-10-23T00:00:00"/>
    <d v="2026-03-30T00:00:00"/>
    <x v="5"/>
    <x v="1"/>
    <s v="510200"/>
    <x v="13"/>
    <x v="1"/>
    <s v="LT"/>
    <n v="50"/>
    <s v="5757"/>
    <s v="SAFRA 25/26"/>
    <n v="51"/>
    <n v="0"/>
    <n v="51"/>
    <n v="2550"/>
    <m/>
    <s v="NOVA UBIRATA"/>
    <s v="46697506000283"/>
    <n v="50"/>
    <n v="0"/>
  </r>
  <r>
    <d v="2025-10-23T08:47:40"/>
    <n v="4202"/>
    <x v="7"/>
    <d v="2025-10-23T00:00:00"/>
    <d v="2026-03-30T00:00:00"/>
    <x v="5"/>
    <x v="1"/>
    <s v="510200"/>
    <x v="9"/>
    <x v="1"/>
    <s v="LT"/>
    <n v="50"/>
    <s v="5757"/>
    <s v="SAFRA 25/26"/>
    <n v="12"/>
    <n v="0"/>
    <n v="12"/>
    <n v="600"/>
    <m/>
    <s v="NOVA UBIRATA"/>
    <s v="46697506000283"/>
    <n v="50"/>
    <n v="0"/>
  </r>
  <r>
    <d v="2025-10-24T16:07:31"/>
    <n v="4208"/>
    <x v="7"/>
    <d v="2025-10-24T00:00:00"/>
    <d v="2026-08-30T00:00:00"/>
    <x v="6"/>
    <x v="0"/>
    <s v="510200"/>
    <x v="26"/>
    <x v="2"/>
    <s v="TON"/>
    <n v="1450"/>
    <s v="5771"/>
    <s v="SAFRA 25/26"/>
    <n v="4"/>
    <n v="0"/>
    <n v="4"/>
    <n v="5800"/>
    <m/>
    <s v="NOVA UBIRATA"/>
    <s v="46697506000283"/>
    <n v="1450"/>
    <n v="0"/>
  </r>
  <r>
    <d v="2025-12-16T14:50:01"/>
    <n v="4361"/>
    <x v="7"/>
    <d v="2025-12-16T00:00:00"/>
    <d v="2026-08-30T00:00:00"/>
    <x v="6"/>
    <x v="0"/>
    <s v="510200"/>
    <x v="27"/>
    <x v="2"/>
    <s v="KG"/>
    <n v="6000"/>
    <s v="5705"/>
    <s v="SAFRA 25/26"/>
    <n v="5"/>
    <n v="0"/>
    <n v="5"/>
    <n v="30000"/>
    <m/>
    <s v="NOVA UBIRATA"/>
    <s v="46697506000283"/>
    <n v="6000"/>
    <n v="0"/>
  </r>
  <r>
    <d v="2026-02-25T07:50:06"/>
    <n v="4608"/>
    <x v="7"/>
    <d v="2026-02-25T00:00:00"/>
    <d v="2026-08-30T00:00:00"/>
    <x v="5"/>
    <x v="0"/>
    <s v="510200"/>
    <x v="28"/>
    <x v="0"/>
    <s v="KG"/>
    <n v="36"/>
    <s v="6126"/>
    <s v="SAFRINHA 2026"/>
    <n v="100"/>
    <n v="0"/>
    <n v="100"/>
    <n v="3600"/>
    <m/>
    <s v="NOVA UBIRATA"/>
    <s v="46697506000283"/>
    <n v="36"/>
    <n v="0"/>
  </r>
  <r>
    <d v="2026-02-25T07:50:06"/>
    <n v="4608"/>
    <x v="7"/>
    <d v="2026-02-25T00:00:00"/>
    <d v="2026-08-30T00:00:00"/>
    <x v="5"/>
    <x v="0"/>
    <s v="510200"/>
    <x v="6"/>
    <x v="0"/>
    <s v="LT"/>
    <n v="69"/>
    <s v="6126"/>
    <s v="SAFRINHA 2026"/>
    <n v="120"/>
    <n v="0"/>
    <n v="120"/>
    <n v="8280"/>
    <m/>
    <s v="NOVA UBIRATA"/>
    <s v="46697506000283"/>
    <n v="69"/>
    <n v="0"/>
  </r>
  <r>
    <d v="2025-07-24T08:14:35"/>
    <n v="3943"/>
    <x v="8"/>
    <d v="2025-07-24T00:00:00"/>
    <d v="2026-03-30T00:00:00"/>
    <x v="7"/>
    <x v="1"/>
    <s v="510200"/>
    <x v="18"/>
    <x v="1"/>
    <s v="KG"/>
    <n v="213"/>
    <s v="5440"/>
    <s v="SAFRA 25/26"/>
    <n v="23"/>
    <n v="0"/>
    <n v="23"/>
    <n v="4899"/>
    <m/>
    <s v="SANTA CARMEM"/>
    <s v="03565667141"/>
    <n v="213"/>
    <n v="0"/>
  </r>
  <r>
    <d v="2025-07-24T08:14:35"/>
    <n v="3943"/>
    <x v="8"/>
    <d v="2025-07-24T00:00:00"/>
    <d v="2026-03-30T00:00:00"/>
    <x v="7"/>
    <x v="1"/>
    <s v="510200"/>
    <x v="10"/>
    <x v="1"/>
    <s v="LT"/>
    <n v="355"/>
    <s v="5440"/>
    <s v="SAFRA 25/26"/>
    <n v="7"/>
    <n v="0"/>
    <n v="7"/>
    <n v="2485"/>
    <m/>
    <s v="SANTA CARMEM"/>
    <s v="03565667141"/>
    <n v="355"/>
    <n v="0"/>
  </r>
  <r>
    <d v="2025-07-24T08:14:35"/>
    <n v="3943"/>
    <x v="8"/>
    <d v="2025-07-24T00:00:00"/>
    <d v="2026-03-30T00:00:00"/>
    <x v="7"/>
    <x v="1"/>
    <s v="510200"/>
    <x v="11"/>
    <x v="1"/>
    <s v="LT"/>
    <n v="370"/>
    <s v="5440"/>
    <s v="SAFRA 25/26"/>
    <n v="7"/>
    <n v="0"/>
    <n v="7"/>
    <n v="2590"/>
    <m/>
    <s v="SANTA CARMEM"/>
    <s v="03565667141"/>
    <n v="370"/>
    <n v="0"/>
  </r>
  <r>
    <d v="2025-09-24T07:40:02"/>
    <n v="4083"/>
    <x v="9"/>
    <d v="2025-09-24T00:00:00"/>
    <d v="2026-03-30T00:00:00"/>
    <x v="1"/>
    <x v="2"/>
    <s v="510200"/>
    <x v="13"/>
    <x v="1"/>
    <s v="LT"/>
    <n v="47"/>
    <s v="5627"/>
    <s v="SAFRA 25/26"/>
    <n v="102"/>
    <n v="0"/>
    <n v="102"/>
    <n v="4794"/>
    <m/>
    <s v="VERA"/>
    <s v="14201720934"/>
    <n v="47"/>
    <n v="0"/>
  </r>
  <r>
    <d v="2025-08-25T10:38:16"/>
    <n v="3994"/>
    <x v="10"/>
    <d v="2025-08-25T00:00:00"/>
    <d v="2026-03-30T00:00:00"/>
    <x v="3"/>
    <x v="0"/>
    <s v="510200"/>
    <x v="29"/>
    <x v="2"/>
    <s v="LT"/>
    <n v="11"/>
    <s v="5557"/>
    <s v="SAFRA 25/26"/>
    <n v="900"/>
    <n v="0"/>
    <n v="900"/>
    <n v="9900"/>
    <m/>
    <s v="NOVA UBIRATA"/>
    <s v="78709776915"/>
    <n v="11"/>
    <n v="0"/>
  </r>
  <r>
    <d v="2025-04-30T08:09:44"/>
    <n v="209"/>
    <x v="11"/>
    <d v="2025-04-30T00:00:00"/>
    <d v="2026-08-30T00:00:00"/>
    <x v="2"/>
    <x v="2"/>
    <s v="510200"/>
    <x v="18"/>
    <x v="1"/>
    <s v="KG"/>
    <n v="189"/>
    <s v="4875"/>
    <s v="SAFRINHA 2026"/>
    <n v="70"/>
    <n v="0"/>
    <n v="70"/>
    <n v="13230"/>
    <m/>
    <s v="SINOP"/>
    <s v="43526640068"/>
    <n v="189"/>
    <n v="0"/>
  </r>
  <r>
    <d v="2025-04-30T08:09:44"/>
    <n v="209"/>
    <x v="11"/>
    <d v="2025-04-30T00:00:00"/>
    <d v="2026-08-30T00:00:00"/>
    <x v="2"/>
    <x v="2"/>
    <s v="510200"/>
    <x v="9"/>
    <x v="1"/>
    <s v="LT"/>
    <n v="45"/>
    <s v="4875"/>
    <s v="SAFRINHA 2026"/>
    <n v="114"/>
    <n v="0"/>
    <n v="114"/>
    <n v="5130"/>
    <m/>
    <s v="SINOP"/>
    <s v="43526640068"/>
    <n v="45"/>
    <n v="0"/>
  </r>
  <r>
    <d v="2025-04-30T08:12:34"/>
    <n v="210"/>
    <x v="11"/>
    <d v="2025-04-30T00:00:00"/>
    <d v="2026-03-30T00:00:00"/>
    <x v="2"/>
    <x v="2"/>
    <s v="510200"/>
    <x v="18"/>
    <x v="1"/>
    <s v="KG"/>
    <n v="189"/>
    <s v="4874"/>
    <s v="SAFRA 25/26"/>
    <n v="70"/>
    <n v="0"/>
    <n v="70"/>
    <n v="13230"/>
    <m/>
    <s v="SINOP"/>
    <s v="43526640068"/>
    <n v="189"/>
    <n v="0"/>
  </r>
  <r>
    <d v="2025-06-09T10:13:15"/>
    <n v="227"/>
    <x v="11"/>
    <d v="2025-06-09T00:00:00"/>
    <d v="2026-08-30T00:00:00"/>
    <x v="2"/>
    <x v="2"/>
    <s v="510200"/>
    <x v="18"/>
    <x v="1"/>
    <s v="KG"/>
    <n v="189"/>
    <s v="5164"/>
    <s v="SAFRINHA 2026"/>
    <n v="22"/>
    <n v="0"/>
    <n v="22"/>
    <n v="4158"/>
    <m/>
    <s v="SINOP"/>
    <s v="43526640068"/>
    <n v="189"/>
    <n v="0"/>
  </r>
  <r>
    <d v="2025-06-09T10:19:13"/>
    <n v="228"/>
    <x v="11"/>
    <d v="2025-06-09T00:00:00"/>
    <d v="2026-03-30T00:00:00"/>
    <x v="2"/>
    <x v="2"/>
    <s v="510200"/>
    <x v="18"/>
    <x v="1"/>
    <s v="KG"/>
    <n v="189"/>
    <s v="5163"/>
    <s v="SAFRA 25/26"/>
    <n v="22"/>
    <n v="0"/>
    <n v="22"/>
    <n v="4158"/>
    <m/>
    <s v="SINOP"/>
    <s v="43526640068"/>
    <n v="189"/>
    <n v="0"/>
  </r>
  <r>
    <d v="2025-06-09T10:19:13"/>
    <n v="228"/>
    <x v="11"/>
    <d v="2025-06-09T00:00:00"/>
    <d v="2026-03-30T00:00:00"/>
    <x v="2"/>
    <x v="2"/>
    <s v="510200"/>
    <x v="11"/>
    <x v="1"/>
    <s v="LT"/>
    <n v="355"/>
    <s v="5163"/>
    <s v="SAFRA 25/26"/>
    <n v="3"/>
    <n v="0"/>
    <n v="3"/>
    <n v="1065"/>
    <m/>
    <s v="SINOP"/>
    <s v="43526640068"/>
    <n v="355"/>
    <n v="0"/>
  </r>
  <r>
    <d v="2025-06-09T10:19:13"/>
    <n v="228"/>
    <x v="11"/>
    <d v="2025-06-09T00:00:00"/>
    <d v="2026-03-30T00:00:00"/>
    <x v="2"/>
    <x v="2"/>
    <s v="510200"/>
    <x v="10"/>
    <x v="1"/>
    <s v="LT"/>
    <n v="355"/>
    <s v="5163"/>
    <s v="SAFRA 25/26"/>
    <n v="3"/>
    <n v="0"/>
    <n v="3"/>
    <n v="1065"/>
    <m/>
    <s v="SINOP"/>
    <s v="43526640068"/>
    <n v="355"/>
    <n v="0"/>
  </r>
  <r>
    <d v="2025-11-05T07:57:30"/>
    <n v="396"/>
    <x v="11"/>
    <d v="2025-11-05T00:00:00"/>
    <d v="2026-04-30T00:00:00"/>
    <x v="2"/>
    <x v="0"/>
    <s v="510200"/>
    <x v="30"/>
    <x v="2"/>
    <s v="LT"/>
    <n v="200"/>
    <m/>
    <s v="SAFRA 25/26"/>
    <n v="4"/>
    <n v="0"/>
    <n v="4"/>
    <n v="800"/>
    <m/>
    <s v="SINOP"/>
    <s v="43526640068"/>
    <n v="200"/>
    <n v="0"/>
  </r>
  <r>
    <d v="2025-11-05T07:57:30"/>
    <n v="396"/>
    <x v="11"/>
    <d v="2025-11-05T00:00:00"/>
    <d v="2026-04-30T00:00:00"/>
    <x v="2"/>
    <x v="0"/>
    <s v="510200"/>
    <x v="31"/>
    <x v="0"/>
    <s v="LT"/>
    <n v="200"/>
    <m/>
    <s v="SAFRA 25/26"/>
    <n v="4"/>
    <n v="0"/>
    <n v="4"/>
    <n v="800"/>
    <m/>
    <s v="SINOP"/>
    <s v="43526640068"/>
    <n v="200"/>
    <n v="0"/>
  </r>
  <r>
    <d v="2025-11-10T09:58:00"/>
    <n v="405"/>
    <x v="11"/>
    <d v="2025-11-10T00:00:00"/>
    <d v="2025-11-10T00:00:00"/>
    <x v="2"/>
    <x v="0"/>
    <s v="510200"/>
    <x v="31"/>
    <x v="0"/>
    <s v="LT"/>
    <n v="180"/>
    <s v="151"/>
    <s v="SAFRA 25/26"/>
    <n v="12"/>
    <n v="0"/>
    <n v="12"/>
    <n v="2160"/>
    <m/>
    <s v="SINOP"/>
    <s v="43526640068"/>
    <n v="180"/>
    <n v="0"/>
  </r>
  <r>
    <d v="2025-08-29T16:17:22"/>
    <n v="277"/>
    <x v="12"/>
    <d v="2025-08-29T00:00:00"/>
    <d v="2026-03-30T00:00:00"/>
    <x v="2"/>
    <x v="0"/>
    <s v="510200"/>
    <x v="32"/>
    <x v="2"/>
    <s v="TON"/>
    <n v="1320"/>
    <s v="5147"/>
    <s v="SAFRA 25/26"/>
    <n v="38"/>
    <n v="0"/>
    <n v="38"/>
    <n v="50160"/>
    <m/>
    <s v="CLAUDIA"/>
    <s v="87072300104"/>
    <n v="1320"/>
    <n v="0"/>
  </r>
  <r>
    <d v="2025-09-25T14:15:12"/>
    <n v="4092"/>
    <x v="13"/>
    <d v="2025-09-25T00:00:00"/>
    <d v="2025-09-25T00:00:00"/>
    <x v="3"/>
    <x v="0"/>
    <s v="510200"/>
    <x v="21"/>
    <x v="2"/>
    <s v="KG"/>
    <n v="36"/>
    <s v="5631"/>
    <s v="SAFRA 25/26"/>
    <n v="60"/>
    <n v="0"/>
    <n v="60"/>
    <n v="2160"/>
    <m/>
    <s v="MATUPA"/>
    <s v="07239968901"/>
    <n v="36"/>
    <n v="0"/>
  </r>
  <r>
    <d v="2025-11-03T08:31:31"/>
    <n v="4230"/>
    <x v="14"/>
    <d v="2025-08-04T00:00:00"/>
    <d v="2026-03-30T00:00:00"/>
    <x v="8"/>
    <x v="0"/>
    <s v="510200"/>
    <x v="6"/>
    <x v="0"/>
    <s v="LT"/>
    <n v="69"/>
    <s v="5767"/>
    <s v="SAFRA 25/26"/>
    <n v="40"/>
    <n v="0"/>
    <n v="40"/>
    <n v="2760"/>
    <m/>
    <s v="IPIRANGA DO NORTE"/>
    <s v="97186384153"/>
    <n v="69"/>
    <n v="0"/>
  </r>
  <r>
    <d v="2025-08-11T16:24:12"/>
    <n v="3977"/>
    <x v="14"/>
    <d v="2025-08-11T00:00:00"/>
    <d v="2026-03-30T00:00:00"/>
    <x v="8"/>
    <x v="0"/>
    <s v="510200"/>
    <x v="16"/>
    <x v="2"/>
    <s v="KG"/>
    <n v="130"/>
    <s v="3999"/>
    <s v="SAFRA 25/26"/>
    <n v="3"/>
    <n v="0"/>
    <n v="3"/>
    <n v="390"/>
    <m/>
    <s v="IPIRANGA DO NORTE"/>
    <s v="97186384153"/>
    <n v="130"/>
    <n v="0"/>
  </r>
  <r>
    <d v="2025-08-11T16:24:12"/>
    <n v="3977"/>
    <x v="14"/>
    <d v="2025-08-11T00:00:00"/>
    <d v="2026-03-30T00:00:00"/>
    <x v="8"/>
    <x v="0"/>
    <s v="510200"/>
    <x v="15"/>
    <x v="2"/>
    <s v="LT"/>
    <n v="130"/>
    <s v="3999"/>
    <s v="SAFRA 25/26"/>
    <n v="5"/>
    <n v="0"/>
    <n v="5"/>
    <n v="650"/>
    <m/>
    <s v="IPIRANGA DO NORTE"/>
    <s v="97186384153"/>
    <n v="130"/>
    <n v="0"/>
  </r>
  <r>
    <d v="2025-08-11T16:24:12"/>
    <n v="3977"/>
    <x v="14"/>
    <d v="2025-08-11T00:00:00"/>
    <d v="2026-03-30T00:00:00"/>
    <x v="8"/>
    <x v="0"/>
    <s v="510200"/>
    <x v="33"/>
    <x v="0"/>
    <s v="LT"/>
    <n v="75"/>
    <s v="3999"/>
    <s v="SAFRA 25/26"/>
    <n v="5"/>
    <n v="0"/>
    <n v="5"/>
    <n v="375"/>
    <m/>
    <s v="IPIRANGA DO NORTE"/>
    <s v="97186384153"/>
    <n v="75"/>
    <n v="0"/>
  </r>
  <r>
    <d v="2025-07-24T07:54:31"/>
    <n v="3939"/>
    <x v="15"/>
    <d v="2025-07-14T00:00:00"/>
    <d v="2026-08-30T00:00:00"/>
    <x v="7"/>
    <x v="1"/>
    <s v="510200"/>
    <x v="10"/>
    <x v="1"/>
    <s v="LT"/>
    <n v="360"/>
    <s v="5435"/>
    <s v="SAFRINHA 2026"/>
    <n v="32"/>
    <n v="0"/>
    <n v="32"/>
    <n v="11520"/>
    <m/>
    <s v="SORRISO"/>
    <s v="88483800187"/>
    <n v="360"/>
    <n v="0"/>
  </r>
  <r>
    <d v="2025-07-24T07:54:31"/>
    <n v="3939"/>
    <x v="15"/>
    <d v="2025-07-14T00:00:00"/>
    <d v="2026-08-30T00:00:00"/>
    <x v="7"/>
    <x v="1"/>
    <s v="510200"/>
    <x v="9"/>
    <x v="1"/>
    <s v="LT"/>
    <n v="52"/>
    <s v="5435"/>
    <s v="SAFRINHA 2026"/>
    <n v="63"/>
    <n v="0"/>
    <n v="63"/>
    <n v="3276"/>
    <m/>
    <s v="SORRISO"/>
    <s v="88483800187"/>
    <n v="52"/>
    <n v="0"/>
  </r>
  <r>
    <d v="2025-07-24T07:54:31"/>
    <n v="3939"/>
    <x v="15"/>
    <d v="2025-07-14T00:00:00"/>
    <d v="2026-08-30T00:00:00"/>
    <x v="7"/>
    <x v="1"/>
    <s v="510200"/>
    <x v="18"/>
    <x v="1"/>
    <s v="KG"/>
    <n v="200"/>
    <s v="5435"/>
    <s v="SAFRINHA 2026"/>
    <n v="62"/>
    <n v="0"/>
    <n v="62"/>
    <n v="12400"/>
    <m/>
    <s v="SORRISO"/>
    <s v="88483800187"/>
    <n v="200"/>
    <n v="0"/>
  </r>
  <r>
    <d v="2025-07-24T07:54:31"/>
    <n v="3939"/>
    <x v="15"/>
    <d v="2025-07-14T00:00:00"/>
    <d v="2026-08-30T00:00:00"/>
    <x v="7"/>
    <x v="1"/>
    <s v="510200"/>
    <x v="11"/>
    <x v="1"/>
    <s v="LT"/>
    <n v="370"/>
    <s v="5435"/>
    <s v="SAFRINHA 2026"/>
    <n v="32"/>
    <n v="0"/>
    <n v="32"/>
    <n v="11840"/>
    <m/>
    <s v="SORRISO"/>
    <s v="88483800187"/>
    <n v="370"/>
    <n v="0"/>
  </r>
  <r>
    <d v="2025-07-24T07:58:52"/>
    <n v="3940"/>
    <x v="15"/>
    <d v="2025-07-14T00:00:00"/>
    <d v="2026-03-30T00:00:00"/>
    <x v="7"/>
    <x v="1"/>
    <s v="510200"/>
    <x v="11"/>
    <x v="1"/>
    <s v="LT"/>
    <n v="370"/>
    <s v="5434"/>
    <s v="SAFRA 25/26"/>
    <n v="14"/>
    <n v="0"/>
    <n v="14"/>
    <n v="5180"/>
    <m/>
    <s v="SORRISO"/>
    <s v="88483800187"/>
    <n v="370"/>
    <n v="0"/>
  </r>
  <r>
    <d v="2025-07-24T07:58:52"/>
    <n v="3940"/>
    <x v="15"/>
    <d v="2025-07-14T00:00:00"/>
    <d v="2026-03-30T00:00:00"/>
    <x v="7"/>
    <x v="1"/>
    <s v="510200"/>
    <x v="9"/>
    <x v="1"/>
    <s v="LT"/>
    <n v="52"/>
    <s v="5434"/>
    <s v="SAFRA 25/26"/>
    <n v="27"/>
    <n v="0"/>
    <n v="27"/>
    <n v="1404"/>
    <m/>
    <s v="SORRISO"/>
    <s v="88483800187"/>
    <n v="52"/>
    <n v="0"/>
  </r>
  <r>
    <d v="2025-07-24T07:58:52"/>
    <n v="3940"/>
    <x v="15"/>
    <d v="2025-07-14T00:00:00"/>
    <d v="2026-03-30T00:00:00"/>
    <x v="7"/>
    <x v="1"/>
    <s v="510200"/>
    <x v="18"/>
    <x v="1"/>
    <s v="KG"/>
    <n v="200"/>
    <s v="5434"/>
    <s v="SAFRA 25/26"/>
    <n v="25"/>
    <n v="0"/>
    <n v="25"/>
    <n v="5000"/>
    <m/>
    <s v="SORRISO"/>
    <s v="88483800187"/>
    <n v="200"/>
    <n v="0"/>
  </r>
  <r>
    <d v="2025-07-24T07:58:52"/>
    <n v="3940"/>
    <x v="15"/>
    <d v="2025-07-14T00:00:00"/>
    <d v="2026-03-30T00:00:00"/>
    <x v="7"/>
    <x v="1"/>
    <s v="510200"/>
    <x v="10"/>
    <x v="1"/>
    <s v="LT"/>
    <n v="360"/>
    <s v="5434"/>
    <s v="SAFRA 25/26"/>
    <n v="14"/>
    <n v="0"/>
    <n v="14"/>
    <n v="5040"/>
    <m/>
    <s v="SORRISO"/>
    <s v="88483800187"/>
    <n v="360"/>
    <n v="0"/>
  </r>
  <r>
    <d v="2025-07-24T07:58:52"/>
    <n v="3940"/>
    <x v="15"/>
    <d v="2025-07-14T00:00:00"/>
    <d v="2026-03-30T00:00:00"/>
    <x v="7"/>
    <x v="1"/>
    <s v="510200"/>
    <x v="13"/>
    <x v="1"/>
    <s v="LT"/>
    <n v="47"/>
    <s v="5434"/>
    <s v="SAFRA 25/26"/>
    <n v="39"/>
    <n v="0"/>
    <n v="39"/>
    <n v="1833"/>
    <m/>
    <s v="SORRISO"/>
    <s v="88483800187"/>
    <n v="47"/>
    <n v="0"/>
  </r>
  <r>
    <d v="2025-07-24T07:58:52"/>
    <n v="3940"/>
    <x v="15"/>
    <d v="2025-07-14T00:00:00"/>
    <d v="2026-03-30T00:00:00"/>
    <x v="7"/>
    <x v="0"/>
    <s v="510200"/>
    <x v="12"/>
    <x v="0"/>
    <s v="LT"/>
    <n v="240"/>
    <s v="5434"/>
    <s v="SAFRA 25/26"/>
    <n v="25"/>
    <n v="0"/>
    <n v="25"/>
    <n v="6000"/>
    <m/>
    <s v="SORRISO"/>
    <s v="88483800187"/>
    <n v="240"/>
    <n v="0"/>
  </r>
  <r>
    <d v="2025-10-10T07:42:40"/>
    <n v="4141"/>
    <x v="15"/>
    <d v="2025-10-10T00:00:00"/>
    <d v="2026-03-30T00:00:00"/>
    <x v="7"/>
    <x v="1"/>
    <s v="510200"/>
    <x v="18"/>
    <x v="1"/>
    <s v="KG"/>
    <n v="200"/>
    <s v="5583"/>
    <s v="SAFRA 25/26"/>
    <n v="5"/>
    <n v="0"/>
    <n v="5"/>
    <n v="1000"/>
    <m/>
    <s v="SORRISO"/>
    <s v="88483800187"/>
    <n v="200"/>
    <n v="0"/>
  </r>
  <r>
    <d v="2025-10-10T07:42:40"/>
    <n v="4141"/>
    <x v="15"/>
    <d v="2025-10-10T00:00:00"/>
    <d v="2026-03-30T00:00:00"/>
    <x v="7"/>
    <x v="1"/>
    <s v="510200"/>
    <x v="10"/>
    <x v="1"/>
    <s v="LT"/>
    <n v="360"/>
    <s v="5583"/>
    <s v="SAFRA 25/26"/>
    <n v="1"/>
    <n v="0"/>
    <n v="1"/>
    <n v="360"/>
    <m/>
    <s v="SORRISO"/>
    <s v="88483800187"/>
    <n v="360"/>
    <n v="0"/>
  </r>
  <r>
    <d v="2025-10-10T07:42:40"/>
    <n v="4141"/>
    <x v="15"/>
    <d v="2025-10-10T00:00:00"/>
    <d v="2026-03-30T00:00:00"/>
    <x v="7"/>
    <x v="1"/>
    <s v="510200"/>
    <x v="11"/>
    <x v="1"/>
    <s v="LT"/>
    <n v="370"/>
    <s v="5583"/>
    <s v="SAFRA 25/26"/>
    <n v="1"/>
    <n v="0"/>
    <n v="1"/>
    <n v="370"/>
    <m/>
    <s v="SORRISO"/>
    <s v="88483800187"/>
    <n v="370"/>
    <n v="0"/>
  </r>
  <r>
    <d v="2025-10-16T08:07:39"/>
    <n v="4169"/>
    <x v="15"/>
    <d v="2025-10-16T00:00:00"/>
    <d v="2026-03-30T00:00:00"/>
    <x v="7"/>
    <x v="1"/>
    <s v="510200"/>
    <x v="13"/>
    <x v="1"/>
    <s v="LT"/>
    <n v="47"/>
    <s v="5585"/>
    <s v="SAFRA 25/26"/>
    <n v="3"/>
    <n v="0"/>
    <n v="3"/>
    <n v="141"/>
    <m/>
    <s v="SORRISO"/>
    <s v="88483800187"/>
    <n v="47"/>
    <n v="0"/>
  </r>
  <r>
    <d v="2025-10-16T08:07:39"/>
    <n v="4169"/>
    <x v="15"/>
    <d v="2025-10-16T00:00:00"/>
    <d v="2026-03-30T00:00:00"/>
    <x v="7"/>
    <x v="1"/>
    <s v="510200"/>
    <x v="11"/>
    <x v="1"/>
    <s v="LT"/>
    <n v="370"/>
    <s v="5585"/>
    <s v="SAFRA 25/26"/>
    <n v="3"/>
    <n v="0"/>
    <n v="3"/>
    <n v="1110"/>
    <m/>
    <s v="SORRISO"/>
    <s v="88483800187"/>
    <n v="370"/>
    <n v="0"/>
  </r>
  <r>
    <d v="2025-10-16T08:07:39"/>
    <n v="4169"/>
    <x v="15"/>
    <d v="2025-10-16T00:00:00"/>
    <d v="2026-03-30T00:00:00"/>
    <x v="7"/>
    <x v="1"/>
    <s v="510200"/>
    <x v="10"/>
    <x v="1"/>
    <s v="LT"/>
    <n v="360"/>
    <s v="5585"/>
    <s v="SAFRA 25/26"/>
    <n v="3"/>
    <n v="0"/>
    <n v="3"/>
    <n v="1080"/>
    <m/>
    <s v="SORRISO"/>
    <s v="88483800187"/>
    <n v="360"/>
    <n v="0"/>
  </r>
  <r>
    <d v="2025-10-16T08:07:39"/>
    <n v="4169"/>
    <x v="15"/>
    <d v="2025-10-16T00:00:00"/>
    <d v="2026-03-30T00:00:00"/>
    <x v="7"/>
    <x v="0"/>
    <s v="510200"/>
    <x v="12"/>
    <x v="0"/>
    <s v="LT"/>
    <n v="240"/>
    <s v="5585"/>
    <s v="SAFRA 25/26"/>
    <n v="5"/>
    <n v="0"/>
    <n v="5"/>
    <n v="1200"/>
    <m/>
    <s v="SORRISO"/>
    <s v="88483800187"/>
    <n v="240"/>
    <n v="0"/>
  </r>
  <r>
    <d v="2025-10-16T08:07:39"/>
    <n v="4169"/>
    <x v="15"/>
    <d v="2025-10-16T00:00:00"/>
    <d v="2026-03-30T00:00:00"/>
    <x v="7"/>
    <x v="1"/>
    <s v="510200"/>
    <x v="18"/>
    <x v="1"/>
    <s v="KG"/>
    <n v="200"/>
    <s v="5585"/>
    <s v="SAFRA 25/26"/>
    <n v="3"/>
    <n v="0"/>
    <n v="3"/>
    <n v="600"/>
    <m/>
    <s v="SORRISO"/>
    <s v="88483800187"/>
    <n v="200"/>
    <n v="0"/>
  </r>
  <r>
    <d v="2026-02-02T08:08:59"/>
    <n v="4517"/>
    <x v="15"/>
    <d v="2026-01-29T00:00:00"/>
    <d v="2026-08-30T00:00:00"/>
    <x v="7"/>
    <x v="1"/>
    <s v="510200"/>
    <x v="20"/>
    <x v="1"/>
    <s v="LT"/>
    <n v="40"/>
    <s v="5887"/>
    <s v="SAFRINHA 2026"/>
    <n v="1320"/>
    <n v="0"/>
    <n v="1320"/>
    <n v="52800"/>
    <m/>
    <s v="SORRISO"/>
    <s v="88483800187"/>
    <n v="40"/>
    <n v="0"/>
  </r>
  <r>
    <d v="2026-02-05T14:13:33"/>
    <n v="4533"/>
    <x v="15"/>
    <d v="2026-02-05T00:00:00"/>
    <d v="2026-08-30T00:00:00"/>
    <x v="7"/>
    <x v="1"/>
    <s v="510200"/>
    <x v="23"/>
    <x v="1"/>
    <s v="KG"/>
    <n v="380"/>
    <s v="5889"/>
    <s v="SAFRINHA 2026"/>
    <n v="30"/>
    <n v="0"/>
    <n v="30"/>
    <n v="11400"/>
    <m/>
    <s v="SORRISO"/>
    <s v="88483800187"/>
    <n v="380"/>
    <n v="0"/>
  </r>
  <r>
    <d v="2026-02-05T14:13:33"/>
    <n v="4533"/>
    <x v="15"/>
    <d v="2026-02-05T00:00:00"/>
    <d v="2026-08-30T00:00:00"/>
    <x v="7"/>
    <x v="1"/>
    <s v="510200"/>
    <x v="18"/>
    <x v="1"/>
    <s v="KG"/>
    <n v="200"/>
    <s v="5889"/>
    <s v="SAFRINHA 2026"/>
    <n v="8"/>
    <n v="0"/>
    <n v="8"/>
    <n v="1600"/>
    <m/>
    <s v="SORRISO"/>
    <s v="88483800187"/>
    <n v="200"/>
    <n v="0"/>
  </r>
  <r>
    <d v="2026-03-13T11:16:40"/>
    <n v="4651"/>
    <x v="15"/>
    <d v="2026-03-13T00:00:00"/>
    <d v="2026-08-30T00:00:00"/>
    <x v="7"/>
    <x v="1"/>
    <s v="510200"/>
    <x v="23"/>
    <x v="1"/>
    <s v="KG"/>
    <n v="380"/>
    <s v="5896"/>
    <s v="SAFRINHA 2026"/>
    <n v="105"/>
    <n v="0"/>
    <n v="105"/>
    <n v="39900"/>
    <m/>
    <s v="SORRISO"/>
    <s v="88483800187"/>
    <n v="380"/>
    <n v="0"/>
  </r>
  <r>
    <d v="2025-08-21T14:39:29"/>
    <n v="3986"/>
    <x v="16"/>
    <d v="2025-08-21T00:00:00"/>
    <d v="2026-04-30T00:00:00"/>
    <x v="0"/>
    <x v="1"/>
    <s v="510200"/>
    <x v="11"/>
    <x v="1"/>
    <s v="LT"/>
    <n v="280"/>
    <s v="5342"/>
    <s v="SAFRA 25/26"/>
    <n v="828"/>
    <n v="0"/>
    <n v="828"/>
    <n v="231840"/>
    <m/>
    <s v="NOVA UBIRATA"/>
    <s v="71965025153"/>
    <n v="280"/>
    <n v="0"/>
  </r>
  <r>
    <d v="2025-08-21T14:39:29"/>
    <n v="3986"/>
    <x v="16"/>
    <d v="2025-08-21T00:00:00"/>
    <d v="2026-04-30T00:00:00"/>
    <x v="0"/>
    <x v="1"/>
    <s v="510200"/>
    <x v="9"/>
    <x v="1"/>
    <s v="LT"/>
    <n v="45"/>
    <s v="5342"/>
    <s v="SAFRA 25/26"/>
    <n v="1737"/>
    <n v="0"/>
    <n v="1737"/>
    <n v="78165"/>
    <m/>
    <s v="NOVA UBIRATA"/>
    <s v="71965025153"/>
    <n v="45"/>
    <n v="0"/>
  </r>
  <r>
    <d v="2025-08-21T14:39:29"/>
    <n v="3986"/>
    <x v="16"/>
    <d v="2025-08-21T00:00:00"/>
    <d v="2026-04-30T00:00:00"/>
    <x v="0"/>
    <x v="1"/>
    <s v="510200"/>
    <x v="10"/>
    <x v="1"/>
    <s v="LT"/>
    <n v="280"/>
    <s v="5342"/>
    <s v="SAFRA 25/26"/>
    <n v="805"/>
    <n v="0"/>
    <n v="805"/>
    <n v="225400"/>
    <m/>
    <s v="NOVA UBIRATA"/>
    <s v="71965025153"/>
    <n v="280"/>
    <n v="0"/>
  </r>
  <r>
    <d v="2025-08-21T14:39:29"/>
    <n v="3986"/>
    <x v="16"/>
    <d v="2025-08-21T00:00:00"/>
    <d v="2026-04-30T00:00:00"/>
    <x v="0"/>
    <x v="0"/>
    <s v="510200"/>
    <x v="34"/>
    <x v="2"/>
    <s v="LT"/>
    <n v="38"/>
    <s v="5342"/>
    <s v="SAFRA 25/26"/>
    <n v="1737"/>
    <n v="0"/>
    <n v="1737"/>
    <n v="66006"/>
    <m/>
    <s v="NOVA UBIRATA"/>
    <s v="71965025153"/>
    <n v="38"/>
    <n v="0"/>
  </r>
  <r>
    <d v="2025-08-21T14:39:29"/>
    <n v="3986"/>
    <x v="16"/>
    <d v="2025-08-21T00:00:00"/>
    <d v="2026-04-30T00:00:00"/>
    <x v="0"/>
    <x v="1"/>
    <s v="510200"/>
    <x v="13"/>
    <x v="1"/>
    <s v="LT"/>
    <n v="38"/>
    <s v="5342"/>
    <s v="SAFRA 25/26"/>
    <n v="2583"/>
    <n v="0"/>
    <n v="2583"/>
    <n v="98154"/>
    <m/>
    <s v="NOVA UBIRATA"/>
    <s v="71965025153"/>
    <n v="38"/>
    <n v="0"/>
  </r>
  <r>
    <d v="2025-08-21T14:39:29"/>
    <n v="3986"/>
    <x v="16"/>
    <d v="2025-08-21T00:00:00"/>
    <d v="2026-04-30T00:00:00"/>
    <x v="0"/>
    <x v="1"/>
    <s v="510200"/>
    <x v="14"/>
    <x v="1"/>
    <s v="KG"/>
    <n v="360"/>
    <s v="5342"/>
    <s v="SAFRA 25/26"/>
    <n v="837"/>
    <n v="0"/>
    <n v="837"/>
    <n v="301320"/>
    <m/>
    <s v="NOVA UBIRATA"/>
    <s v="71965025153"/>
    <n v="360"/>
    <n v="0"/>
  </r>
  <r>
    <d v="2025-08-21T14:43:31"/>
    <n v="3987"/>
    <x v="16"/>
    <d v="2025-08-21T00:00:00"/>
    <d v="2026-08-30T00:00:00"/>
    <x v="0"/>
    <x v="1"/>
    <s v="510200"/>
    <x v="14"/>
    <x v="1"/>
    <s v="KG"/>
    <n v="360"/>
    <s v="5688"/>
    <s v="SAFRINHA 2026"/>
    <n v="435"/>
    <n v="0"/>
    <n v="435"/>
    <n v="156600"/>
    <m/>
    <s v="NOVA UBIRATA"/>
    <s v="71965025153"/>
    <n v="360"/>
    <n v="0"/>
  </r>
  <r>
    <d v="2025-08-21T14:43:31"/>
    <n v="3987"/>
    <x v="16"/>
    <d v="2025-08-21T00:00:00"/>
    <d v="2026-08-30T00:00:00"/>
    <x v="0"/>
    <x v="0"/>
    <s v="510200"/>
    <x v="6"/>
    <x v="0"/>
    <s v="LT"/>
    <n v="55"/>
    <s v="5688"/>
    <s v="SAFRINHA 2026"/>
    <n v="200"/>
    <n v="0"/>
    <n v="200"/>
    <n v="11000"/>
    <m/>
    <s v="NOVA UBIRATA"/>
    <s v="71965025153"/>
    <n v="55"/>
    <n v="0"/>
  </r>
  <r>
    <d v="2025-08-21T14:43:31"/>
    <n v="3987"/>
    <x v="16"/>
    <d v="2025-08-21T00:00:00"/>
    <d v="2026-08-30T00:00:00"/>
    <x v="0"/>
    <x v="1"/>
    <s v="510200"/>
    <x v="11"/>
    <x v="1"/>
    <s v="LT"/>
    <n v="280"/>
    <s v="5688"/>
    <s v="SAFRINHA 2026"/>
    <n v="433"/>
    <n v="0"/>
    <n v="433"/>
    <n v="121240"/>
    <m/>
    <s v="NOVA UBIRATA"/>
    <s v="71965025153"/>
    <n v="280"/>
    <n v="0"/>
  </r>
  <r>
    <d v="2025-08-21T14:43:31"/>
    <n v="3987"/>
    <x v="16"/>
    <d v="2025-08-21T00:00:00"/>
    <d v="2026-08-30T00:00:00"/>
    <x v="0"/>
    <x v="1"/>
    <s v="510200"/>
    <x v="10"/>
    <x v="1"/>
    <s v="LT"/>
    <n v="280"/>
    <s v="5688"/>
    <s v="SAFRINHA 2026"/>
    <n v="433"/>
    <n v="0"/>
    <n v="433"/>
    <n v="121240"/>
    <m/>
    <s v="NOVA UBIRATA"/>
    <s v="71965025153"/>
    <n v="280"/>
    <n v="0"/>
  </r>
  <r>
    <d v="2025-09-29T18:35:10"/>
    <n v="4104"/>
    <x v="16"/>
    <d v="2025-09-29T00:00:00"/>
    <d v="2026-03-30T00:00:00"/>
    <x v="0"/>
    <x v="0"/>
    <s v="510200"/>
    <x v="7"/>
    <x v="0"/>
    <s v="LT"/>
    <n v="55"/>
    <s v="5636"/>
    <s v="SAFRA 25/26"/>
    <n v="150"/>
    <n v="0"/>
    <n v="150"/>
    <n v="8250"/>
    <m/>
    <s v="VERA"/>
    <s v="71965025153"/>
    <n v="55"/>
    <n v="0"/>
  </r>
  <r>
    <d v="2025-09-30T07:54:23"/>
    <n v="4105"/>
    <x v="16"/>
    <d v="2025-09-29T00:00:00"/>
    <d v="2026-03-30T00:00:00"/>
    <x v="0"/>
    <x v="0"/>
    <s v="510200"/>
    <x v="7"/>
    <x v="0"/>
    <s v="LT"/>
    <n v="55"/>
    <s v="5637"/>
    <s v="SAFRA 25/26"/>
    <n v="140"/>
    <n v="0"/>
    <n v="140"/>
    <n v="7700"/>
    <m/>
    <s v="SORRISO"/>
    <s v="71965025153"/>
    <n v="55"/>
    <n v="0"/>
  </r>
  <r>
    <d v="2025-09-30T07:56:42"/>
    <n v="4106"/>
    <x v="16"/>
    <d v="2025-09-29T00:00:00"/>
    <d v="2026-03-30T00:00:00"/>
    <x v="0"/>
    <x v="0"/>
    <s v="510200"/>
    <x v="7"/>
    <x v="0"/>
    <s v="LT"/>
    <n v="55"/>
    <s v="5638"/>
    <s v="SAFRA 25/26"/>
    <n v="200"/>
    <n v="0"/>
    <n v="200"/>
    <n v="11000"/>
    <m/>
    <s v="NOVA UBIRATA"/>
    <s v="71965025153"/>
    <n v="55"/>
    <n v="0"/>
  </r>
  <r>
    <d v="2025-09-30T13:07:26"/>
    <n v="4108"/>
    <x v="16"/>
    <d v="2025-09-30T00:00:00"/>
    <d v="2026-04-30T00:00:00"/>
    <x v="0"/>
    <x v="0"/>
    <s v="510200"/>
    <x v="15"/>
    <x v="2"/>
    <s v="LT"/>
    <n v="148"/>
    <s v="5639"/>
    <s v="SAFRA 25/26"/>
    <n v="10"/>
    <n v="0"/>
    <n v="10"/>
    <n v="1480"/>
    <m/>
    <s v="VERA"/>
    <s v="71965025153"/>
    <n v="148"/>
    <n v="0"/>
  </r>
  <r>
    <d v="2025-09-30T13:07:26"/>
    <n v="4108"/>
    <x v="16"/>
    <d v="2025-09-30T00:00:00"/>
    <d v="2026-04-30T00:00:00"/>
    <x v="0"/>
    <x v="0"/>
    <s v="510200"/>
    <x v="16"/>
    <x v="2"/>
    <s v="KG"/>
    <n v="100"/>
    <s v="5639"/>
    <s v="SAFRA 25/26"/>
    <n v="2"/>
    <n v="0"/>
    <n v="2"/>
    <n v="200"/>
    <m/>
    <s v="VERA"/>
    <s v="71965025153"/>
    <n v="100"/>
    <n v="0"/>
  </r>
  <r>
    <d v="2025-10-10T08:33:59"/>
    <n v="4142"/>
    <x v="16"/>
    <d v="2025-10-10T00:00:00"/>
    <d v="2026-04-30T00:00:00"/>
    <x v="0"/>
    <x v="0"/>
    <s v="510200"/>
    <x v="15"/>
    <x v="2"/>
    <s v="LT"/>
    <n v="148"/>
    <s v="5676"/>
    <s v="SAFRA 25/26"/>
    <n v="15"/>
    <n v="0"/>
    <n v="15"/>
    <n v="2220"/>
    <m/>
    <s v="NOVA UBIRATA"/>
    <s v="71965025153"/>
    <n v="148"/>
    <n v="0"/>
  </r>
  <r>
    <d v="2025-10-16T15:35:29"/>
    <n v="4174"/>
    <x v="16"/>
    <d v="2025-10-16T00:00:00"/>
    <d v="2026-08-30T00:00:00"/>
    <x v="0"/>
    <x v="0"/>
    <s v="510200"/>
    <x v="34"/>
    <x v="2"/>
    <s v="LT"/>
    <n v="38"/>
    <s v="5687"/>
    <s v="SAFRA 25/26"/>
    <n v="219"/>
    <n v="0"/>
    <n v="219"/>
    <n v="8322"/>
    <m/>
    <s v="NOVA UBIRATA"/>
    <s v="71965025153"/>
    <n v="38"/>
    <n v="0"/>
  </r>
  <r>
    <d v="2025-10-16T15:35:29"/>
    <n v="4174"/>
    <x v="16"/>
    <d v="2025-10-16T00:00:00"/>
    <d v="2026-08-30T00:00:00"/>
    <x v="0"/>
    <x v="1"/>
    <s v="510200"/>
    <x v="9"/>
    <x v="1"/>
    <s v="LT"/>
    <n v="45"/>
    <s v="5687"/>
    <s v="SAFRA 25/26"/>
    <n v="63"/>
    <n v="0"/>
    <n v="63"/>
    <n v="2835"/>
    <m/>
    <s v="NOVA UBIRATA"/>
    <s v="71965025153"/>
    <n v="45"/>
    <n v="0"/>
  </r>
  <r>
    <d v="2025-10-16T15:35:29"/>
    <n v="4174"/>
    <x v="16"/>
    <d v="2025-10-16T00:00:00"/>
    <d v="2026-08-30T00:00:00"/>
    <x v="0"/>
    <x v="1"/>
    <s v="510200"/>
    <x v="13"/>
    <x v="1"/>
    <s v="LT"/>
    <n v="38"/>
    <s v="5687"/>
    <s v="SAFRA 25/26"/>
    <n v="117"/>
    <n v="0"/>
    <n v="117"/>
    <n v="4446"/>
    <m/>
    <s v="NOVA UBIRATA"/>
    <s v="71965025153"/>
    <n v="38"/>
    <n v="0"/>
  </r>
  <r>
    <d v="2025-10-16T15:35:29"/>
    <n v="4174"/>
    <x v="16"/>
    <d v="2025-10-16T00:00:00"/>
    <d v="2026-08-30T00:00:00"/>
    <x v="0"/>
    <x v="0"/>
    <s v="510200"/>
    <x v="35"/>
    <x v="0"/>
    <s v="LT"/>
    <n v="22"/>
    <s v="5687"/>
    <s v="SAFRA 25/26"/>
    <n v="4000"/>
    <n v="0"/>
    <n v="4000"/>
    <n v="88000"/>
    <m/>
    <s v="NOVA UBIRATA"/>
    <s v="71965025153"/>
    <n v="22"/>
    <n v="0"/>
  </r>
  <r>
    <d v="2025-10-16T15:35:29"/>
    <n v="4174"/>
    <x v="16"/>
    <d v="2025-10-16T00:00:00"/>
    <d v="2026-08-30T00:00:00"/>
    <x v="0"/>
    <x v="0"/>
    <s v="510200"/>
    <x v="7"/>
    <x v="0"/>
    <s v="LT"/>
    <n v="55"/>
    <s v="5687"/>
    <s v="SAFRA 25/26"/>
    <n v="1600"/>
    <n v="0"/>
    <n v="1600"/>
    <n v="88000"/>
    <m/>
    <s v="NOVA UBIRATA"/>
    <s v="71965025153"/>
    <n v="55"/>
    <n v="0"/>
  </r>
  <r>
    <d v="2025-10-16T15:35:29"/>
    <n v="4174"/>
    <x v="16"/>
    <d v="2025-10-16T00:00:00"/>
    <d v="2026-08-30T00:00:00"/>
    <x v="0"/>
    <x v="1"/>
    <s v="510200"/>
    <x v="11"/>
    <x v="1"/>
    <s v="LT"/>
    <n v="280"/>
    <s v="5687"/>
    <s v="SAFRA 25/26"/>
    <n v="47"/>
    <n v="0"/>
    <n v="47"/>
    <n v="13160"/>
    <m/>
    <s v="NOVA UBIRATA"/>
    <s v="71965025153"/>
    <n v="280"/>
    <n v="0"/>
  </r>
  <r>
    <d v="2025-10-16T15:35:29"/>
    <n v="4174"/>
    <x v="16"/>
    <d v="2025-10-16T00:00:00"/>
    <d v="2026-08-30T00:00:00"/>
    <x v="0"/>
    <x v="1"/>
    <s v="510200"/>
    <x v="10"/>
    <x v="1"/>
    <s v="LT"/>
    <n v="280"/>
    <s v="5687"/>
    <s v="SAFRA 25/26"/>
    <n v="47"/>
    <n v="0"/>
    <n v="47"/>
    <n v="13160"/>
    <m/>
    <s v="NOVA UBIRATA"/>
    <s v="71965025153"/>
    <n v="280"/>
    <n v="0"/>
  </r>
  <r>
    <d v="2025-10-16T15:35:29"/>
    <n v="4174"/>
    <x v="16"/>
    <d v="2025-10-16T00:00:00"/>
    <d v="2026-08-30T00:00:00"/>
    <x v="0"/>
    <x v="1"/>
    <s v="510200"/>
    <x v="14"/>
    <x v="1"/>
    <s v="KG"/>
    <n v="360"/>
    <s v="5687"/>
    <s v="SAFRA 25/26"/>
    <n v="45"/>
    <n v="0"/>
    <n v="45"/>
    <n v="16200"/>
    <m/>
    <s v="NOVA UBIRATA"/>
    <s v="71965025153"/>
    <n v="360"/>
    <n v="0"/>
  </r>
  <r>
    <d v="2025-11-05T09:20:15"/>
    <n v="4237"/>
    <x v="16"/>
    <d v="2025-11-05T00:00:00"/>
    <d v="2026-04-30T00:00:00"/>
    <x v="0"/>
    <x v="0"/>
    <s v="510200"/>
    <x v="36"/>
    <x v="2"/>
    <s v="LT"/>
    <n v="38"/>
    <s v="5730"/>
    <s v="SAFRA 25/26"/>
    <n v="252"/>
    <n v="0"/>
    <n v="252"/>
    <n v="9576"/>
    <m/>
    <s v="VERA"/>
    <s v="71965025153"/>
    <n v="38"/>
    <n v="0"/>
  </r>
  <r>
    <d v="2025-11-05T13:43:47"/>
    <n v="4238"/>
    <x v="16"/>
    <d v="2025-11-05T00:00:00"/>
    <d v="2026-08-30T00:00:00"/>
    <x v="0"/>
    <x v="0"/>
    <s v="510200"/>
    <x v="37"/>
    <x v="2"/>
    <s v="LT"/>
    <n v="25"/>
    <s v="5772"/>
    <s v="SAFRA 25/26"/>
    <n v="2300"/>
    <n v="0"/>
    <n v="2300"/>
    <n v="57500"/>
    <m/>
    <s v="NOVA UBIRATA"/>
    <s v="71965025153"/>
    <n v="25"/>
    <n v="0"/>
  </r>
  <r>
    <d v="2025-11-19T09:37:41"/>
    <n v="4280"/>
    <x v="16"/>
    <d v="2025-11-19T00:00:00"/>
    <d v="2026-08-30T00:00:00"/>
    <x v="0"/>
    <x v="0"/>
    <s v="510200"/>
    <x v="37"/>
    <x v="2"/>
    <s v="LT"/>
    <n v="25"/>
    <s v="5821"/>
    <s v="SAFRA 25/26"/>
    <n v="2975"/>
    <n v="0"/>
    <n v="2975"/>
    <n v="74375"/>
    <m/>
    <s v="NOVA UBIRATA"/>
    <s v="71965025153"/>
    <n v="25"/>
    <n v="0"/>
  </r>
  <r>
    <d v="2025-11-19T09:37:41"/>
    <n v="4280"/>
    <x v="16"/>
    <d v="2025-11-19T00:00:00"/>
    <d v="2026-08-30T00:00:00"/>
    <x v="0"/>
    <x v="0"/>
    <s v="510200"/>
    <x v="38"/>
    <x v="2"/>
    <s v="LT"/>
    <n v="25"/>
    <s v="5821"/>
    <s v="SAFRA 25/26"/>
    <n v="10"/>
    <n v="0"/>
    <n v="10"/>
    <n v="250"/>
    <m/>
    <s v="NOVA UBIRATA"/>
    <s v="71965025153"/>
    <n v="25"/>
    <n v="0"/>
  </r>
  <r>
    <d v="2025-12-03T16:14:10"/>
    <n v="4322"/>
    <x v="16"/>
    <d v="2025-12-03T00:00:00"/>
    <d v="2026-08-30T00:00:00"/>
    <x v="0"/>
    <x v="0"/>
    <s v="510200"/>
    <x v="39"/>
    <x v="0"/>
    <s v="LT"/>
    <n v="22"/>
    <s v="5837"/>
    <s v="SAFRA 25/26"/>
    <n v="2000"/>
    <n v="0"/>
    <n v="2000"/>
    <n v="44000"/>
    <m/>
    <s v="NOVA UBIRATA"/>
    <s v="71965025153"/>
    <n v="22"/>
    <n v="0"/>
  </r>
  <r>
    <d v="2025-12-03T16:14:10"/>
    <n v="4322"/>
    <x v="16"/>
    <d v="2025-12-03T00:00:00"/>
    <d v="2026-08-30T00:00:00"/>
    <x v="0"/>
    <x v="0"/>
    <s v="510200"/>
    <x v="40"/>
    <x v="0"/>
    <s v="KG"/>
    <n v="4.9000000000000004"/>
    <s v="5837"/>
    <s v="SAFRA 25/26"/>
    <n v="8000"/>
    <n v="0"/>
    <n v="8000"/>
    <n v="39200"/>
    <m/>
    <s v="NOVA UBIRATA"/>
    <s v="71965025153"/>
    <n v="4.9000000000000004"/>
    <n v="0"/>
  </r>
  <r>
    <d v="2025-12-09T13:55:47"/>
    <n v="4337"/>
    <x v="16"/>
    <d v="2025-12-09T00:00:00"/>
    <d v="2026-08-30T00:00:00"/>
    <x v="0"/>
    <x v="0"/>
    <s v="510200"/>
    <x v="7"/>
    <x v="0"/>
    <s v="LT"/>
    <n v="55"/>
    <s v="5847"/>
    <s v="SAFRA 25/26"/>
    <n v="4000"/>
    <n v="0"/>
    <n v="4000"/>
    <n v="220000"/>
    <m/>
    <s v="NOVA UBIRATA"/>
    <s v="71965025153"/>
    <n v="55"/>
    <n v="0"/>
  </r>
  <r>
    <d v="2025-12-09T13:55:47"/>
    <n v="4337"/>
    <x v="16"/>
    <d v="2025-12-09T00:00:00"/>
    <d v="2026-08-30T00:00:00"/>
    <x v="0"/>
    <x v="0"/>
    <s v="510200"/>
    <x v="41"/>
    <x v="0"/>
    <s v="LT"/>
    <n v="80"/>
    <s v="5847"/>
    <s v="SAFRA 25/26"/>
    <n v="3800"/>
    <n v="0"/>
    <n v="3800"/>
    <n v="304000"/>
    <m/>
    <s v="NOVA UBIRATA"/>
    <s v="71965025153"/>
    <n v="80"/>
    <n v="0"/>
  </r>
  <r>
    <d v="2025-12-24T07:55:36"/>
    <n v="4379"/>
    <x v="16"/>
    <d v="2025-12-23T00:00:00"/>
    <d v="2026-08-30T00:00:00"/>
    <x v="0"/>
    <x v="1"/>
    <s v="510200"/>
    <x v="23"/>
    <x v="1"/>
    <s v="KG"/>
    <n v="345"/>
    <s v="5911"/>
    <s v="SAFRA 25/26"/>
    <n v="900"/>
    <n v="0"/>
    <n v="900"/>
    <n v="310500"/>
    <m/>
    <s v="NOVA UBIRATA"/>
    <s v="71965025153"/>
    <n v="345"/>
    <n v="0"/>
  </r>
  <r>
    <d v="2025-04-22T08:25:06"/>
    <n v="3817"/>
    <x v="17"/>
    <d v="2025-04-22T00:00:00"/>
    <d v="2026-03-30T00:00:00"/>
    <x v="8"/>
    <x v="1"/>
    <s v="510200"/>
    <x v="9"/>
    <x v="1"/>
    <s v="LT"/>
    <n v="47"/>
    <s v="3988"/>
    <s v="SAFRA 25/26"/>
    <n v="120"/>
    <n v="0"/>
    <n v="120"/>
    <n v="5640"/>
    <m/>
    <s v="IPIRANGA DO NORTE"/>
    <s v="00710405103"/>
    <n v="47"/>
    <n v="0"/>
  </r>
  <r>
    <d v="2025-04-22T08:25:06"/>
    <n v="3817"/>
    <x v="17"/>
    <d v="2025-04-22T00:00:00"/>
    <d v="2026-03-30T00:00:00"/>
    <x v="8"/>
    <x v="1"/>
    <s v="510200"/>
    <x v="13"/>
    <x v="1"/>
    <s v="LT"/>
    <n v="41"/>
    <s v="3988"/>
    <s v="SAFRA 25/26"/>
    <n v="330"/>
    <n v="0"/>
    <n v="330"/>
    <n v="13530"/>
    <m/>
    <s v="IPIRANGA DO NORTE"/>
    <s v="00710405103"/>
    <n v="41"/>
    <n v="0"/>
  </r>
  <r>
    <d v="2025-04-22T08:25:06"/>
    <n v="3817"/>
    <x v="17"/>
    <d v="2025-04-22T00:00:00"/>
    <d v="2026-03-30T00:00:00"/>
    <x v="8"/>
    <x v="1"/>
    <s v="510200"/>
    <x v="17"/>
    <x v="1"/>
    <s v="LT"/>
    <n v="41"/>
    <s v="3988"/>
    <s v="SAFRA 25/26"/>
    <n v="330"/>
    <n v="0"/>
    <n v="330"/>
    <n v="13530"/>
    <m/>
    <s v="IPIRANGA DO NORTE"/>
    <s v="00710405103"/>
    <n v="41"/>
    <n v="0"/>
  </r>
  <r>
    <d v="2025-04-22T08:25:06"/>
    <n v="3817"/>
    <x v="17"/>
    <d v="2025-04-22T00:00:00"/>
    <d v="2026-03-30T00:00:00"/>
    <x v="8"/>
    <x v="0"/>
    <s v="510200"/>
    <x v="12"/>
    <x v="0"/>
    <s v="LT"/>
    <n v="205"/>
    <s v="3988"/>
    <s v="SAFRA 25/26"/>
    <n v="115"/>
    <n v="0"/>
    <n v="115"/>
    <n v="23575"/>
    <m/>
    <s v="IPIRANGA DO NORTE"/>
    <s v="00710405103"/>
    <n v="205"/>
    <n v="0"/>
  </r>
  <r>
    <d v="2025-04-22T08:25:06"/>
    <n v="3817"/>
    <x v="17"/>
    <d v="2025-04-22T00:00:00"/>
    <d v="2026-03-30T00:00:00"/>
    <x v="8"/>
    <x v="1"/>
    <s v="510200"/>
    <x v="14"/>
    <x v="1"/>
    <s v="KG"/>
    <n v="365"/>
    <s v="3988"/>
    <s v="SAFRA 25/26"/>
    <n v="55"/>
    <n v="0"/>
    <n v="55"/>
    <n v="20075"/>
    <m/>
    <s v="IPIRANGA DO NORTE"/>
    <s v="00710405103"/>
    <n v="365"/>
    <n v="0"/>
  </r>
  <r>
    <d v="2025-04-22T08:25:06"/>
    <n v="3817"/>
    <x v="17"/>
    <d v="2025-04-22T00:00:00"/>
    <d v="2026-03-30T00:00:00"/>
    <x v="8"/>
    <x v="1"/>
    <s v="510200"/>
    <x v="11"/>
    <x v="1"/>
    <s v="LT"/>
    <n v="330"/>
    <s v="3988"/>
    <s v="SAFRA 25/26"/>
    <n v="65"/>
    <n v="0"/>
    <n v="65"/>
    <n v="21450"/>
    <m/>
    <s v="IPIRANGA DO NORTE"/>
    <s v="00710405103"/>
    <n v="330"/>
    <n v="0"/>
  </r>
  <r>
    <d v="2025-04-22T08:25:06"/>
    <n v="3817"/>
    <x v="17"/>
    <d v="2025-04-22T00:00:00"/>
    <d v="2026-03-30T00:00:00"/>
    <x v="8"/>
    <x v="1"/>
    <s v="510200"/>
    <x v="25"/>
    <x v="1"/>
    <s v="KG"/>
    <n v="580"/>
    <s v="3988"/>
    <s v="SAFRA 25/26"/>
    <n v="10"/>
    <n v="0"/>
    <n v="10"/>
    <n v="5800"/>
    <m/>
    <s v="IPIRANGA DO NORTE"/>
    <s v="00710405103"/>
    <n v="580"/>
    <n v="0"/>
  </r>
  <r>
    <d v="2025-04-22T08:25:06"/>
    <n v="3817"/>
    <x v="17"/>
    <d v="2025-04-22T00:00:00"/>
    <d v="2026-03-30T00:00:00"/>
    <x v="8"/>
    <x v="1"/>
    <s v="510200"/>
    <x v="10"/>
    <x v="1"/>
    <s v="LT"/>
    <n v="320"/>
    <s v="3988"/>
    <s v="SAFRA 25/26"/>
    <n v="45"/>
    <n v="0"/>
    <n v="45"/>
    <n v="14400"/>
    <m/>
    <s v="IPIRANGA DO NORTE"/>
    <s v="00710405103"/>
    <n v="320"/>
    <n v="0"/>
  </r>
  <r>
    <d v="2025-05-08T10:32:39"/>
    <n v="3835"/>
    <x v="17"/>
    <d v="2025-05-08T00:00:00"/>
    <d v="2026-03-30T00:00:00"/>
    <x v="8"/>
    <x v="0"/>
    <s v="510200"/>
    <x v="42"/>
    <x v="2"/>
    <s v="LT"/>
    <n v="70"/>
    <s v="3989"/>
    <s v="SAFRA 25/26"/>
    <n v="340"/>
    <n v="0"/>
    <n v="340"/>
    <n v="23800"/>
    <m/>
    <s v="IPIRANGA DO NORTE"/>
    <s v="00710405103"/>
    <n v="70"/>
    <n v="0"/>
  </r>
  <r>
    <d v="2025-06-13T14:51:35"/>
    <n v="3893"/>
    <x v="17"/>
    <d v="2025-07-04T00:00:00"/>
    <d v="2026-03-30T00:00:00"/>
    <x v="8"/>
    <x v="0"/>
    <s v="510200"/>
    <x v="43"/>
    <x v="0"/>
    <s v="KG"/>
    <n v="55"/>
    <s v="5459"/>
    <s v="SAFRA 25/26"/>
    <n v="340"/>
    <n v="0"/>
    <n v="340"/>
    <n v="18700"/>
    <m/>
    <s v="IPIRANGA DO NORTE"/>
    <s v="00710405103"/>
    <n v="55"/>
    <n v="0"/>
  </r>
  <r>
    <d v="2025-06-13T14:51:35"/>
    <n v="3893"/>
    <x v="17"/>
    <d v="2025-07-04T00:00:00"/>
    <d v="2026-03-30T00:00:00"/>
    <x v="8"/>
    <x v="0"/>
    <s v="510200"/>
    <x v="6"/>
    <x v="0"/>
    <s v="LT"/>
    <n v="62"/>
    <s v="5459"/>
    <s v="SAFRA 25/26"/>
    <n v="450"/>
    <n v="0"/>
    <n v="450"/>
    <n v="27900"/>
    <m/>
    <s v="IPIRANGA DO NORTE"/>
    <s v="00710405103"/>
    <n v="62"/>
    <n v="0"/>
  </r>
  <r>
    <d v="2025-06-13T14:51:35"/>
    <n v="3893"/>
    <x v="17"/>
    <d v="2025-07-04T00:00:00"/>
    <d v="2026-03-30T00:00:00"/>
    <x v="8"/>
    <x v="0"/>
    <s v="510200"/>
    <x v="37"/>
    <x v="2"/>
    <s v="LT"/>
    <n v="24"/>
    <s v="5459"/>
    <s v="SAFRA 25/26"/>
    <n v="675"/>
    <n v="0"/>
    <n v="675"/>
    <n v="16200"/>
    <m/>
    <s v="IPIRANGA DO NORTE"/>
    <s v="00710405103"/>
    <n v="24"/>
    <n v="0"/>
  </r>
  <r>
    <d v="2025-06-13T14:51:35"/>
    <n v="3893"/>
    <x v="17"/>
    <d v="2025-07-04T00:00:00"/>
    <d v="2026-03-30T00:00:00"/>
    <x v="8"/>
    <x v="0"/>
    <s v="510200"/>
    <x v="44"/>
    <x v="0"/>
    <s v="KG"/>
    <n v="115"/>
    <s v="5459"/>
    <s v="SAFRA 25/26"/>
    <n v="340"/>
    <n v="0"/>
    <n v="340"/>
    <n v="39100"/>
    <m/>
    <s v="IPIRANGA DO NORTE"/>
    <s v="00710405103"/>
    <n v="115"/>
    <n v="0"/>
  </r>
  <r>
    <d v="2025-06-13T14:51:35"/>
    <n v="3893"/>
    <x v="17"/>
    <d v="2025-07-04T00:00:00"/>
    <d v="2026-03-30T00:00:00"/>
    <x v="8"/>
    <x v="0"/>
    <s v="510200"/>
    <x v="45"/>
    <x v="0"/>
    <s v="KG"/>
    <n v="21.5"/>
    <s v="5459"/>
    <s v="SAFRA 25/26"/>
    <n v="1120"/>
    <n v="0"/>
    <n v="1120"/>
    <n v="24080"/>
    <m/>
    <s v="IPIRANGA DO NORTE"/>
    <s v="00710405103"/>
    <n v="21.5"/>
    <n v="0"/>
  </r>
  <r>
    <d v="2025-06-13T14:51:35"/>
    <n v="3893"/>
    <x v="17"/>
    <d v="2025-07-04T00:00:00"/>
    <d v="2026-03-30T00:00:00"/>
    <x v="8"/>
    <x v="0"/>
    <s v="510200"/>
    <x v="2"/>
    <x v="0"/>
    <s v="KG"/>
    <n v="21.5"/>
    <s v="5459"/>
    <s v="SAFRA 25/26"/>
    <n v="1120"/>
    <n v="0"/>
    <n v="1120"/>
    <n v="24080"/>
    <m/>
    <s v="IPIRANGA DO NORTE"/>
    <s v="00710405103"/>
    <n v="21.5"/>
    <n v="0"/>
  </r>
  <r>
    <d v="2025-06-13T14:51:35"/>
    <n v="3893"/>
    <x v="17"/>
    <d v="2025-07-04T00:00:00"/>
    <d v="2026-03-30T00:00:00"/>
    <x v="8"/>
    <x v="0"/>
    <s v="510200"/>
    <x v="46"/>
    <x v="0"/>
    <s v="LT"/>
    <n v="14.5"/>
    <s v="5459"/>
    <s v="SAFRA 25/26"/>
    <n v="6720"/>
    <n v="0"/>
    <n v="6720"/>
    <n v="97440"/>
    <m/>
    <s v="IPIRANGA DO NORTE"/>
    <s v="00710405103"/>
    <n v="14.5"/>
    <n v="0"/>
  </r>
  <r>
    <d v="2025-06-13T14:51:35"/>
    <n v="3893"/>
    <x v="17"/>
    <d v="2025-07-04T00:00:00"/>
    <d v="2026-03-30T00:00:00"/>
    <x v="8"/>
    <x v="0"/>
    <s v="510200"/>
    <x v="47"/>
    <x v="2"/>
    <s v="KG"/>
    <n v="31.5"/>
    <s v="5459"/>
    <s v="SAFRA 25/26"/>
    <n v="900"/>
    <n v="0"/>
    <n v="900"/>
    <n v="28350"/>
    <m/>
    <s v="IPIRANGA DO NORTE"/>
    <s v="00710405103"/>
    <n v="31.5"/>
    <n v="0"/>
  </r>
  <r>
    <d v="2025-06-13T14:51:35"/>
    <n v="3893"/>
    <x v="17"/>
    <d v="2025-07-04T00:00:00"/>
    <d v="2026-03-30T00:00:00"/>
    <x v="8"/>
    <x v="0"/>
    <s v="510200"/>
    <x v="1"/>
    <x v="0"/>
    <s v="LT"/>
    <n v="125"/>
    <s v="5459"/>
    <s v="SAFRA 25/26"/>
    <n v="360"/>
    <n v="0"/>
    <n v="360"/>
    <n v="45000"/>
    <m/>
    <s v="IPIRANGA DO NORTE"/>
    <s v="00710405103"/>
    <n v="125"/>
    <n v="0"/>
  </r>
  <r>
    <d v="2025-08-05T07:36:28"/>
    <n v="3968"/>
    <x v="17"/>
    <d v="2025-08-05T00:00:00"/>
    <d v="2026-03-30T00:00:00"/>
    <x v="8"/>
    <x v="0"/>
    <s v="510200"/>
    <x v="7"/>
    <x v="0"/>
    <s v="LT"/>
    <n v="65"/>
    <s v="3998"/>
    <s v="SAFRA 25/26"/>
    <n v="40"/>
    <n v="0"/>
    <n v="40"/>
    <n v="2600"/>
    <m/>
    <s v="IPIRANGA DO NORTE"/>
    <s v="00710405103"/>
    <n v="65"/>
    <n v="0"/>
  </r>
  <r>
    <d v="2025-10-08T13:15:08"/>
    <n v="4134"/>
    <x v="17"/>
    <d v="2025-10-07T00:00:00"/>
    <d v="2026-03-30T00:00:00"/>
    <x v="8"/>
    <x v="0"/>
    <s v="510200"/>
    <x v="16"/>
    <x v="2"/>
    <s v="KG"/>
    <n v="130"/>
    <s v="5411"/>
    <s v="SAFRA 25/26"/>
    <n v="2"/>
    <n v="0"/>
    <n v="2"/>
    <n v="260"/>
    <m/>
    <s v="IPIRANGA DO NORTE"/>
    <s v="00710405103"/>
    <n v="130"/>
    <n v="0"/>
  </r>
  <r>
    <d v="2025-10-08T13:15:08"/>
    <n v="4134"/>
    <x v="17"/>
    <d v="2025-10-07T00:00:00"/>
    <d v="2026-03-30T00:00:00"/>
    <x v="8"/>
    <x v="0"/>
    <s v="510200"/>
    <x v="15"/>
    <x v="2"/>
    <s v="LT"/>
    <n v="130"/>
    <s v="5411"/>
    <s v="SAFRA 25/26"/>
    <n v="3"/>
    <n v="0"/>
    <n v="3"/>
    <n v="390"/>
    <m/>
    <s v="IPIRANGA DO NORTE"/>
    <s v="00710405103"/>
    <n v="130"/>
    <n v="0"/>
  </r>
  <r>
    <d v="2025-10-15T17:21:06"/>
    <n v="4165"/>
    <x v="17"/>
    <d v="2025-10-15T00:00:00"/>
    <d v="2026-03-30T00:00:00"/>
    <x v="8"/>
    <x v="0"/>
    <s v="510200"/>
    <x v="7"/>
    <x v="0"/>
    <s v="LT"/>
    <n v="62"/>
    <s v="5683"/>
    <s v="SAFRA 25/26"/>
    <n v="40"/>
    <n v="0"/>
    <n v="40"/>
    <n v="2480"/>
    <m/>
    <s v="IPIRANGA DO NORTE"/>
    <s v="00710405103"/>
    <n v="62"/>
    <n v="0"/>
  </r>
  <r>
    <d v="2025-10-20T07:33:59"/>
    <n v="4180"/>
    <x v="17"/>
    <d v="2025-10-20T00:00:00"/>
    <d v="2026-03-30T00:00:00"/>
    <x v="8"/>
    <x v="1"/>
    <s v="510200"/>
    <x v="10"/>
    <x v="1"/>
    <s v="LT"/>
    <n v="320"/>
    <s v="5698"/>
    <s v="SAFRA 25/26"/>
    <n v="2"/>
    <n v="0"/>
    <n v="2"/>
    <n v="640"/>
    <m/>
    <s v="IPIRANGA DO NORTE"/>
    <s v="00710405103"/>
    <n v="320"/>
    <n v="0"/>
  </r>
  <r>
    <d v="2025-11-10T09:43:46"/>
    <n v="4249"/>
    <x v="17"/>
    <d v="2025-11-10T00:00:00"/>
    <d v="2026-03-30T00:00:00"/>
    <x v="8"/>
    <x v="0"/>
    <s v="510200"/>
    <x v="43"/>
    <x v="0"/>
    <s v="KG"/>
    <n v="70"/>
    <s v="5671"/>
    <s v="SAFRA 25/26"/>
    <n v="60"/>
    <n v="0"/>
    <n v="60"/>
    <n v="4200"/>
    <m/>
    <s v="IPIRANGA DO NORTE"/>
    <s v="00710405103"/>
    <n v="70"/>
    <n v="0"/>
  </r>
  <r>
    <d v="2025-12-12T09:17:55"/>
    <n v="4349"/>
    <x v="17"/>
    <d v="2025-12-11T00:00:00"/>
    <d v="2026-09-10T00:00:00"/>
    <x v="8"/>
    <x v="1"/>
    <s v="510200"/>
    <x v="10"/>
    <x v="1"/>
    <s v="LT"/>
    <n v="320"/>
    <s v="5865"/>
    <s v="SAFRINHA 2026"/>
    <n v="56"/>
    <n v="0"/>
    <n v="56"/>
    <n v="17920"/>
    <m/>
    <s v="IPIRANGA DO NORTE"/>
    <s v="00710405103"/>
    <n v="320"/>
    <n v="0"/>
  </r>
  <r>
    <d v="2025-12-12T09:17:55"/>
    <n v="4349"/>
    <x v="17"/>
    <d v="2025-12-11T00:00:00"/>
    <d v="2026-09-10T00:00:00"/>
    <x v="8"/>
    <x v="1"/>
    <s v="510200"/>
    <x v="11"/>
    <x v="1"/>
    <s v="LT"/>
    <n v="330"/>
    <s v="5865"/>
    <s v="SAFRINHA 2026"/>
    <n v="56"/>
    <n v="0"/>
    <n v="56"/>
    <n v="18480"/>
    <m/>
    <s v="IPIRANGA DO NORTE"/>
    <s v="00710405103"/>
    <n v="330"/>
    <n v="0"/>
  </r>
  <r>
    <d v="2025-12-12T09:17:55"/>
    <n v="4349"/>
    <x v="17"/>
    <d v="2025-12-11T00:00:00"/>
    <d v="2026-09-10T00:00:00"/>
    <x v="8"/>
    <x v="1"/>
    <s v="510200"/>
    <x v="14"/>
    <x v="1"/>
    <s v="KG"/>
    <n v="365"/>
    <s v="5865"/>
    <s v="SAFRINHA 2026"/>
    <n v="56"/>
    <n v="0"/>
    <n v="56"/>
    <n v="20440"/>
    <m/>
    <s v="IPIRANGA DO NORTE"/>
    <s v="00710405103"/>
    <n v="365"/>
    <n v="0"/>
  </r>
  <r>
    <d v="2025-12-12T09:17:55"/>
    <n v="4349"/>
    <x v="17"/>
    <d v="2025-12-11T00:00:00"/>
    <d v="2026-09-10T00:00:00"/>
    <x v="8"/>
    <x v="1"/>
    <s v="510200"/>
    <x v="9"/>
    <x v="1"/>
    <s v="LT"/>
    <n v="47"/>
    <s v="5865"/>
    <s v="SAFRINHA 2026"/>
    <n v="114"/>
    <n v="0"/>
    <n v="114"/>
    <n v="5358"/>
    <m/>
    <s v="IPIRANGA DO NORTE"/>
    <s v="00710405103"/>
    <n v="47"/>
    <n v="0"/>
  </r>
  <r>
    <d v="2025-12-12T09:17:55"/>
    <n v="4349"/>
    <x v="17"/>
    <d v="2025-12-11T00:00:00"/>
    <d v="2026-09-10T00:00:00"/>
    <x v="8"/>
    <x v="0"/>
    <s v="510200"/>
    <x v="12"/>
    <x v="0"/>
    <s v="LT"/>
    <n v="205"/>
    <s v="5865"/>
    <s v="SAFRINHA 2026"/>
    <n v="115"/>
    <n v="0"/>
    <n v="115"/>
    <n v="23575"/>
    <m/>
    <s v="IPIRANGA DO NORTE"/>
    <s v="00710405103"/>
    <n v="205"/>
    <n v="0"/>
  </r>
  <r>
    <d v="2025-12-12T09:41:51"/>
    <n v="4350"/>
    <x v="17"/>
    <d v="2025-12-11T00:00:00"/>
    <d v="2026-09-10T00:00:00"/>
    <x v="8"/>
    <x v="0"/>
    <s v="510200"/>
    <x v="1"/>
    <x v="0"/>
    <s v="LT"/>
    <n v="125"/>
    <s v="5864"/>
    <s v="SAFRINHA 2026"/>
    <n v="460"/>
    <n v="0"/>
    <n v="460"/>
    <n v="57500"/>
    <m/>
    <s v="IPIRANGA DO NORTE"/>
    <s v="00710405103"/>
    <n v="125"/>
    <n v="0"/>
  </r>
  <r>
    <d v="2025-12-12T09:41:51"/>
    <n v="4350"/>
    <x v="17"/>
    <d v="2025-12-11T00:00:00"/>
    <d v="2026-09-10T00:00:00"/>
    <x v="8"/>
    <x v="0"/>
    <s v="510200"/>
    <x v="4"/>
    <x v="0"/>
    <s v="KG"/>
    <n v="26"/>
    <s v="5864"/>
    <s v="SAFRINHA 2026"/>
    <n v="1680"/>
    <n v="0"/>
    <n v="1680"/>
    <n v="43680"/>
    <m/>
    <s v="IPIRANGA DO NORTE"/>
    <s v="00710405103"/>
    <n v="26"/>
    <n v="0"/>
  </r>
  <r>
    <d v="2025-12-12T09:41:51"/>
    <n v="4350"/>
    <x v="17"/>
    <d v="2025-12-11T00:00:00"/>
    <d v="2026-09-10T00:00:00"/>
    <x v="8"/>
    <x v="0"/>
    <s v="510200"/>
    <x v="2"/>
    <x v="0"/>
    <s v="KG"/>
    <n v="21.5"/>
    <s v="5864"/>
    <s v="SAFRINHA 2026"/>
    <n v="2240"/>
    <n v="0"/>
    <n v="2240"/>
    <n v="48160"/>
    <m/>
    <s v="IPIRANGA DO NORTE"/>
    <s v="00710405103"/>
    <n v="21.5"/>
    <n v="0"/>
  </r>
  <r>
    <d v="2025-12-12T09:41:51"/>
    <n v="4350"/>
    <x v="17"/>
    <d v="2025-12-11T00:00:00"/>
    <d v="2026-09-10T00:00:00"/>
    <x v="8"/>
    <x v="0"/>
    <s v="510200"/>
    <x v="0"/>
    <x v="0"/>
    <s v="LT"/>
    <n v="18"/>
    <s v="5864"/>
    <s v="SAFRINHA 2026"/>
    <n v="1120"/>
    <n v="0"/>
    <n v="1120"/>
    <n v="20160"/>
    <m/>
    <s v="IPIRANGA DO NORTE"/>
    <s v="00710405103"/>
    <n v="18"/>
    <n v="0"/>
  </r>
  <r>
    <d v="2025-12-12T09:43:33"/>
    <n v="4351"/>
    <x v="17"/>
    <d v="2025-12-11T00:00:00"/>
    <d v="2026-09-10T00:00:00"/>
    <x v="8"/>
    <x v="1"/>
    <s v="510200"/>
    <x v="48"/>
    <x v="1"/>
    <s v="LT"/>
    <n v="70"/>
    <s v="5866"/>
    <s v="SAFRINHA 2026"/>
    <n v="140"/>
    <n v="0"/>
    <n v="140"/>
    <n v="9800"/>
    <m/>
    <s v="IPIRANGA DO NORTE"/>
    <s v="00710405103"/>
    <n v="70"/>
    <n v="0"/>
  </r>
  <r>
    <d v="2025-12-12T09:43:33"/>
    <n v="4351"/>
    <x v="17"/>
    <d v="2025-12-11T00:00:00"/>
    <d v="2026-09-10T00:00:00"/>
    <x v="8"/>
    <x v="0"/>
    <s v="510200"/>
    <x v="49"/>
    <x v="0"/>
    <s v="LT"/>
    <n v="120"/>
    <s v="5866"/>
    <s v="SAFRINHA 2026"/>
    <n v="40"/>
    <n v="0"/>
    <n v="40"/>
    <n v="4800"/>
    <m/>
    <s v="IPIRANGA DO NORTE"/>
    <s v="00710405103"/>
    <n v="120"/>
    <n v="0"/>
  </r>
  <r>
    <d v="2025-12-16T16:14:24"/>
    <n v="4364"/>
    <x v="17"/>
    <d v="2025-12-16T00:00:00"/>
    <d v="2026-03-30T00:00:00"/>
    <x v="8"/>
    <x v="0"/>
    <s v="510200"/>
    <x v="5"/>
    <x v="0"/>
    <s v="KG"/>
    <n v="25"/>
    <s v="5927"/>
    <s v="SAFRA 25/26"/>
    <n v="110"/>
    <n v="0"/>
    <n v="110"/>
    <n v="2750"/>
    <m/>
    <s v="IPIRANGA DO NORTE"/>
    <s v="00710405103"/>
    <n v="25"/>
    <n v="0"/>
  </r>
  <r>
    <d v="2026-01-05T10:35:20"/>
    <n v="4404"/>
    <x v="17"/>
    <d v="2026-01-05T00:00:00"/>
    <d v="2026-08-30T00:00:00"/>
    <x v="8"/>
    <x v="0"/>
    <s v="510200"/>
    <x v="7"/>
    <x v="0"/>
    <s v="LT"/>
    <n v="62"/>
    <s v="5867"/>
    <s v="SAFRINHA 2026"/>
    <n v="60"/>
    <n v="0"/>
    <n v="60"/>
    <n v="3720"/>
    <m/>
    <s v="IPIRANGA DO NORTE"/>
    <s v="00710405103"/>
    <n v="62"/>
    <n v="0"/>
  </r>
  <r>
    <d v="2026-01-06T17:21:57"/>
    <n v="4411"/>
    <x v="17"/>
    <d v="2026-01-06T00:00:00"/>
    <d v="2026-09-10T00:00:00"/>
    <x v="8"/>
    <x v="0"/>
    <s v="510200"/>
    <x v="6"/>
    <x v="0"/>
    <s v="LT"/>
    <n v="60"/>
    <s v="5869"/>
    <s v="SAFRINHA 2026"/>
    <n v="230"/>
    <n v="0"/>
    <n v="230"/>
    <n v="13800"/>
    <m/>
    <s v="IPIRANGA DO NORTE"/>
    <s v="00710405103"/>
    <n v="60"/>
    <n v="0"/>
  </r>
  <r>
    <d v="2026-01-13T13:10:20"/>
    <n v="4441"/>
    <x v="17"/>
    <d v="2026-01-08T00:00:00"/>
    <d v="2026-09-10T00:00:00"/>
    <x v="8"/>
    <x v="0"/>
    <s v="510200"/>
    <x v="50"/>
    <x v="2"/>
    <s v="LT"/>
    <n v="400"/>
    <s v="6003"/>
    <s v="SAFRINHA 2026"/>
    <n v="7"/>
    <n v="0"/>
    <n v="7"/>
    <n v="2800"/>
    <m/>
    <s v="IPIRANGA DO NORTE"/>
    <s v="00710405103"/>
    <n v="400"/>
    <n v="0"/>
  </r>
  <r>
    <d v="2026-01-20T08:02:28"/>
    <n v="4464"/>
    <x v="17"/>
    <d v="2026-01-20T00:00:00"/>
    <d v="2026-08-30T00:00:00"/>
    <x v="8"/>
    <x v="0"/>
    <s v="510200"/>
    <x v="31"/>
    <x v="0"/>
    <s v="LT"/>
    <n v="190"/>
    <s v="6021"/>
    <s v="SAFRINHA 2026"/>
    <n v="5"/>
    <n v="0"/>
    <n v="5"/>
    <n v="950"/>
    <m/>
    <s v="IPIRANGA DO NORTE"/>
    <s v="00710405103"/>
    <n v="190"/>
    <n v="0"/>
  </r>
  <r>
    <d v="2026-01-27T09:16:53"/>
    <n v="4493"/>
    <x v="17"/>
    <d v="2026-01-27T00:00:00"/>
    <d v="2026-10-10T00:00:00"/>
    <x v="8"/>
    <x v="0"/>
    <s v="510200"/>
    <x v="7"/>
    <x v="0"/>
    <s v="LT"/>
    <n v="60"/>
    <s v="6034"/>
    <s v="SAFRINHA 2026"/>
    <n v="40"/>
    <n v="0"/>
    <n v="40"/>
    <n v="2400"/>
    <m/>
    <s v="IPIRANGA DO NORTE"/>
    <s v="00710405103"/>
    <n v="60"/>
    <n v="0"/>
  </r>
  <r>
    <d v="2026-02-17T08:50:04"/>
    <n v="4574"/>
    <x v="17"/>
    <d v="2026-02-17T00:00:00"/>
    <d v="2026-08-30T00:00:00"/>
    <x v="8"/>
    <x v="0"/>
    <s v="510200"/>
    <x v="31"/>
    <x v="0"/>
    <s v="LT"/>
    <n v="180"/>
    <s v="6060"/>
    <s v="SAFRINHA 2026"/>
    <n v="2"/>
    <n v="0"/>
    <n v="2"/>
    <n v="360"/>
    <m/>
    <s v="IPIRANGA DO NORTE"/>
    <s v="00710405103"/>
    <n v="180"/>
    <n v="0"/>
  </r>
  <r>
    <d v="2026-03-06T14:13:47"/>
    <n v="4636"/>
    <x v="17"/>
    <d v="2026-03-06T00:00:00"/>
    <d v="2026-09-10T00:00:00"/>
    <x v="8"/>
    <x v="0"/>
    <s v="510200"/>
    <x v="6"/>
    <x v="0"/>
    <s v="LT"/>
    <n v="60"/>
    <s v="6067"/>
    <s v="SAFRINHA 2026"/>
    <n v="100"/>
    <n v="0"/>
    <n v="100"/>
    <n v="6000"/>
    <m/>
    <s v="IPIRANGA DO NORTE"/>
    <s v="00710405103"/>
    <n v="60"/>
    <n v="0"/>
  </r>
  <r>
    <d v="2026-01-07T13:50:32"/>
    <n v="4414"/>
    <x v="18"/>
    <d v="2026-01-07T00:00:00"/>
    <d v="2026-01-08T00:00:00"/>
    <x v="3"/>
    <x v="0"/>
    <s v="510200"/>
    <x v="21"/>
    <x v="2"/>
    <s v="KG"/>
    <n v="46"/>
    <s v="5872"/>
    <s v="SAFRINHA 2026"/>
    <n v="150"/>
    <n v="0"/>
    <n v="150"/>
    <n v="6900"/>
    <m/>
    <s v="VERA"/>
    <s v="29297087191"/>
    <n v="46"/>
    <n v="0"/>
  </r>
  <r>
    <d v="2026-01-17T10:25:32"/>
    <n v="4459"/>
    <x v="19"/>
    <d v="2026-01-15T00:00:00"/>
    <d v="2026-08-30T00:00:00"/>
    <x v="4"/>
    <x v="0"/>
    <s v="510200"/>
    <x v="1"/>
    <x v="0"/>
    <s v="LT"/>
    <n v="140"/>
    <s v="5944"/>
    <s v="SAFRINHA 2026"/>
    <n v="360"/>
    <n v="0"/>
    <n v="360"/>
    <n v="50400"/>
    <m/>
    <s v="BOA ESPERANÇA DO NORTE"/>
    <s v="03282038909"/>
    <n v="140"/>
    <n v="0"/>
  </r>
  <r>
    <d v="2026-01-17T10:25:32"/>
    <n v="4459"/>
    <x v="19"/>
    <d v="2026-01-15T00:00:00"/>
    <d v="2026-08-30T00:00:00"/>
    <x v="4"/>
    <x v="0"/>
    <s v="510200"/>
    <x v="3"/>
    <x v="0"/>
    <s v="LT"/>
    <n v="20"/>
    <s v="5944"/>
    <s v="SAFRINHA 2026"/>
    <n v="1100"/>
    <n v="500"/>
    <n v="600"/>
    <n v="12000"/>
    <m/>
    <s v="BOA ESPERANÇA DO NORTE"/>
    <s v="03282038909"/>
    <n v="20"/>
    <n v="0"/>
  </r>
  <r>
    <d v="2026-01-17T10:25:32"/>
    <n v="4459"/>
    <x v="19"/>
    <d v="2026-01-15T00:00:00"/>
    <d v="2026-08-30T00:00:00"/>
    <x v="4"/>
    <x v="0"/>
    <s v="510200"/>
    <x v="4"/>
    <x v="0"/>
    <s v="KG"/>
    <n v="24"/>
    <s v="5944"/>
    <s v="SAFRINHA 2026"/>
    <n v="800"/>
    <n v="0"/>
    <n v="800"/>
    <n v="19200"/>
    <m/>
    <s v="BOA ESPERANÇA DO NORTE"/>
    <s v="03282038909"/>
    <n v="24"/>
    <n v="0"/>
  </r>
  <r>
    <d v="2026-01-17T10:25:32"/>
    <n v="4459"/>
    <x v="19"/>
    <d v="2026-01-15T00:00:00"/>
    <d v="2026-08-30T00:00:00"/>
    <x v="4"/>
    <x v="0"/>
    <s v="510200"/>
    <x v="2"/>
    <x v="0"/>
    <s v="KG"/>
    <n v="20"/>
    <s v="5944"/>
    <s v="SAFRINHA 2026"/>
    <n v="1600"/>
    <n v="0"/>
    <n v="1600"/>
    <n v="32000"/>
    <m/>
    <s v="BOA ESPERANÇA DO NORTE"/>
    <s v="03282038909"/>
    <n v="20"/>
    <n v="0"/>
  </r>
  <r>
    <d v="2026-01-17T10:27:45"/>
    <n v="4460"/>
    <x v="19"/>
    <d v="2026-01-15T00:00:00"/>
    <d v="2026-08-30T00:00:00"/>
    <x v="4"/>
    <x v="0"/>
    <s v="510200"/>
    <x v="4"/>
    <x v="0"/>
    <s v="KG"/>
    <n v="24"/>
    <s v="5943"/>
    <s v="SAFRINHA 2026"/>
    <n v="500"/>
    <n v="0"/>
    <n v="500"/>
    <n v="12000"/>
    <m/>
    <s v="SORRISO"/>
    <s v="03282038909"/>
    <n v="24"/>
    <n v="0"/>
  </r>
  <r>
    <d v="2026-01-17T10:27:45"/>
    <n v="4460"/>
    <x v="19"/>
    <d v="2026-01-15T00:00:00"/>
    <d v="2026-08-30T00:00:00"/>
    <x v="4"/>
    <x v="0"/>
    <s v="510200"/>
    <x v="3"/>
    <x v="0"/>
    <s v="LT"/>
    <n v="20"/>
    <s v="5943"/>
    <s v="SAFRINHA 2026"/>
    <n v="520"/>
    <n v="0"/>
    <n v="520"/>
    <n v="10400"/>
    <m/>
    <s v="SORRISO"/>
    <s v="03282038909"/>
    <n v="20"/>
    <n v="0"/>
  </r>
  <r>
    <d v="2026-01-17T10:27:45"/>
    <n v="4460"/>
    <x v="19"/>
    <d v="2026-01-15T00:00:00"/>
    <d v="2026-08-30T00:00:00"/>
    <x v="4"/>
    <x v="0"/>
    <s v="510200"/>
    <x v="1"/>
    <x v="0"/>
    <s v="LT"/>
    <n v="140"/>
    <s v="5943"/>
    <s v="SAFRINHA 2026"/>
    <n v="240"/>
    <n v="0"/>
    <n v="240"/>
    <n v="33600"/>
    <m/>
    <s v="SORRISO"/>
    <s v="03282038909"/>
    <n v="140"/>
    <n v="0"/>
  </r>
  <r>
    <d v="2026-01-17T10:27:45"/>
    <n v="4460"/>
    <x v="19"/>
    <d v="2026-01-15T00:00:00"/>
    <d v="2026-08-30T00:00:00"/>
    <x v="4"/>
    <x v="0"/>
    <s v="510200"/>
    <x v="2"/>
    <x v="0"/>
    <s v="KG"/>
    <n v="20"/>
    <s v="5943"/>
    <s v="SAFRINHA 2026"/>
    <n v="1500"/>
    <n v="0"/>
    <n v="1500"/>
    <n v="30000"/>
    <m/>
    <s v="SORRISO"/>
    <s v="03282038909"/>
    <n v="20"/>
    <n v="0"/>
  </r>
  <r>
    <d v="2026-01-20T16:18:35"/>
    <n v="4467"/>
    <x v="19"/>
    <d v="2026-01-20T00:00:00"/>
    <d v="2026-08-30T00:00:00"/>
    <x v="4"/>
    <x v="0"/>
    <s v="510200"/>
    <x v="8"/>
    <x v="0"/>
    <s v="KG"/>
    <n v="80"/>
    <s v="5947"/>
    <s v="SAFRINHA 2026"/>
    <n v="96"/>
    <n v="0"/>
    <n v="96"/>
    <n v="7680"/>
    <m/>
    <s v="BOA ESPERANÇA DO NORTE"/>
    <s v="03282038909"/>
    <n v="80"/>
    <n v="0"/>
  </r>
  <r>
    <d v="2026-01-20T16:19:35"/>
    <n v="4468"/>
    <x v="19"/>
    <d v="2026-01-20T00:00:00"/>
    <d v="2026-08-30T00:00:00"/>
    <x v="4"/>
    <x v="0"/>
    <s v="510200"/>
    <x v="8"/>
    <x v="0"/>
    <s v="KG"/>
    <n v="80"/>
    <s v="5948"/>
    <s v="SAFRINHA 2026"/>
    <n v="75"/>
    <n v="0"/>
    <n v="75"/>
    <n v="6000"/>
    <m/>
    <s v="SORRISO"/>
    <s v="03282038909"/>
    <n v="80"/>
    <n v="0"/>
  </r>
  <r>
    <d v="2025-12-29T08:44:48"/>
    <n v="4383"/>
    <x v="20"/>
    <d v="2025-12-24T00:00:00"/>
    <d v="2026-05-30T00:00:00"/>
    <x v="5"/>
    <x v="1"/>
    <s v="510200"/>
    <x v="11"/>
    <x v="1"/>
    <s v="LT"/>
    <n v="341"/>
    <s v="5796"/>
    <s v="SAFRINHA 2026"/>
    <n v="33"/>
    <n v="0"/>
    <n v="33"/>
    <n v="11253"/>
    <m/>
    <s v="PARANATINGA"/>
    <s v="05517775918"/>
    <n v="341"/>
    <n v="0"/>
  </r>
  <r>
    <d v="2025-12-29T08:44:48"/>
    <n v="4383"/>
    <x v="20"/>
    <d v="2025-12-24T00:00:00"/>
    <d v="2026-05-30T00:00:00"/>
    <x v="5"/>
    <x v="0"/>
    <s v="510200"/>
    <x v="12"/>
    <x v="0"/>
    <s v="LT"/>
    <n v="238"/>
    <s v="5796"/>
    <s v="SAFRINHA 2026"/>
    <n v="60"/>
    <n v="0"/>
    <n v="60"/>
    <n v="14280"/>
    <m/>
    <s v="PARANATINGA"/>
    <s v="05517775918"/>
    <n v="238"/>
    <n v="0"/>
  </r>
  <r>
    <d v="2025-12-29T08:44:48"/>
    <n v="4383"/>
    <x v="20"/>
    <d v="2025-12-24T00:00:00"/>
    <d v="2026-05-30T00:00:00"/>
    <x v="5"/>
    <x v="1"/>
    <s v="510200"/>
    <x v="10"/>
    <x v="1"/>
    <s v="LT"/>
    <n v="341"/>
    <s v="5796"/>
    <s v="SAFRINHA 2026"/>
    <n v="33"/>
    <n v="0"/>
    <n v="33"/>
    <n v="11253"/>
    <m/>
    <s v="PARANATINGA"/>
    <s v="05517775918"/>
    <n v="341"/>
    <n v="0"/>
  </r>
  <r>
    <d v="2026-01-26T11:25:34"/>
    <n v="4486"/>
    <x v="20"/>
    <d v="2026-01-23T00:00:00"/>
    <d v="2026-05-30T00:00:00"/>
    <x v="5"/>
    <x v="1"/>
    <s v="510200"/>
    <x v="11"/>
    <x v="1"/>
    <s v="LT"/>
    <n v="341"/>
    <s v="5959"/>
    <s v="SAFRINHA 2026"/>
    <n v="6"/>
    <n v="0"/>
    <n v="6"/>
    <n v="2046"/>
    <m/>
    <s v="PARANATINGA"/>
    <s v="05517775918"/>
    <n v="341"/>
    <n v="0"/>
  </r>
  <r>
    <d v="2026-01-26T11:25:34"/>
    <n v="4486"/>
    <x v="20"/>
    <d v="2026-01-23T00:00:00"/>
    <d v="2026-05-30T00:00:00"/>
    <x v="5"/>
    <x v="1"/>
    <s v="510200"/>
    <x v="10"/>
    <x v="1"/>
    <s v="LT"/>
    <n v="341"/>
    <s v="5959"/>
    <s v="SAFRINHA 2026"/>
    <n v="6"/>
    <n v="0"/>
    <n v="6"/>
    <n v="2046"/>
    <m/>
    <s v="PARANATINGA"/>
    <s v="05517775918"/>
    <n v="341"/>
    <n v="0"/>
  </r>
  <r>
    <d v="2026-01-26T11:25:34"/>
    <n v="4486"/>
    <x v="20"/>
    <d v="2026-01-23T00:00:00"/>
    <d v="2026-05-30T00:00:00"/>
    <x v="5"/>
    <x v="0"/>
    <s v="510200"/>
    <x v="12"/>
    <x v="0"/>
    <s v="LT"/>
    <n v="238"/>
    <s v="5959"/>
    <s v="SAFRINHA 2026"/>
    <n v="5"/>
    <n v="0"/>
    <n v="5"/>
    <n v="1190"/>
    <m/>
    <s v="PARANATINGA"/>
    <s v="05517775918"/>
    <n v="238"/>
    <n v="0"/>
  </r>
  <r>
    <d v="2026-01-26T11:25:34"/>
    <n v="4486"/>
    <x v="20"/>
    <d v="2026-01-23T00:00:00"/>
    <d v="2026-05-30T00:00:00"/>
    <x v="5"/>
    <x v="1"/>
    <s v="510200"/>
    <x v="18"/>
    <x v="1"/>
    <s v="KG"/>
    <n v="185"/>
    <s v="5959"/>
    <s v="SAFRINHA 2026"/>
    <n v="76"/>
    <n v="0"/>
    <n v="76"/>
    <n v="14060"/>
    <m/>
    <s v="PARANATINGA"/>
    <s v="05517775918"/>
    <n v="185"/>
    <n v="0"/>
  </r>
  <r>
    <d v="2026-01-02T08:38:59"/>
    <n v="4400"/>
    <x v="21"/>
    <d v="2026-01-02T00:00:00"/>
    <d v="2026-01-03T00:00:00"/>
    <x v="4"/>
    <x v="0"/>
    <s v="510200"/>
    <x v="5"/>
    <x v="0"/>
    <s v="KG"/>
    <n v="23.5"/>
    <s v="5919"/>
    <s v="SAFRA 25/26"/>
    <n v="230"/>
    <n v="0"/>
    <n v="230"/>
    <n v="5405"/>
    <m/>
    <s v="FELIZ NATAL"/>
    <s v="53118510153"/>
    <n v="23.5"/>
    <n v="0"/>
  </r>
  <r>
    <d v="2026-02-04T16:19:55"/>
    <n v="4526"/>
    <x v="22"/>
    <d v="2026-02-04T00:00:00"/>
    <d v="2026-08-30T00:00:00"/>
    <x v="4"/>
    <x v="0"/>
    <s v="510200"/>
    <x v="51"/>
    <x v="2"/>
    <s v="KG"/>
    <n v="440"/>
    <s v="6043"/>
    <s v="SAFRINHA 2026"/>
    <n v="10"/>
    <n v="0"/>
    <n v="10"/>
    <n v="4400"/>
    <m/>
    <s v="NOVA UBIRATA"/>
    <s v="57683123668"/>
    <n v="440"/>
    <n v="0"/>
  </r>
  <r>
    <d v="2025-08-19T15:17:18"/>
    <n v="3983"/>
    <x v="23"/>
    <d v="2025-08-19T00:00:00"/>
    <d v="2026-03-30T00:00:00"/>
    <x v="0"/>
    <x v="1"/>
    <s v="510200"/>
    <x v="10"/>
    <x v="1"/>
    <s v="LT"/>
    <n v="300"/>
    <s v="5536"/>
    <s v="SAFRA 25/26"/>
    <n v="40"/>
    <n v="0"/>
    <n v="40"/>
    <n v="12000"/>
    <m/>
    <s v="NOVA UBIRATA"/>
    <s v="03596351138"/>
    <n v="300"/>
    <n v="0"/>
  </r>
  <r>
    <d v="2025-08-19T15:17:18"/>
    <n v="3983"/>
    <x v="23"/>
    <d v="2025-08-19T00:00:00"/>
    <d v="2026-03-30T00:00:00"/>
    <x v="0"/>
    <x v="1"/>
    <s v="510200"/>
    <x v="11"/>
    <x v="1"/>
    <s v="LT"/>
    <n v="300"/>
    <s v="5536"/>
    <s v="SAFRA 25/26"/>
    <n v="180"/>
    <n v="0"/>
    <n v="180"/>
    <n v="54000"/>
    <m/>
    <s v="NOVA UBIRATA"/>
    <s v="03596351138"/>
    <n v="300"/>
    <n v="0"/>
  </r>
  <r>
    <d v="2025-08-19T15:17:18"/>
    <n v="3983"/>
    <x v="23"/>
    <d v="2025-08-19T00:00:00"/>
    <d v="2026-03-30T00:00:00"/>
    <x v="0"/>
    <x v="1"/>
    <s v="510200"/>
    <x v="13"/>
    <x v="1"/>
    <s v="LT"/>
    <n v="42.5"/>
    <s v="5536"/>
    <s v="SAFRA 25/26"/>
    <n v="150"/>
    <n v="0"/>
    <n v="150"/>
    <n v="6375"/>
    <m/>
    <s v="NOVA UBIRATA"/>
    <s v="03596351138"/>
    <n v="42.5"/>
    <n v="0"/>
  </r>
  <r>
    <d v="2025-08-19T15:17:18"/>
    <n v="3983"/>
    <x v="23"/>
    <d v="2025-08-19T00:00:00"/>
    <d v="2026-03-30T00:00:00"/>
    <x v="0"/>
    <x v="1"/>
    <s v="510200"/>
    <x v="9"/>
    <x v="1"/>
    <s v="LT"/>
    <n v="44"/>
    <s v="5536"/>
    <s v="SAFRA 25/26"/>
    <n v="201"/>
    <n v="0"/>
    <n v="201"/>
    <n v="8844"/>
    <m/>
    <s v="NOVA UBIRATA"/>
    <s v="03596351138"/>
    <n v="44"/>
    <n v="0"/>
  </r>
  <r>
    <d v="2025-08-19T15:17:18"/>
    <n v="3983"/>
    <x v="23"/>
    <d v="2025-08-19T00:00:00"/>
    <d v="2026-03-30T00:00:00"/>
    <x v="0"/>
    <x v="1"/>
    <s v="510200"/>
    <x v="25"/>
    <x v="1"/>
    <s v="KG"/>
    <n v="560.5"/>
    <s v="5536"/>
    <s v="SAFRA 25/26"/>
    <n v="80"/>
    <n v="0"/>
    <n v="80"/>
    <n v="44840"/>
    <m/>
    <s v="NOVA UBIRATA"/>
    <s v="03596351138"/>
    <n v="560.5"/>
    <n v="0"/>
  </r>
  <r>
    <d v="2025-08-19T15:17:18"/>
    <n v="3983"/>
    <x v="23"/>
    <d v="2025-08-19T00:00:00"/>
    <d v="2026-03-30T00:00:00"/>
    <x v="0"/>
    <x v="1"/>
    <s v="510200"/>
    <x v="14"/>
    <x v="1"/>
    <s v="KG"/>
    <n v="365.75"/>
    <s v="5536"/>
    <s v="SAFRA 25/26"/>
    <n v="100"/>
    <n v="0"/>
    <n v="100"/>
    <n v="36575"/>
    <m/>
    <s v="NOVA UBIRATA"/>
    <s v="03596351138"/>
    <n v="365.75"/>
    <n v="0"/>
  </r>
  <r>
    <d v="2025-08-19T15:17:18"/>
    <n v="3983"/>
    <x v="23"/>
    <d v="2025-08-19T00:00:00"/>
    <d v="2026-03-30T00:00:00"/>
    <x v="0"/>
    <x v="1"/>
    <s v="510200"/>
    <x v="17"/>
    <x v="1"/>
    <s v="LT"/>
    <n v="42.75"/>
    <s v="5536"/>
    <s v="SAFRA 25/26"/>
    <n v="150"/>
    <n v="0"/>
    <n v="150"/>
    <n v="6412.5"/>
    <m/>
    <s v="NOVA UBIRATA"/>
    <s v="03596351138"/>
    <n v="42.75"/>
    <n v="0"/>
  </r>
  <r>
    <d v="2025-08-19T15:20:25"/>
    <n v="3984"/>
    <x v="23"/>
    <d v="2025-08-19T00:00:00"/>
    <d v="2026-08-30T00:00:00"/>
    <x v="0"/>
    <x v="1"/>
    <s v="510200"/>
    <x v="14"/>
    <x v="1"/>
    <s v="KG"/>
    <n v="365.75"/>
    <s v="5537"/>
    <s v="SAFRINHA 2026"/>
    <n v="100"/>
    <n v="0"/>
    <n v="100"/>
    <n v="36575"/>
    <m/>
    <s v="NOVA UBIRATA"/>
    <s v="03596351138"/>
    <n v="365.75"/>
    <n v="0"/>
  </r>
  <r>
    <d v="2025-08-19T15:20:25"/>
    <n v="3984"/>
    <x v="23"/>
    <d v="2025-08-19T00:00:00"/>
    <d v="2026-08-30T00:00:00"/>
    <x v="0"/>
    <x v="1"/>
    <s v="510200"/>
    <x v="9"/>
    <x v="1"/>
    <s v="LT"/>
    <n v="44"/>
    <s v="5537"/>
    <s v="SAFRINHA 2026"/>
    <n v="201"/>
    <n v="0"/>
    <n v="201"/>
    <n v="8844"/>
    <m/>
    <s v="NOVA UBIRATA"/>
    <s v="03596351138"/>
    <n v="44"/>
    <n v="0"/>
  </r>
  <r>
    <d v="2025-08-19T15:20:25"/>
    <n v="3984"/>
    <x v="23"/>
    <d v="2025-08-19T00:00:00"/>
    <d v="2026-08-30T00:00:00"/>
    <x v="0"/>
    <x v="1"/>
    <s v="510200"/>
    <x v="11"/>
    <x v="1"/>
    <s v="LT"/>
    <n v="300"/>
    <s v="5537"/>
    <s v="SAFRINHA 2026"/>
    <n v="40"/>
    <n v="0"/>
    <n v="40"/>
    <n v="12000"/>
    <m/>
    <s v="NOVA UBIRATA"/>
    <s v="03596351138"/>
    <n v="300"/>
    <n v="0"/>
  </r>
  <r>
    <d v="2025-08-19T15:20:25"/>
    <n v="3984"/>
    <x v="23"/>
    <d v="2025-08-19T00:00:00"/>
    <d v="2026-08-30T00:00:00"/>
    <x v="0"/>
    <x v="1"/>
    <s v="510200"/>
    <x v="10"/>
    <x v="1"/>
    <s v="LT"/>
    <n v="300"/>
    <s v="5537"/>
    <s v="SAFRINHA 2026"/>
    <n v="40"/>
    <n v="0"/>
    <n v="40"/>
    <n v="12000"/>
    <m/>
    <s v="NOVA UBIRATA"/>
    <s v="03596351138"/>
    <n v="300"/>
    <n v="0"/>
  </r>
  <r>
    <d v="2025-10-21T08:35:18"/>
    <n v="4190"/>
    <x v="23"/>
    <d v="2025-10-21T00:00:00"/>
    <d v="2026-03-30T00:00:00"/>
    <x v="0"/>
    <x v="1"/>
    <s v="510200"/>
    <x v="13"/>
    <x v="1"/>
    <s v="LT"/>
    <n v="42.5"/>
    <s v="5726"/>
    <s v="SAFRA 25/26"/>
    <n v="6"/>
    <n v="0"/>
    <n v="6"/>
    <n v="255"/>
    <m/>
    <s v="NOVA UBIRATA"/>
    <s v="03596351138"/>
    <n v="42.5"/>
    <n v="0"/>
  </r>
  <r>
    <d v="2025-10-21T08:35:18"/>
    <n v="4190"/>
    <x v="23"/>
    <d v="2025-10-21T00:00:00"/>
    <d v="2026-03-30T00:00:00"/>
    <x v="0"/>
    <x v="1"/>
    <s v="510200"/>
    <x v="14"/>
    <x v="1"/>
    <s v="KG"/>
    <n v="365.75"/>
    <s v="5726"/>
    <s v="SAFRA 25/26"/>
    <n v="15"/>
    <n v="0"/>
    <n v="15"/>
    <n v="5486.25"/>
    <m/>
    <s v="NOVA UBIRATA"/>
    <s v="03596351138"/>
    <n v="365.75"/>
    <n v="0"/>
  </r>
  <r>
    <d v="2025-10-21T08:35:18"/>
    <n v="4190"/>
    <x v="23"/>
    <d v="2025-10-21T00:00:00"/>
    <d v="2026-03-30T00:00:00"/>
    <x v="0"/>
    <x v="1"/>
    <s v="510200"/>
    <x v="25"/>
    <x v="1"/>
    <s v="KG"/>
    <n v="560.5"/>
    <s v="5726"/>
    <s v="SAFRA 25/26"/>
    <n v="5"/>
    <n v="0"/>
    <n v="5"/>
    <n v="2802.5"/>
    <m/>
    <s v="NOVA UBIRATA"/>
    <s v="03596351138"/>
    <n v="560.5"/>
    <n v="0"/>
  </r>
  <r>
    <d v="2025-10-21T08:35:18"/>
    <n v="4190"/>
    <x v="23"/>
    <d v="2025-10-21T00:00:00"/>
    <d v="2026-03-30T00:00:00"/>
    <x v="0"/>
    <x v="1"/>
    <s v="510200"/>
    <x v="17"/>
    <x v="1"/>
    <s v="LT"/>
    <n v="42.75"/>
    <s v="5726"/>
    <s v="SAFRA 25/26"/>
    <n v="6"/>
    <n v="0"/>
    <n v="6"/>
    <n v="256.5"/>
    <m/>
    <s v="NOVA UBIRATA"/>
    <s v="03596351138"/>
    <n v="42.75"/>
    <n v="0"/>
  </r>
  <r>
    <d v="2025-12-04T08:27:39"/>
    <n v="4323"/>
    <x v="23"/>
    <d v="2025-12-04T00:00:00"/>
    <d v="2026-03-30T00:00:00"/>
    <x v="0"/>
    <x v="0"/>
    <s v="510200"/>
    <x v="36"/>
    <x v="2"/>
    <s v="LT"/>
    <n v="33"/>
    <s v="5838"/>
    <s v="SAFRA 25/26"/>
    <n v="252"/>
    <n v="0"/>
    <n v="252"/>
    <n v="8316"/>
    <m/>
    <s v="NOVA UBIRATA"/>
    <s v="03596351138"/>
    <n v="33"/>
    <n v="0"/>
  </r>
  <r>
    <d v="2025-04-30T08:25:27"/>
    <n v="3823"/>
    <x v="24"/>
    <d v="2025-04-30T00:00:00"/>
    <d v="2025-08-30T00:00:00"/>
    <x v="7"/>
    <x v="1"/>
    <s v="510200"/>
    <x v="18"/>
    <x v="1"/>
    <s v="KG"/>
    <n v="220"/>
    <s v="5046"/>
    <s v="SAFRA 25/26"/>
    <n v="30"/>
    <n v="0"/>
    <n v="30"/>
    <n v="6600"/>
    <m/>
    <s v="SANTA CARMEM"/>
    <s v="04714155962"/>
    <n v="220"/>
    <n v="0"/>
  </r>
  <r>
    <d v="2025-04-30T08:25:27"/>
    <n v="3823"/>
    <x v="24"/>
    <d v="2025-04-30T00:00:00"/>
    <d v="2025-08-30T00:00:00"/>
    <x v="7"/>
    <x v="1"/>
    <s v="510200"/>
    <x v="10"/>
    <x v="1"/>
    <s v="LT"/>
    <n v="360"/>
    <s v="5046"/>
    <s v="SAFRA 25/26"/>
    <n v="4"/>
    <n v="0"/>
    <n v="4"/>
    <n v="1440"/>
    <m/>
    <s v="SANTA CARMEM"/>
    <s v="04714155962"/>
    <n v="360"/>
    <n v="0"/>
  </r>
  <r>
    <d v="2025-04-30T08:25:27"/>
    <n v="3823"/>
    <x v="24"/>
    <d v="2025-04-30T00:00:00"/>
    <d v="2025-08-30T00:00:00"/>
    <x v="7"/>
    <x v="1"/>
    <s v="510200"/>
    <x v="11"/>
    <x v="1"/>
    <s v="LT"/>
    <n v="375"/>
    <s v="5046"/>
    <s v="SAFRA 25/26"/>
    <n v="4"/>
    <n v="0"/>
    <n v="4"/>
    <n v="1500"/>
    <m/>
    <s v="SANTA CARMEM"/>
    <s v="04714155962"/>
    <n v="375"/>
    <n v="0"/>
  </r>
  <r>
    <d v="2025-04-30T08:25:27"/>
    <n v="3823"/>
    <x v="24"/>
    <d v="2025-04-30T00:00:00"/>
    <d v="2025-08-30T00:00:00"/>
    <x v="7"/>
    <x v="1"/>
    <s v="510200"/>
    <x v="9"/>
    <x v="1"/>
    <s v="LT"/>
    <n v="58"/>
    <s v="5046"/>
    <s v="SAFRA 25/26"/>
    <n v="30"/>
    <n v="0"/>
    <n v="30"/>
    <n v="1740"/>
    <m/>
    <s v="SANTA CARMEM"/>
    <s v="04714155962"/>
    <n v="58"/>
    <n v="0"/>
  </r>
  <r>
    <d v="2025-07-24T08:17:15"/>
    <n v="3944"/>
    <x v="24"/>
    <d v="2025-07-24T00:00:00"/>
    <d v="2025-08-30T00:00:00"/>
    <x v="7"/>
    <x v="1"/>
    <s v="510200"/>
    <x v="9"/>
    <x v="1"/>
    <s v="LT"/>
    <n v="58"/>
    <s v="5441"/>
    <s v="SAFRA 25/26"/>
    <n v="15"/>
    <n v="0"/>
    <n v="15"/>
    <n v="870"/>
    <m/>
    <s v="SANTA CARMEM"/>
    <s v="04714155962"/>
    <n v="58"/>
    <n v="0"/>
  </r>
  <r>
    <d v="2025-07-24T08:17:15"/>
    <n v="3944"/>
    <x v="24"/>
    <d v="2025-07-24T00:00:00"/>
    <d v="2025-08-30T00:00:00"/>
    <x v="7"/>
    <x v="1"/>
    <s v="510200"/>
    <x v="18"/>
    <x v="1"/>
    <s v="KG"/>
    <n v="220"/>
    <s v="5441"/>
    <s v="SAFRA 25/26"/>
    <n v="15"/>
    <n v="0"/>
    <n v="15"/>
    <n v="3300"/>
    <m/>
    <s v="SANTA CARMEM"/>
    <s v="04714155962"/>
    <n v="220"/>
    <n v="0"/>
  </r>
  <r>
    <d v="2025-10-24T10:19:31"/>
    <n v="4204"/>
    <x v="25"/>
    <d v="2025-10-24T00:00:00"/>
    <d v="2026-03-30T00:00:00"/>
    <x v="9"/>
    <x v="0"/>
    <s v="510200"/>
    <x v="52"/>
    <x v="2"/>
    <s v="LT"/>
    <n v="110"/>
    <s v="5758"/>
    <s v="SAFRA 25/26"/>
    <n v="5"/>
    <n v="0"/>
    <n v="5"/>
    <n v="550"/>
    <m/>
    <s v="BOA ESPERANÇA DO NORTE"/>
    <s v="00189784105"/>
    <n v="110"/>
    <n v="0"/>
  </r>
  <r>
    <d v="2025-08-04T16:12:08"/>
    <n v="3964"/>
    <x v="26"/>
    <d v="2025-08-04T00:00:00"/>
    <d v="2026-03-30T00:00:00"/>
    <x v="0"/>
    <x v="0"/>
    <s v="510200"/>
    <x v="8"/>
    <x v="0"/>
    <s v="KG"/>
    <n v="95"/>
    <s v="5528"/>
    <s v="SAFRA 25/26"/>
    <n v="36"/>
    <n v="0"/>
    <n v="36"/>
    <n v="3420"/>
    <m/>
    <s v="NOVA UBIRATA"/>
    <s v="05330992931"/>
    <n v="95"/>
    <n v="0"/>
  </r>
  <r>
    <d v="2025-08-04T16:12:08"/>
    <n v="3964"/>
    <x v="26"/>
    <d v="2025-08-04T00:00:00"/>
    <d v="2026-03-30T00:00:00"/>
    <x v="0"/>
    <x v="0"/>
    <s v="510200"/>
    <x v="1"/>
    <x v="0"/>
    <s v="LT"/>
    <n v="170"/>
    <s v="5528"/>
    <s v="SAFRA 25/26"/>
    <n v="80"/>
    <n v="0"/>
    <n v="80"/>
    <n v="13600"/>
    <m/>
    <s v="NOVA UBIRATA"/>
    <s v="05330992931"/>
    <n v="170"/>
    <n v="0"/>
  </r>
  <r>
    <d v="2025-08-04T16:12:08"/>
    <n v="3964"/>
    <x v="26"/>
    <d v="2025-08-04T00:00:00"/>
    <d v="2026-03-30T00:00:00"/>
    <x v="0"/>
    <x v="0"/>
    <s v="510200"/>
    <x v="2"/>
    <x v="0"/>
    <s v="KG"/>
    <n v="25"/>
    <s v="5528"/>
    <s v="SAFRA 25/26"/>
    <n v="700"/>
    <n v="0"/>
    <n v="700"/>
    <n v="17500"/>
    <m/>
    <s v="NOVA UBIRATA"/>
    <s v="05330992931"/>
    <n v="25"/>
    <n v="0"/>
  </r>
  <r>
    <d v="2025-08-04T16:12:08"/>
    <n v="3964"/>
    <x v="26"/>
    <d v="2025-08-04T00:00:00"/>
    <d v="2026-03-30T00:00:00"/>
    <x v="0"/>
    <x v="0"/>
    <s v="510200"/>
    <x v="3"/>
    <x v="0"/>
    <s v="LT"/>
    <n v="25"/>
    <s v="5528"/>
    <s v="SAFRA 25/26"/>
    <n v="360"/>
    <n v="0"/>
    <n v="360"/>
    <n v="9000"/>
    <m/>
    <s v="NOVA UBIRATA"/>
    <s v="05330992931"/>
    <n v="25"/>
    <n v="0"/>
  </r>
  <r>
    <d v="2025-08-04T16:12:08"/>
    <n v="3964"/>
    <x v="26"/>
    <d v="2025-08-04T00:00:00"/>
    <d v="2026-03-30T00:00:00"/>
    <x v="0"/>
    <x v="0"/>
    <s v="510200"/>
    <x v="0"/>
    <x v="0"/>
    <s v="LT"/>
    <n v="18"/>
    <s v="5528"/>
    <s v="SAFRA 25/26"/>
    <n v="360"/>
    <n v="0"/>
    <n v="360"/>
    <n v="6480"/>
    <m/>
    <s v="NOVA UBIRATA"/>
    <s v="05330992931"/>
    <n v="18"/>
    <n v="0"/>
  </r>
  <r>
    <d v="2025-08-04T16:12:08"/>
    <n v="3964"/>
    <x v="26"/>
    <d v="2025-08-04T00:00:00"/>
    <d v="2026-03-30T00:00:00"/>
    <x v="0"/>
    <x v="0"/>
    <s v="510200"/>
    <x v="41"/>
    <x v="0"/>
    <s v="LT"/>
    <n v="87"/>
    <s v="5528"/>
    <s v="SAFRA 25/26"/>
    <n v="360"/>
    <n v="0"/>
    <n v="360"/>
    <n v="31320"/>
    <m/>
    <s v="NOVA UBIRATA"/>
    <s v="05330992931"/>
    <n v="87"/>
    <n v="0"/>
  </r>
  <r>
    <d v="2025-08-04T16:12:08"/>
    <n v="3964"/>
    <x v="26"/>
    <d v="2025-08-04T00:00:00"/>
    <d v="2026-03-30T00:00:00"/>
    <x v="0"/>
    <x v="0"/>
    <s v="510200"/>
    <x v="5"/>
    <x v="0"/>
    <s v="KG"/>
    <n v="27"/>
    <s v="5528"/>
    <s v="SAFRA 25/26"/>
    <n v="350"/>
    <n v="0"/>
    <n v="350"/>
    <n v="9450"/>
    <m/>
    <s v="NOVA UBIRATA"/>
    <s v="05330992931"/>
    <n v="27"/>
    <n v="0"/>
  </r>
  <r>
    <d v="2025-08-04T16:12:08"/>
    <n v="3964"/>
    <x v="26"/>
    <d v="2025-08-04T00:00:00"/>
    <d v="2026-03-30T00:00:00"/>
    <x v="0"/>
    <x v="0"/>
    <s v="510200"/>
    <x v="6"/>
    <x v="0"/>
    <s v="LT"/>
    <n v="73"/>
    <s v="5528"/>
    <s v="SAFRA 25/26"/>
    <n v="90"/>
    <n v="0"/>
    <n v="90"/>
    <n v="6570"/>
    <m/>
    <s v="NOVA UBIRATA"/>
    <s v="05330992931"/>
    <n v="73"/>
    <n v="0"/>
  </r>
  <r>
    <d v="2025-08-04T16:12:08"/>
    <n v="3964"/>
    <x v="26"/>
    <d v="2025-08-04T00:00:00"/>
    <d v="2026-03-30T00:00:00"/>
    <x v="0"/>
    <x v="0"/>
    <s v="510200"/>
    <x v="7"/>
    <x v="0"/>
    <s v="LT"/>
    <n v="73"/>
    <s v="5528"/>
    <s v="SAFRA 25/26"/>
    <n v="55"/>
    <n v="0"/>
    <n v="55"/>
    <n v="4015"/>
    <m/>
    <s v="NOVA UBIRATA"/>
    <s v="05330992931"/>
    <n v="73"/>
    <n v="0"/>
  </r>
  <r>
    <d v="2025-08-04T16:12:08"/>
    <n v="3964"/>
    <x v="26"/>
    <d v="2025-08-04T00:00:00"/>
    <d v="2026-03-30T00:00:00"/>
    <x v="0"/>
    <x v="0"/>
    <s v="510200"/>
    <x v="4"/>
    <x v="0"/>
    <s v="KG"/>
    <n v="28"/>
    <s v="5528"/>
    <s v="SAFRA 25/26"/>
    <n v="530"/>
    <n v="0"/>
    <n v="530"/>
    <n v="14840"/>
    <m/>
    <s v="NOVA UBIRATA"/>
    <s v="05330992931"/>
    <n v="28"/>
    <n v="0"/>
  </r>
  <r>
    <d v="2025-08-04T16:15:17"/>
    <n v="3965"/>
    <x v="26"/>
    <d v="2025-08-04T00:00:00"/>
    <d v="2026-03-30T00:00:00"/>
    <x v="0"/>
    <x v="1"/>
    <s v="510200"/>
    <x v="10"/>
    <x v="1"/>
    <s v="LT"/>
    <n v="345"/>
    <s v="5529"/>
    <s v="SAFRA 25/26"/>
    <n v="18"/>
    <n v="0"/>
    <n v="18"/>
    <n v="6210"/>
    <m/>
    <s v="NOVA UBIRATA"/>
    <s v="05330992931"/>
    <n v="345"/>
    <n v="0"/>
  </r>
  <r>
    <d v="2025-08-04T16:15:17"/>
    <n v="3965"/>
    <x v="26"/>
    <d v="2025-08-04T00:00:00"/>
    <d v="2026-03-30T00:00:00"/>
    <x v="0"/>
    <x v="1"/>
    <s v="510200"/>
    <x v="9"/>
    <x v="1"/>
    <s v="LT"/>
    <n v="52"/>
    <s v="5529"/>
    <s v="SAFRA 25/26"/>
    <n v="36"/>
    <n v="0"/>
    <n v="36"/>
    <n v="1872"/>
    <m/>
    <s v="NOVA UBIRATA"/>
    <s v="05330992931"/>
    <n v="52"/>
    <n v="0"/>
  </r>
  <r>
    <d v="2025-08-04T16:15:17"/>
    <n v="3965"/>
    <x v="26"/>
    <d v="2025-08-04T00:00:00"/>
    <d v="2026-03-30T00:00:00"/>
    <x v="0"/>
    <x v="1"/>
    <s v="510200"/>
    <x v="11"/>
    <x v="1"/>
    <s v="LT"/>
    <n v="345"/>
    <s v="5529"/>
    <s v="SAFRA 25/26"/>
    <n v="18"/>
    <n v="0"/>
    <n v="18"/>
    <n v="6210"/>
    <m/>
    <s v="NOVA UBIRATA"/>
    <s v="05330992931"/>
    <n v="345"/>
    <n v="0"/>
  </r>
  <r>
    <d v="2025-08-04T16:15:17"/>
    <n v="3965"/>
    <x v="26"/>
    <d v="2025-08-04T00:00:00"/>
    <d v="2026-03-30T00:00:00"/>
    <x v="0"/>
    <x v="0"/>
    <s v="510200"/>
    <x v="12"/>
    <x v="0"/>
    <s v="LT"/>
    <n v="245"/>
    <s v="5529"/>
    <s v="SAFRA 25/26"/>
    <n v="35"/>
    <n v="0"/>
    <n v="35"/>
    <n v="8575"/>
    <m/>
    <s v="NOVA UBIRATA"/>
    <s v="05330992931"/>
    <n v="245"/>
    <n v="0"/>
  </r>
  <r>
    <d v="2025-08-04T16:15:17"/>
    <n v="3965"/>
    <x v="26"/>
    <d v="2025-08-04T00:00:00"/>
    <d v="2026-03-30T00:00:00"/>
    <x v="0"/>
    <x v="1"/>
    <s v="510200"/>
    <x v="18"/>
    <x v="1"/>
    <s v="KG"/>
    <n v="205"/>
    <s v="5529"/>
    <s v="SAFRA 25/26"/>
    <n v="35"/>
    <n v="0"/>
    <n v="35"/>
    <n v="7175"/>
    <m/>
    <s v="NOVA UBIRATA"/>
    <s v="05330992931"/>
    <n v="205"/>
    <n v="0"/>
  </r>
  <r>
    <d v="2025-08-04T16:15:17"/>
    <n v="3965"/>
    <x v="26"/>
    <d v="2025-08-04T00:00:00"/>
    <d v="2026-03-30T00:00:00"/>
    <x v="0"/>
    <x v="1"/>
    <s v="510200"/>
    <x v="13"/>
    <x v="1"/>
    <s v="LT"/>
    <n v="48"/>
    <s v="5529"/>
    <s v="SAFRA 25/26"/>
    <n v="54"/>
    <n v="0"/>
    <n v="54"/>
    <n v="2592"/>
    <m/>
    <s v="NOVA UBIRATA"/>
    <s v="05330992931"/>
    <n v="48"/>
    <n v="0"/>
  </r>
  <r>
    <d v="2025-08-04T16:20:46"/>
    <n v="3966"/>
    <x v="26"/>
    <d v="2025-08-04T00:00:00"/>
    <d v="2026-08-30T00:00:00"/>
    <x v="0"/>
    <x v="1"/>
    <s v="510200"/>
    <x v="10"/>
    <x v="1"/>
    <s v="LT"/>
    <n v="345"/>
    <s v="5530"/>
    <s v="SAFRINHA 2026"/>
    <n v="7"/>
    <n v="0"/>
    <n v="7"/>
    <n v="2415"/>
    <m/>
    <s v="NOVA UBIRATA"/>
    <s v="05330992931"/>
    <n v="345"/>
    <n v="0"/>
  </r>
  <r>
    <d v="2025-08-04T16:20:46"/>
    <n v="3966"/>
    <x v="26"/>
    <d v="2025-08-04T00:00:00"/>
    <d v="2026-08-30T00:00:00"/>
    <x v="0"/>
    <x v="0"/>
    <s v="510200"/>
    <x v="2"/>
    <x v="0"/>
    <s v="KG"/>
    <n v="25"/>
    <s v="5530"/>
    <s v="SAFRINHA 2026"/>
    <n v="700"/>
    <n v="0"/>
    <n v="700"/>
    <n v="17500"/>
    <m/>
    <s v="NOVA UBIRATA"/>
    <s v="05330992931"/>
    <n v="25"/>
    <n v="0"/>
  </r>
  <r>
    <d v="2025-08-04T16:20:46"/>
    <n v="3966"/>
    <x v="26"/>
    <d v="2025-08-04T00:00:00"/>
    <d v="2026-08-30T00:00:00"/>
    <x v="0"/>
    <x v="0"/>
    <s v="510200"/>
    <x v="3"/>
    <x v="0"/>
    <s v="LT"/>
    <n v="25"/>
    <s v="5530"/>
    <s v="SAFRINHA 2026"/>
    <n v="360"/>
    <n v="0"/>
    <n v="360"/>
    <n v="9000"/>
    <m/>
    <s v="NOVA UBIRATA"/>
    <s v="05330992931"/>
    <n v="25"/>
    <n v="0"/>
  </r>
  <r>
    <d v="2025-08-04T16:20:46"/>
    <n v="3966"/>
    <x v="26"/>
    <d v="2025-08-04T00:00:00"/>
    <d v="2026-08-30T00:00:00"/>
    <x v="0"/>
    <x v="0"/>
    <s v="510200"/>
    <x v="4"/>
    <x v="0"/>
    <s v="KG"/>
    <n v="28"/>
    <s v="5530"/>
    <s v="SAFRINHA 2026"/>
    <n v="530"/>
    <n v="0"/>
    <n v="530"/>
    <n v="14840"/>
    <m/>
    <s v="NOVA UBIRATA"/>
    <s v="05330992931"/>
    <n v="28"/>
    <n v="0"/>
  </r>
  <r>
    <d v="2025-08-04T16:20:46"/>
    <n v="3966"/>
    <x v="26"/>
    <d v="2025-08-04T00:00:00"/>
    <d v="2026-08-30T00:00:00"/>
    <x v="0"/>
    <x v="0"/>
    <s v="510200"/>
    <x v="0"/>
    <x v="0"/>
    <s v="LT"/>
    <n v="18"/>
    <s v="5530"/>
    <s v="SAFRINHA 2026"/>
    <n v="520"/>
    <n v="0"/>
    <n v="520"/>
    <n v="9360"/>
    <m/>
    <s v="NOVA UBIRATA"/>
    <s v="05330992931"/>
    <n v="18"/>
    <n v="0"/>
  </r>
  <r>
    <d v="2025-08-04T16:20:46"/>
    <n v="3966"/>
    <x v="26"/>
    <d v="2025-08-04T00:00:00"/>
    <d v="2026-08-30T00:00:00"/>
    <x v="0"/>
    <x v="1"/>
    <s v="510200"/>
    <x v="18"/>
    <x v="1"/>
    <s v="KG"/>
    <n v="205"/>
    <s v="5530"/>
    <s v="SAFRINHA 2026"/>
    <n v="28"/>
    <n v="0"/>
    <n v="28"/>
    <n v="5740"/>
    <m/>
    <s v="NOVA UBIRATA"/>
    <s v="05330992931"/>
    <n v="205"/>
    <n v="0"/>
  </r>
  <r>
    <d v="2025-08-04T16:20:46"/>
    <n v="3966"/>
    <x v="26"/>
    <d v="2025-08-04T00:00:00"/>
    <d v="2026-08-30T00:00:00"/>
    <x v="0"/>
    <x v="1"/>
    <s v="510200"/>
    <x v="11"/>
    <x v="1"/>
    <s v="LT"/>
    <n v="345"/>
    <s v="5530"/>
    <s v="SAFRINHA 2026"/>
    <n v="7"/>
    <n v="0"/>
    <n v="7"/>
    <n v="2415"/>
    <m/>
    <s v="NOVA UBIRATA"/>
    <s v="05330992931"/>
    <n v="345"/>
    <n v="0"/>
  </r>
  <r>
    <d v="2025-08-04T16:20:46"/>
    <n v="3966"/>
    <x v="26"/>
    <d v="2025-08-04T00:00:00"/>
    <d v="2026-08-30T00:00:00"/>
    <x v="0"/>
    <x v="1"/>
    <s v="510200"/>
    <x v="9"/>
    <x v="1"/>
    <s v="LT"/>
    <n v="52"/>
    <s v="5530"/>
    <s v="SAFRINHA 2026"/>
    <n v="36"/>
    <n v="0"/>
    <n v="36"/>
    <n v="1872"/>
    <m/>
    <s v="NOVA UBIRATA"/>
    <s v="05330992931"/>
    <n v="52"/>
    <n v="0"/>
  </r>
  <r>
    <d v="2025-08-04T16:20:46"/>
    <n v="3966"/>
    <x v="26"/>
    <d v="2025-08-04T00:00:00"/>
    <d v="2026-08-30T00:00:00"/>
    <x v="0"/>
    <x v="0"/>
    <s v="510200"/>
    <x v="12"/>
    <x v="0"/>
    <s v="LT"/>
    <n v="245"/>
    <s v="5530"/>
    <s v="SAFRINHA 2026"/>
    <n v="35"/>
    <n v="0"/>
    <n v="35"/>
    <n v="8575"/>
    <m/>
    <s v="NOVA UBIRATA"/>
    <s v="05330992931"/>
    <n v="245"/>
    <n v="0"/>
  </r>
  <r>
    <d v="2025-08-04T16:20:46"/>
    <n v="3966"/>
    <x v="26"/>
    <d v="2025-08-04T00:00:00"/>
    <d v="2026-08-30T00:00:00"/>
    <x v="0"/>
    <x v="0"/>
    <s v="510200"/>
    <x v="6"/>
    <x v="0"/>
    <s v="LT"/>
    <n v="73"/>
    <s v="5530"/>
    <s v="SAFRINHA 2026"/>
    <n v="70"/>
    <n v="0"/>
    <n v="70"/>
    <n v="5110"/>
    <m/>
    <s v="NOVA UBIRATA"/>
    <s v="05330992931"/>
    <n v="73"/>
    <n v="0"/>
  </r>
  <r>
    <d v="2025-08-04T16:20:46"/>
    <n v="3966"/>
    <x v="26"/>
    <d v="2025-08-04T00:00:00"/>
    <d v="2026-08-30T00:00:00"/>
    <x v="0"/>
    <x v="0"/>
    <s v="510200"/>
    <x v="7"/>
    <x v="0"/>
    <s v="LT"/>
    <n v="73"/>
    <s v="5530"/>
    <s v="SAFRINHA 2026"/>
    <n v="35"/>
    <n v="0"/>
    <n v="35"/>
    <n v="2555"/>
    <m/>
    <s v="NOVA UBIRATA"/>
    <s v="05330992931"/>
    <n v="73"/>
    <n v="0"/>
  </r>
  <r>
    <d v="2025-08-04T16:20:46"/>
    <n v="3966"/>
    <x v="26"/>
    <d v="2025-08-04T00:00:00"/>
    <d v="2026-08-30T00:00:00"/>
    <x v="0"/>
    <x v="0"/>
    <s v="510200"/>
    <x v="1"/>
    <x v="0"/>
    <s v="LT"/>
    <n v="170"/>
    <s v="5530"/>
    <s v="SAFRINHA 2026"/>
    <n v="40"/>
    <n v="0"/>
    <n v="40"/>
    <n v="6800"/>
    <m/>
    <s v="NOVA UBIRATA"/>
    <s v="05330992931"/>
    <n v="170"/>
    <n v="0"/>
  </r>
  <r>
    <d v="2025-11-14T08:35:34"/>
    <n v="4268"/>
    <x v="26"/>
    <d v="2025-11-14T00:00:00"/>
    <d v="2026-03-30T00:00:00"/>
    <x v="0"/>
    <x v="0"/>
    <s v="510200"/>
    <x v="46"/>
    <x v="0"/>
    <s v="LT"/>
    <n v="17.5"/>
    <s v="5812"/>
    <s v="SAFRA 25/26"/>
    <n v="200"/>
    <n v="0"/>
    <n v="200"/>
    <n v="3500"/>
    <m/>
    <s v="NOVA UBIRATA"/>
    <s v="05330992931"/>
    <n v="17.5"/>
    <n v="0"/>
  </r>
  <r>
    <d v="2026-01-09T09:20:46"/>
    <n v="4418"/>
    <x v="26"/>
    <d v="2026-01-09T00:00:00"/>
    <d v="2026-08-30T00:00:00"/>
    <x v="0"/>
    <x v="1"/>
    <s v="510200"/>
    <x v="23"/>
    <x v="1"/>
    <s v="KG"/>
    <n v="350"/>
    <s v="6001"/>
    <s v="SAFRINHA 2026"/>
    <n v="8"/>
    <n v="0"/>
    <n v="8"/>
    <n v="2800"/>
    <m/>
    <s v="NOVA UBIRATA"/>
    <s v="05330992931"/>
    <n v="350"/>
    <n v="0"/>
  </r>
  <r>
    <d v="2026-02-19T10:41:08"/>
    <n v="4585"/>
    <x v="26"/>
    <d v="2026-02-19T00:00:00"/>
    <d v="2026-08-30T00:00:00"/>
    <x v="0"/>
    <x v="0"/>
    <s v="510200"/>
    <x v="53"/>
    <x v="0"/>
    <s v="LT"/>
    <n v="18.5"/>
    <s v="6091"/>
    <s v="SAFRINHA 2026"/>
    <n v="2000"/>
    <n v="0"/>
    <n v="2000"/>
    <n v="37000"/>
    <m/>
    <s v="NOVA UBIRATA"/>
    <s v="05330992931"/>
    <n v="18.5"/>
    <n v="0"/>
  </r>
  <r>
    <d v="2026-03-04T13:31:38"/>
    <n v="4627"/>
    <x v="26"/>
    <d v="2026-03-04T00:00:00"/>
    <d v="2026-08-30T00:00:00"/>
    <x v="0"/>
    <x v="0"/>
    <s v="510200"/>
    <x v="4"/>
    <x v="0"/>
    <s v="KG"/>
    <n v="26"/>
    <s v="6116"/>
    <s v="SAFRINHA 2026"/>
    <n v="150"/>
    <n v="0"/>
    <n v="150"/>
    <n v="3900"/>
    <m/>
    <s v="NOVA UBIRATA"/>
    <s v="05330992931"/>
    <n v="26"/>
    <n v="0"/>
  </r>
  <r>
    <d v="2025-08-21T13:40:38"/>
    <n v="274"/>
    <x v="27"/>
    <d v="2025-08-21T00:00:00"/>
    <d v="2026-04-30T00:00:00"/>
    <x v="2"/>
    <x v="2"/>
    <s v="510200"/>
    <x v="18"/>
    <x v="1"/>
    <s v="KG"/>
    <n v="217"/>
    <s v="5142"/>
    <s v="SAFRA 25/26"/>
    <n v="110"/>
    <n v="0"/>
    <n v="110"/>
    <n v="23870"/>
    <m/>
    <s v="TABAPORA"/>
    <s v="04773324988"/>
    <n v="217"/>
    <n v="0"/>
  </r>
  <r>
    <d v="2025-09-26T15:30:11"/>
    <n v="317"/>
    <x v="27"/>
    <d v="2025-09-26T00:00:00"/>
    <d v="2026-04-30T00:00:00"/>
    <x v="2"/>
    <x v="2"/>
    <s v="510200"/>
    <x v="9"/>
    <x v="1"/>
    <s v="LT"/>
    <n v="44"/>
    <s v="115"/>
    <s v="SAFRA 25/26"/>
    <n v="51"/>
    <n v="0"/>
    <n v="51"/>
    <n v="2244"/>
    <m/>
    <s v="TABAPORA"/>
    <s v="04773324988"/>
    <n v="44"/>
    <n v="0"/>
  </r>
  <r>
    <d v="2025-09-26T15:30:11"/>
    <n v="317"/>
    <x v="27"/>
    <d v="2025-09-26T00:00:00"/>
    <d v="2026-04-30T00:00:00"/>
    <x v="2"/>
    <x v="2"/>
    <s v="510200"/>
    <x v="11"/>
    <x v="1"/>
    <s v="LT"/>
    <n v="300"/>
    <s v="115"/>
    <s v="SAFRA 25/26"/>
    <n v="30"/>
    <n v="0"/>
    <n v="30"/>
    <n v="9000"/>
    <m/>
    <s v="TABAPORA"/>
    <s v="04773324988"/>
    <n v="300"/>
    <n v="0"/>
  </r>
  <r>
    <d v="2025-09-26T15:30:11"/>
    <n v="317"/>
    <x v="27"/>
    <d v="2025-09-26T00:00:00"/>
    <d v="2026-04-30T00:00:00"/>
    <x v="2"/>
    <x v="2"/>
    <s v="510200"/>
    <x v="10"/>
    <x v="1"/>
    <s v="LT"/>
    <n v="300"/>
    <s v="115"/>
    <s v="SAFRA 25/26"/>
    <n v="30"/>
    <n v="0"/>
    <n v="30"/>
    <n v="9000"/>
    <m/>
    <s v="TABAPORA"/>
    <s v="04773324988"/>
    <n v="300"/>
    <n v="0"/>
  </r>
  <r>
    <d v="2025-09-26T15:30:11"/>
    <n v="317"/>
    <x v="27"/>
    <d v="2025-09-26T00:00:00"/>
    <d v="2026-04-30T00:00:00"/>
    <x v="2"/>
    <x v="2"/>
    <s v="510200"/>
    <x v="13"/>
    <x v="1"/>
    <s v="LT"/>
    <n v="44"/>
    <s v="115"/>
    <s v="SAFRA 25/26"/>
    <n v="150"/>
    <n v="0"/>
    <n v="150"/>
    <n v="6600"/>
    <m/>
    <s v="TABAPORA"/>
    <s v="04773324988"/>
    <n v="44"/>
    <n v="0"/>
  </r>
  <r>
    <d v="2025-10-14T09:21:00"/>
    <n v="349"/>
    <x v="27"/>
    <d v="2025-10-14T00:00:00"/>
    <d v="2026-04-30T00:00:00"/>
    <x v="2"/>
    <x v="2"/>
    <s v="510200"/>
    <x v="11"/>
    <x v="1"/>
    <s v="LT"/>
    <n v="300"/>
    <s v="119"/>
    <s v="SAFRA 25/26"/>
    <n v="9"/>
    <n v="0"/>
    <n v="9"/>
    <n v="2700"/>
    <m/>
    <s v="TABAPORA"/>
    <s v="04773324988"/>
    <n v="300"/>
    <n v="0"/>
  </r>
  <r>
    <d v="2025-10-14T09:21:00"/>
    <n v="349"/>
    <x v="27"/>
    <d v="2025-10-14T00:00:00"/>
    <d v="2026-04-30T00:00:00"/>
    <x v="2"/>
    <x v="2"/>
    <s v="510200"/>
    <x v="10"/>
    <x v="1"/>
    <s v="LT"/>
    <n v="300"/>
    <s v="119"/>
    <s v="SAFRA 25/26"/>
    <n v="9"/>
    <n v="0"/>
    <n v="9"/>
    <n v="2700"/>
    <m/>
    <s v="TABAPORA"/>
    <s v="04773324988"/>
    <n v="300"/>
    <n v="0"/>
  </r>
  <r>
    <d v="2025-10-14T09:21:00"/>
    <n v="349"/>
    <x v="27"/>
    <d v="2025-10-14T00:00:00"/>
    <d v="2026-04-30T00:00:00"/>
    <x v="2"/>
    <x v="2"/>
    <s v="510200"/>
    <x v="13"/>
    <x v="1"/>
    <s v="LT"/>
    <n v="44"/>
    <s v="119"/>
    <s v="SAFRA 25/26"/>
    <n v="84"/>
    <n v="0"/>
    <n v="84"/>
    <n v="3696"/>
    <m/>
    <s v="TABAPORA"/>
    <s v="04773324988"/>
    <n v="44"/>
    <n v="0"/>
  </r>
  <r>
    <d v="2025-10-14T09:21:00"/>
    <n v="349"/>
    <x v="27"/>
    <d v="2025-10-14T00:00:00"/>
    <d v="2026-04-30T00:00:00"/>
    <x v="2"/>
    <x v="2"/>
    <s v="510200"/>
    <x v="18"/>
    <x v="1"/>
    <s v="KG"/>
    <n v="217"/>
    <s v="119"/>
    <s v="SAFRA 25/26"/>
    <n v="10"/>
    <n v="0"/>
    <n v="10"/>
    <n v="2170"/>
    <m/>
    <s v="TABAPORA"/>
    <s v="04773324988"/>
    <n v="217"/>
    <n v="0"/>
  </r>
  <r>
    <d v="2025-10-18T11:59:37"/>
    <n v="367"/>
    <x v="27"/>
    <d v="2025-10-18T00:00:00"/>
    <d v="2026-04-30T00:00:00"/>
    <x v="2"/>
    <x v="2"/>
    <s v="510200"/>
    <x v="13"/>
    <x v="1"/>
    <s v="LT"/>
    <n v="44"/>
    <s v="121"/>
    <s v="SAFRA 25/26"/>
    <n v="36"/>
    <n v="0"/>
    <n v="36"/>
    <n v="1584"/>
    <m/>
    <s v="TABAPORA"/>
    <s v="04773324988"/>
    <n v="44"/>
    <n v="0"/>
  </r>
  <r>
    <d v="2025-10-18T11:59:37"/>
    <n v="367"/>
    <x v="27"/>
    <d v="2025-10-18T00:00:00"/>
    <d v="2026-04-30T00:00:00"/>
    <x v="2"/>
    <x v="2"/>
    <s v="510200"/>
    <x v="11"/>
    <x v="1"/>
    <s v="LT"/>
    <n v="300"/>
    <s v="121"/>
    <s v="SAFRA 25/26"/>
    <n v="2"/>
    <n v="0"/>
    <n v="2"/>
    <n v="600"/>
    <m/>
    <s v="TABAPORA"/>
    <s v="04773324988"/>
    <n v="300"/>
    <n v="0"/>
  </r>
  <r>
    <d v="2025-10-18T11:59:37"/>
    <n v="367"/>
    <x v="27"/>
    <d v="2025-10-18T00:00:00"/>
    <d v="2026-04-30T00:00:00"/>
    <x v="2"/>
    <x v="2"/>
    <s v="510200"/>
    <x v="10"/>
    <x v="1"/>
    <s v="LT"/>
    <n v="300"/>
    <s v="121"/>
    <s v="SAFRA 25/26"/>
    <n v="2"/>
    <n v="0"/>
    <n v="2"/>
    <n v="600"/>
    <m/>
    <s v="TABAPORA"/>
    <s v="04773324988"/>
    <n v="300"/>
    <n v="0"/>
  </r>
  <r>
    <d v="2025-10-18T11:59:37"/>
    <n v="367"/>
    <x v="27"/>
    <d v="2025-10-18T00:00:00"/>
    <d v="2026-04-30T00:00:00"/>
    <x v="2"/>
    <x v="2"/>
    <s v="510200"/>
    <x v="9"/>
    <x v="1"/>
    <s v="LT"/>
    <n v="44"/>
    <s v="121"/>
    <s v="SAFRA 25/26"/>
    <n v="12"/>
    <n v="0"/>
    <n v="12"/>
    <n v="528"/>
    <m/>
    <s v="TABAPORA"/>
    <s v="04773324988"/>
    <n v="44"/>
    <n v="0"/>
  </r>
  <r>
    <d v="2025-11-27T10:06:49"/>
    <n v="429"/>
    <x v="27"/>
    <d v="2025-11-27T00:00:00"/>
    <d v="2026-09-30T00:00:00"/>
    <x v="2"/>
    <x v="0"/>
    <s v="510200"/>
    <x v="54"/>
    <x v="2"/>
    <s v="LT"/>
    <n v="107.14"/>
    <s v="160"/>
    <s v="SAFRINHA 2026"/>
    <n v="140"/>
    <n v="0"/>
    <n v="140"/>
    <n v="14999.6"/>
    <m/>
    <s v="TABAPORA"/>
    <s v="04773324988"/>
    <n v="107.14"/>
    <n v="0"/>
  </r>
  <r>
    <d v="2026-02-11T08:32:14"/>
    <n v="542"/>
    <x v="27"/>
    <d v="2026-02-11T00:00:00"/>
    <d v="2026-08-30T00:00:00"/>
    <x v="2"/>
    <x v="2"/>
    <s v="510200"/>
    <x v="20"/>
    <x v="1"/>
    <s v="LT"/>
    <n v="50"/>
    <s v="438"/>
    <s v="SAFRINHA 2026"/>
    <n v="300"/>
    <n v="0"/>
    <n v="300"/>
    <n v="15000"/>
    <m/>
    <s v="TABAPORA"/>
    <s v="04773324988"/>
    <n v="50"/>
    <n v="0"/>
  </r>
  <r>
    <d v="2025-04-04T15:21:07"/>
    <n v="168"/>
    <x v="28"/>
    <d v="2025-04-04T00:00:00"/>
    <d v="2025-09-30T00:00:00"/>
    <x v="1"/>
    <x v="0"/>
    <s v="510200"/>
    <x v="55"/>
    <x v="2"/>
    <s v="KG"/>
    <n v="22.605395999999999"/>
    <s v="5065"/>
    <s v="SAFRA 25/26"/>
    <n v="240"/>
    <n v="0"/>
    <n v="240"/>
    <n v="5425.29504"/>
    <m/>
    <s v="NOVA SANTA HELENA"/>
    <s v="75995387120"/>
    <n v="22.605395999999999"/>
    <n v="0"/>
  </r>
  <r>
    <d v="2025-04-04T15:21:07"/>
    <n v="168"/>
    <x v="28"/>
    <d v="2025-04-04T00:00:00"/>
    <d v="2025-09-30T00:00:00"/>
    <x v="1"/>
    <x v="0"/>
    <s v="510200"/>
    <x v="56"/>
    <x v="2"/>
    <s v="KG"/>
    <n v="22.605395999999999"/>
    <s v="5065"/>
    <s v="SAFRA 25/26"/>
    <n v="1010"/>
    <n v="0"/>
    <n v="1010"/>
    <n v="22831.449959999998"/>
    <m/>
    <s v="NOVA SANTA HELENA"/>
    <s v="75995387120"/>
    <n v="22.605395999999999"/>
    <n v="0"/>
  </r>
  <r>
    <d v="2025-04-04T15:21:07"/>
    <n v="168"/>
    <x v="28"/>
    <d v="2025-04-04T00:00:00"/>
    <d v="2025-09-30T00:00:00"/>
    <x v="1"/>
    <x v="0"/>
    <s v="510200"/>
    <x v="57"/>
    <x v="2"/>
    <s v="KG"/>
    <n v="230.66730200000001"/>
    <s v="5065"/>
    <s v="SAFRA 25/26"/>
    <n v="81"/>
    <n v="0"/>
    <n v="81"/>
    <n v="18684.051461999999"/>
    <m/>
    <s v="NOVA SANTA HELENA"/>
    <s v="75995387120"/>
    <n v="230.66730200000001"/>
    <n v="0"/>
  </r>
  <r>
    <d v="2025-04-04T15:21:07"/>
    <n v="168"/>
    <x v="28"/>
    <d v="2025-04-04T00:00:00"/>
    <d v="2025-09-30T00:00:00"/>
    <x v="1"/>
    <x v="0"/>
    <s v="510200"/>
    <x v="58"/>
    <x v="2"/>
    <s v="LT"/>
    <n v="21.682725999999999"/>
    <s v="5065"/>
    <s v="SAFRA 25/26"/>
    <n v="820"/>
    <n v="0"/>
    <n v="820"/>
    <n v="17779.835319999998"/>
    <m/>
    <s v="NOVA SANTA HELENA"/>
    <s v="75995387120"/>
    <n v="21.682725999999999"/>
    <n v="0"/>
  </r>
  <r>
    <d v="2025-04-04T15:21:07"/>
    <n v="168"/>
    <x v="28"/>
    <d v="2025-04-04T00:00:00"/>
    <d v="2025-09-30T00:00:00"/>
    <x v="1"/>
    <x v="0"/>
    <s v="510200"/>
    <x v="39"/>
    <x v="0"/>
    <s v="LT"/>
    <n v="20.760057"/>
    <s v="5065"/>
    <s v="SAFRA 25/26"/>
    <n v="400"/>
    <n v="0"/>
    <n v="400"/>
    <n v="8304.0228000000006"/>
    <m/>
    <s v="NOVA SANTA HELENA"/>
    <s v="75995387120"/>
    <n v="20.760057"/>
    <n v="0"/>
  </r>
  <r>
    <d v="2025-04-04T15:21:07"/>
    <n v="168"/>
    <x v="28"/>
    <d v="2025-04-04T00:00:00"/>
    <d v="2025-09-30T00:00:00"/>
    <x v="1"/>
    <x v="0"/>
    <s v="510200"/>
    <x v="8"/>
    <x v="0"/>
    <s v="KG"/>
    <n v="64.586844999999997"/>
    <s v="5065"/>
    <s v="SAFRA 25/26"/>
    <n v="192"/>
    <n v="0"/>
    <n v="192"/>
    <n v="12400.67424"/>
    <m/>
    <s v="NOVA SANTA HELENA"/>
    <s v="75995387120"/>
    <n v="64.586844999999997"/>
    <n v="0"/>
  </r>
  <r>
    <d v="2025-04-04T15:21:07"/>
    <n v="168"/>
    <x v="28"/>
    <d v="2025-04-04T00:00:00"/>
    <d v="2025-09-30T00:00:00"/>
    <x v="1"/>
    <x v="0"/>
    <s v="510200"/>
    <x v="59"/>
    <x v="2"/>
    <s v="KG"/>
    <n v="230.66730200000001"/>
    <s v="5065"/>
    <s v="SAFRA 25/26"/>
    <n v="85"/>
    <n v="0"/>
    <n v="85"/>
    <n v="19606.720669999999"/>
    <m/>
    <s v="NOVA SANTA HELENA"/>
    <s v="75995387120"/>
    <n v="230.66730200000001"/>
    <n v="0"/>
  </r>
  <r>
    <d v="2025-04-04T15:21:07"/>
    <n v="168"/>
    <x v="28"/>
    <d v="2025-04-04T00:00:00"/>
    <d v="2025-09-30T00:00:00"/>
    <x v="1"/>
    <x v="0"/>
    <s v="510200"/>
    <x v="60"/>
    <x v="2"/>
    <s v="LT"/>
    <n v="21.682725999999999"/>
    <s v="5065"/>
    <s v="SAFRA 25/26"/>
    <n v="20"/>
    <n v="0"/>
    <n v="20"/>
    <n v="433.65451999999999"/>
    <m/>
    <s v="NOVA SANTA HELENA"/>
    <s v="75995387120"/>
    <n v="21.682725999999999"/>
    <n v="0"/>
  </r>
  <r>
    <d v="2025-04-04T15:21:07"/>
    <n v="168"/>
    <x v="28"/>
    <d v="2025-04-04T00:00:00"/>
    <d v="2025-09-30T00:00:00"/>
    <x v="1"/>
    <x v="0"/>
    <s v="510200"/>
    <x v="61"/>
    <x v="2"/>
    <s v="KG"/>
    <n v="30.079015999999999"/>
    <s v="5065"/>
    <s v="SAFRA 25/26"/>
    <n v="670"/>
    <n v="0"/>
    <n v="670"/>
    <n v="20152.940719999999"/>
    <m/>
    <s v="NOVA SANTA HELENA"/>
    <s v="75995387120"/>
    <n v="30.079015999999999"/>
    <n v="0"/>
  </r>
  <r>
    <d v="2025-04-04T15:21:07"/>
    <n v="168"/>
    <x v="28"/>
    <d v="2025-04-04T00:00:00"/>
    <d v="2025-09-30T00:00:00"/>
    <x v="1"/>
    <x v="0"/>
    <s v="510200"/>
    <x v="22"/>
    <x v="2"/>
    <s v="KG"/>
    <n v="18.453384"/>
    <s v="5065"/>
    <s v="SAFRA 25/26"/>
    <n v="2080"/>
    <n v="0"/>
    <n v="2080"/>
    <n v="38383.038719999997"/>
    <m/>
    <s v="NOVA SANTA HELENA"/>
    <s v="75995387120"/>
    <n v="18.453384"/>
    <n v="0"/>
  </r>
  <r>
    <d v="2025-11-21T17:41:36"/>
    <n v="419"/>
    <x v="28"/>
    <d v="2025-11-21T00:00:00"/>
    <d v="2026-01-05T00:00:00"/>
    <x v="1"/>
    <x v="0"/>
    <s v="510200"/>
    <x v="39"/>
    <x v="0"/>
    <s v="LT"/>
    <n v="22.5"/>
    <s v="99"/>
    <s v="SAFRA 25/26"/>
    <n v="40"/>
    <n v="0"/>
    <n v="40"/>
    <n v="900"/>
    <m/>
    <s v="NOVA SANTA HELENA"/>
    <s v="75995387120"/>
    <n v="22.5"/>
    <n v="0"/>
  </r>
  <r>
    <d v="2025-06-24T14:32:36"/>
    <n v="236"/>
    <x v="29"/>
    <d v="2025-06-24T00:00:00"/>
    <d v="2026-04-30T00:00:00"/>
    <x v="2"/>
    <x v="2"/>
    <s v="510200"/>
    <x v="11"/>
    <x v="1"/>
    <s v="LT"/>
    <n v="360"/>
    <s v="5168"/>
    <s v="SAFRA 25/26"/>
    <n v="112"/>
    <n v="0"/>
    <n v="112"/>
    <n v="40320"/>
    <m/>
    <s v="TABAPORA"/>
    <s v="68867212168"/>
    <n v="360"/>
    <n v="0"/>
  </r>
  <r>
    <d v="2025-06-24T14:32:36"/>
    <n v="236"/>
    <x v="29"/>
    <d v="2025-06-24T00:00:00"/>
    <d v="2026-04-30T00:00:00"/>
    <x v="2"/>
    <x v="2"/>
    <s v="510200"/>
    <x v="13"/>
    <x v="1"/>
    <s v="LT"/>
    <n v="40"/>
    <s v="5168"/>
    <s v="SAFRA 25/26"/>
    <n v="336"/>
    <n v="0"/>
    <n v="336"/>
    <n v="13440"/>
    <m/>
    <s v="TABAPORA"/>
    <s v="68867212168"/>
    <n v="40"/>
    <n v="0"/>
  </r>
  <r>
    <d v="2025-06-24T14:32:36"/>
    <n v="236"/>
    <x v="29"/>
    <d v="2025-06-24T00:00:00"/>
    <d v="2026-04-30T00:00:00"/>
    <x v="2"/>
    <x v="2"/>
    <s v="510200"/>
    <x v="10"/>
    <x v="1"/>
    <s v="LT"/>
    <n v="360"/>
    <s v="5168"/>
    <s v="SAFRA 25/26"/>
    <n v="112"/>
    <n v="0"/>
    <n v="112"/>
    <n v="40320"/>
    <m/>
    <s v="TABAPORA"/>
    <s v="68867212168"/>
    <n v="360"/>
    <n v="0"/>
  </r>
  <r>
    <d v="2025-06-24T14:32:36"/>
    <n v="236"/>
    <x v="29"/>
    <d v="2025-06-24T00:00:00"/>
    <d v="2026-04-30T00:00:00"/>
    <x v="2"/>
    <x v="0"/>
    <s v="510200"/>
    <x v="12"/>
    <x v="0"/>
    <s v="LT"/>
    <n v="190"/>
    <s v="5168"/>
    <s v="SAFRA 25/26"/>
    <n v="115"/>
    <n v="0"/>
    <n v="115"/>
    <n v="21850"/>
    <m/>
    <s v="TABAPORA"/>
    <s v="68867212168"/>
    <n v="190"/>
    <n v="0"/>
  </r>
  <r>
    <d v="2025-06-24T14:32:36"/>
    <n v="236"/>
    <x v="29"/>
    <d v="2025-06-24T00:00:00"/>
    <d v="2026-04-30T00:00:00"/>
    <x v="2"/>
    <x v="2"/>
    <s v="510200"/>
    <x v="18"/>
    <x v="1"/>
    <s v="KG"/>
    <n v="200"/>
    <s v="5168"/>
    <s v="SAFRA 25/26"/>
    <n v="112"/>
    <n v="0"/>
    <n v="112"/>
    <n v="22400"/>
    <m/>
    <s v="TABAPORA"/>
    <s v="68867212168"/>
    <n v="200"/>
    <n v="0"/>
  </r>
  <r>
    <d v="2025-06-24T14:32:36"/>
    <n v="236"/>
    <x v="29"/>
    <d v="2025-06-24T00:00:00"/>
    <d v="2026-04-30T00:00:00"/>
    <x v="2"/>
    <x v="2"/>
    <s v="510200"/>
    <x v="9"/>
    <x v="1"/>
    <s v="LT"/>
    <n v="44"/>
    <s v="5168"/>
    <s v="SAFRA 25/26"/>
    <n v="114"/>
    <n v="0"/>
    <n v="114"/>
    <n v="5016"/>
    <m/>
    <s v="TABAPORA"/>
    <s v="68867212168"/>
    <n v="44"/>
    <n v="0"/>
  </r>
  <r>
    <d v="2025-10-20T12:26:00"/>
    <n v="370"/>
    <x v="29"/>
    <d v="2025-10-20T00:00:00"/>
    <d v="2026-04-30T00:00:00"/>
    <x v="2"/>
    <x v="2"/>
    <s v="510200"/>
    <x v="10"/>
    <x v="1"/>
    <s v="LT"/>
    <n v="360"/>
    <s v="122"/>
    <s v="SAFRA 25/26"/>
    <n v="6"/>
    <n v="0"/>
    <n v="6"/>
    <n v="2160"/>
    <m/>
    <s v="TABAPORA"/>
    <s v="68867212168"/>
    <n v="360"/>
    <n v="0"/>
  </r>
  <r>
    <d v="2025-10-20T12:26:00"/>
    <n v="370"/>
    <x v="29"/>
    <d v="2025-10-20T00:00:00"/>
    <d v="2026-04-30T00:00:00"/>
    <x v="2"/>
    <x v="2"/>
    <s v="510200"/>
    <x v="13"/>
    <x v="1"/>
    <s v="LT"/>
    <n v="40"/>
    <s v="122"/>
    <s v="SAFRA 25/26"/>
    <n v="24"/>
    <n v="0"/>
    <n v="24"/>
    <n v="960"/>
    <m/>
    <s v="TABAPORA"/>
    <s v="68867212168"/>
    <n v="40"/>
    <n v="0"/>
  </r>
  <r>
    <d v="2025-10-20T12:26:00"/>
    <n v="370"/>
    <x v="29"/>
    <d v="2025-10-20T00:00:00"/>
    <d v="2026-04-30T00:00:00"/>
    <x v="2"/>
    <x v="2"/>
    <s v="510200"/>
    <x v="9"/>
    <x v="1"/>
    <s v="LT"/>
    <n v="44"/>
    <s v="122"/>
    <s v="SAFRA 25/26"/>
    <n v="12"/>
    <n v="0"/>
    <n v="12"/>
    <n v="528"/>
    <m/>
    <s v="TABAPORA"/>
    <s v="68867212168"/>
    <n v="44"/>
    <n v="0"/>
  </r>
  <r>
    <d v="2025-10-20T12:26:00"/>
    <n v="370"/>
    <x v="29"/>
    <d v="2025-10-20T00:00:00"/>
    <d v="2026-04-30T00:00:00"/>
    <x v="2"/>
    <x v="2"/>
    <s v="510200"/>
    <x v="11"/>
    <x v="1"/>
    <s v="LT"/>
    <n v="360"/>
    <s v="122"/>
    <s v="SAFRA 25/26"/>
    <n v="6"/>
    <n v="0"/>
    <n v="6"/>
    <n v="2160"/>
    <m/>
    <s v="TABAPORA"/>
    <s v="68867212168"/>
    <n v="360"/>
    <n v="0"/>
  </r>
  <r>
    <d v="2025-09-09T14:25:19"/>
    <n v="291"/>
    <x v="30"/>
    <d v="2025-09-09T00:00:00"/>
    <d v="2026-03-30T00:00:00"/>
    <x v="2"/>
    <x v="2"/>
    <s v="510200"/>
    <x v="13"/>
    <x v="1"/>
    <s v="LT"/>
    <n v="45"/>
    <s v="5150"/>
    <s v="SAFRA 25/26"/>
    <n v="24"/>
    <n v="0"/>
    <n v="24"/>
    <n v="1080"/>
    <m/>
    <s v="TABAPORA"/>
    <s v="09221631974"/>
    <n v="45"/>
    <n v="0"/>
  </r>
  <r>
    <d v="2025-09-09T14:25:19"/>
    <n v="291"/>
    <x v="30"/>
    <d v="2025-09-09T00:00:00"/>
    <d v="2026-03-30T00:00:00"/>
    <x v="2"/>
    <x v="2"/>
    <s v="510200"/>
    <x v="9"/>
    <x v="1"/>
    <s v="LT"/>
    <n v="50"/>
    <s v="5150"/>
    <s v="SAFRA 25/26"/>
    <n v="24"/>
    <n v="0"/>
    <n v="24"/>
    <n v="1200"/>
    <m/>
    <s v="TABAPORA"/>
    <s v="09221631974"/>
    <n v="50"/>
    <n v="0"/>
  </r>
  <r>
    <d v="2025-07-18T08:00:18"/>
    <n v="254"/>
    <x v="31"/>
    <d v="2025-07-18T00:00:00"/>
    <d v="2026-04-30T00:00:00"/>
    <x v="2"/>
    <x v="2"/>
    <s v="510200"/>
    <x v="13"/>
    <x v="1"/>
    <s v="LT"/>
    <n v="48"/>
    <s v="5130"/>
    <s v="SAFRA 25/26"/>
    <n v="81"/>
    <n v="0"/>
    <n v="81"/>
    <n v="3888"/>
    <m/>
    <s v="SANTA CARMEM"/>
    <s v="24107050904"/>
    <n v="48"/>
    <n v="0"/>
  </r>
  <r>
    <d v="2025-07-18T08:00:18"/>
    <n v="254"/>
    <x v="31"/>
    <d v="2025-07-18T00:00:00"/>
    <d v="2026-04-30T00:00:00"/>
    <x v="2"/>
    <x v="2"/>
    <s v="510200"/>
    <x v="11"/>
    <x v="1"/>
    <s v="LT"/>
    <n v="380"/>
    <s v="5130"/>
    <s v="SAFRA 25/26"/>
    <n v="85"/>
    <n v="0"/>
    <n v="85"/>
    <n v="32300"/>
    <m/>
    <s v="SANTA CARMEM"/>
    <s v="24107050904"/>
    <n v="380"/>
    <n v="0"/>
  </r>
  <r>
    <d v="2025-07-18T08:00:18"/>
    <n v="254"/>
    <x v="31"/>
    <d v="2025-07-18T00:00:00"/>
    <d v="2026-04-30T00:00:00"/>
    <x v="2"/>
    <x v="2"/>
    <s v="510200"/>
    <x v="18"/>
    <x v="1"/>
    <s v="KG"/>
    <n v="215"/>
    <s v="5130"/>
    <s v="SAFRA 25/26"/>
    <n v="96"/>
    <n v="0"/>
    <n v="96"/>
    <n v="20640"/>
    <m/>
    <s v="SANTA CARMEM"/>
    <s v="24107050904"/>
    <n v="215"/>
    <n v="0"/>
  </r>
  <r>
    <d v="2025-07-18T08:00:18"/>
    <n v="254"/>
    <x v="31"/>
    <d v="2025-07-18T00:00:00"/>
    <d v="2026-04-30T00:00:00"/>
    <x v="2"/>
    <x v="2"/>
    <s v="510200"/>
    <x v="25"/>
    <x v="1"/>
    <s v="KG"/>
    <n v="600"/>
    <s v="5130"/>
    <s v="SAFRA 25/26"/>
    <n v="40"/>
    <n v="0"/>
    <n v="40"/>
    <n v="24000"/>
    <m/>
    <s v="SANTA CARMEM"/>
    <s v="24107050904"/>
    <n v="600"/>
    <n v="0"/>
  </r>
  <r>
    <d v="2025-07-18T08:00:18"/>
    <n v="254"/>
    <x v="31"/>
    <d v="2025-07-18T00:00:00"/>
    <d v="2026-04-30T00:00:00"/>
    <x v="2"/>
    <x v="2"/>
    <s v="510200"/>
    <x v="9"/>
    <x v="1"/>
    <s v="LT"/>
    <n v="58"/>
    <s v="5130"/>
    <s v="SAFRA 25/26"/>
    <n v="81"/>
    <n v="0"/>
    <n v="81"/>
    <n v="4698"/>
    <m/>
    <s v="SANTA CARMEM"/>
    <s v="24107050904"/>
    <n v="58"/>
    <n v="0"/>
  </r>
  <r>
    <d v="2025-11-21T08:22:09"/>
    <n v="417"/>
    <x v="31"/>
    <d v="2025-11-21T00:00:00"/>
    <d v="2026-08-30T00:00:00"/>
    <x v="2"/>
    <x v="2"/>
    <s v="510200"/>
    <x v="18"/>
    <x v="1"/>
    <s v="KG"/>
    <n v="195"/>
    <s v="157"/>
    <s v="SAFRINHA 2026"/>
    <n v="76"/>
    <n v="0"/>
    <n v="76"/>
    <n v="14820"/>
    <m/>
    <s v="SANTA CARMEM"/>
    <s v="24107050904"/>
    <n v="195"/>
    <n v="0"/>
  </r>
  <r>
    <d v="2025-11-21T08:22:09"/>
    <n v="417"/>
    <x v="31"/>
    <d v="2025-11-21T00:00:00"/>
    <d v="2026-08-30T00:00:00"/>
    <x v="2"/>
    <x v="2"/>
    <s v="510200"/>
    <x v="11"/>
    <x v="1"/>
    <s v="LT"/>
    <n v="320"/>
    <s v="157"/>
    <s v="SAFRINHA 2026"/>
    <n v="19"/>
    <n v="0"/>
    <n v="19"/>
    <n v="6080"/>
    <m/>
    <s v="SANTA CARMEM"/>
    <s v="24107050904"/>
    <n v="320"/>
    <n v="0"/>
  </r>
  <r>
    <d v="2025-11-21T08:22:09"/>
    <n v="417"/>
    <x v="31"/>
    <d v="2025-11-21T00:00:00"/>
    <d v="2026-08-30T00:00:00"/>
    <x v="2"/>
    <x v="2"/>
    <s v="510200"/>
    <x v="10"/>
    <x v="1"/>
    <s v="LT"/>
    <n v="320"/>
    <s v="157"/>
    <s v="SAFRINHA 2026"/>
    <n v="19"/>
    <n v="0"/>
    <n v="19"/>
    <n v="6080"/>
    <m/>
    <s v="SANTA CARMEM"/>
    <s v="24107050904"/>
    <n v="320"/>
    <n v="0"/>
  </r>
  <r>
    <d v="2025-11-21T08:22:09"/>
    <n v="417"/>
    <x v="31"/>
    <d v="2025-11-21T00:00:00"/>
    <d v="2026-08-30T00:00:00"/>
    <x v="2"/>
    <x v="2"/>
    <s v="510200"/>
    <x v="9"/>
    <x v="1"/>
    <s v="LT"/>
    <n v="52"/>
    <s v="157"/>
    <s v="SAFRINHA 2026"/>
    <n v="36"/>
    <n v="0"/>
    <n v="36"/>
    <n v="1872"/>
    <m/>
    <s v="SANTA CARMEM"/>
    <s v="24107050904"/>
    <n v="52"/>
    <n v="0"/>
  </r>
  <r>
    <d v="2026-01-07T07:43:07"/>
    <n v="482"/>
    <x v="31"/>
    <d v="2026-01-07T00:00:00"/>
    <d v="2026-08-30T00:00:00"/>
    <x v="2"/>
    <x v="0"/>
    <s v="510200"/>
    <x v="50"/>
    <x v="2"/>
    <s v="LT"/>
    <n v="415"/>
    <s v="473"/>
    <s v="SAFRINHA 2026"/>
    <n v="40"/>
    <n v="0"/>
    <n v="40"/>
    <n v="16600"/>
    <m/>
    <s v="SANTA CARMEM"/>
    <s v="24107050904"/>
    <n v="415"/>
    <n v="0"/>
  </r>
  <r>
    <d v="2025-07-07T08:27:23"/>
    <n v="3921"/>
    <x v="32"/>
    <d v="2025-06-26T00:00:00"/>
    <d v="2026-03-30T00:00:00"/>
    <x v="0"/>
    <x v="0"/>
    <s v="510200"/>
    <x v="4"/>
    <x v="0"/>
    <s v="KG"/>
    <n v="22.870756"/>
    <s v="5480"/>
    <s v="SAFRA 25/26"/>
    <n v="6900"/>
    <n v="0"/>
    <n v="6900"/>
    <n v="157808.2164"/>
    <m/>
    <s v="SANTA CARMEM"/>
    <s v="00587893915"/>
    <n v="22.870756"/>
    <n v="0"/>
  </r>
  <r>
    <d v="2025-07-07T08:27:23"/>
    <n v="3921"/>
    <x v="32"/>
    <d v="2025-06-26T00:00:00"/>
    <d v="2026-03-30T00:00:00"/>
    <x v="0"/>
    <x v="0"/>
    <s v="510200"/>
    <x v="1"/>
    <x v="0"/>
    <s v="LT"/>
    <n v="150.56581299999999"/>
    <s v="5480"/>
    <s v="SAFRA 25/26"/>
    <n v="1380"/>
    <n v="0"/>
    <n v="1380"/>
    <n v="207780.82193999999"/>
    <m/>
    <s v="SANTA CARMEM"/>
    <s v="00587893915"/>
    <n v="150.56581299999999"/>
    <n v="0"/>
  </r>
  <r>
    <d v="2025-07-07T08:27:23"/>
    <n v="3921"/>
    <x v="32"/>
    <d v="2025-06-26T00:00:00"/>
    <d v="2026-03-30T00:00:00"/>
    <x v="0"/>
    <x v="0"/>
    <s v="510200"/>
    <x v="2"/>
    <x v="0"/>
    <s v="KG"/>
    <n v="21.917808000000001"/>
    <s v="5480"/>
    <s v="SAFRA 25/26"/>
    <n v="11040"/>
    <n v="0"/>
    <n v="11040"/>
    <n v="241972.60032"/>
    <m/>
    <s v="SANTA CARMEM"/>
    <s v="00587893915"/>
    <n v="21.917808000000001"/>
    <n v="0"/>
  </r>
  <r>
    <d v="2025-07-07T08:27:23"/>
    <n v="3921"/>
    <x v="32"/>
    <d v="2025-06-26T00:00:00"/>
    <d v="2026-03-30T00:00:00"/>
    <x v="0"/>
    <x v="0"/>
    <s v="510200"/>
    <x v="8"/>
    <x v="0"/>
    <s v="KG"/>
    <n v="81.953543999999994"/>
    <s v="5480"/>
    <s v="SAFRA 25/26"/>
    <n v="690"/>
    <n v="0"/>
    <n v="690"/>
    <n v="56547.945359999998"/>
    <m/>
    <s v="SANTA CARMEM"/>
    <s v="00587893915"/>
    <n v="81.953543999999994"/>
    <n v="0"/>
  </r>
  <r>
    <d v="2025-07-07T08:27:23"/>
    <n v="3921"/>
    <x v="32"/>
    <d v="2025-06-26T00:00:00"/>
    <d v="2026-03-30T00:00:00"/>
    <x v="0"/>
    <x v="0"/>
    <s v="510200"/>
    <x v="3"/>
    <x v="0"/>
    <s v="LT"/>
    <n v="21.917808000000001"/>
    <s v="5480"/>
    <s v="SAFRA 25/26"/>
    <n v="6900"/>
    <n v="0"/>
    <n v="6900"/>
    <n v="151232.87520000001"/>
    <m/>
    <s v="SANTA CARMEM"/>
    <s v="00587893915"/>
    <n v="21.917808000000001"/>
    <n v="0"/>
  </r>
  <r>
    <d v="2025-07-07T08:27:23"/>
    <n v="3921"/>
    <x v="32"/>
    <d v="2025-06-26T00:00:00"/>
    <d v="2026-03-30T00:00:00"/>
    <x v="0"/>
    <x v="0"/>
    <s v="510200"/>
    <x v="7"/>
    <x v="0"/>
    <s v="LT"/>
    <n v="66.706372999999999"/>
    <s v="5480"/>
    <s v="SAFRA 25/26"/>
    <n v="345"/>
    <n v="0"/>
    <n v="345"/>
    <n v="23013.698684999999"/>
    <m/>
    <s v="SANTA CARMEM"/>
    <s v="00587893915"/>
    <n v="66.706372999999999"/>
    <n v="0"/>
  </r>
  <r>
    <d v="2025-07-07T08:27:23"/>
    <n v="3921"/>
    <x v="32"/>
    <d v="2025-06-26T00:00:00"/>
    <d v="2026-03-30T00:00:00"/>
    <x v="0"/>
    <x v="0"/>
    <s v="510200"/>
    <x v="6"/>
    <x v="0"/>
    <s v="LT"/>
    <n v="66.706372999999999"/>
    <s v="5480"/>
    <s v="SAFRA 25/26"/>
    <n v="1380"/>
    <n v="0"/>
    <n v="1380"/>
    <n v="92054.794739999998"/>
    <m/>
    <s v="SANTA CARMEM"/>
    <s v="00587893915"/>
    <n v="66.706372999999999"/>
    <n v="0"/>
  </r>
  <r>
    <d v="2025-07-07T08:27:23"/>
    <n v="3921"/>
    <x v="32"/>
    <d v="2025-06-26T00:00:00"/>
    <d v="2026-03-30T00:00:00"/>
    <x v="0"/>
    <x v="0"/>
    <s v="510200"/>
    <x v="0"/>
    <x v="0"/>
    <s v="LT"/>
    <n v="15.247171"/>
    <s v="5480"/>
    <s v="SAFRA 25/26"/>
    <n v="6900"/>
    <n v="0"/>
    <n v="6900"/>
    <n v="105205.47990000001"/>
    <m/>
    <s v="SANTA CARMEM"/>
    <s v="00587893915"/>
    <n v="15.247171"/>
    <n v="0"/>
  </r>
  <r>
    <d v="2025-07-07T08:27:23"/>
    <n v="3921"/>
    <x v="32"/>
    <d v="2025-06-26T00:00:00"/>
    <d v="2026-03-30T00:00:00"/>
    <x v="0"/>
    <x v="0"/>
    <s v="510200"/>
    <x v="5"/>
    <x v="0"/>
    <s v="KG"/>
    <n v="23.823705"/>
    <s v="5480"/>
    <s v="SAFRA 25/26"/>
    <n v="6900"/>
    <n v="0"/>
    <n v="6900"/>
    <n v="164383.56450000001"/>
    <m/>
    <s v="SANTA CARMEM"/>
    <s v="00587893915"/>
    <n v="23.823705"/>
    <n v="0"/>
  </r>
  <r>
    <d v="2025-07-07T08:30:51"/>
    <n v="3922"/>
    <x v="32"/>
    <d v="2025-06-26T00:00:00"/>
    <d v="2026-03-30T00:00:00"/>
    <x v="0"/>
    <x v="1"/>
    <s v="510200"/>
    <x v="9"/>
    <x v="1"/>
    <s v="LT"/>
    <n v="48.1"/>
    <s v="5481"/>
    <s v="SAFRA 25/26"/>
    <n v="690"/>
    <n v="0"/>
    <n v="690"/>
    <n v="33189"/>
    <m/>
    <s v="SANTA CARMEM"/>
    <s v="00587893915"/>
    <n v="48.1"/>
    <n v="0"/>
  </r>
  <r>
    <d v="2025-07-07T08:30:51"/>
    <n v="3922"/>
    <x v="32"/>
    <d v="2025-06-26T00:00:00"/>
    <d v="2026-03-30T00:00:00"/>
    <x v="0"/>
    <x v="1"/>
    <s v="510200"/>
    <x v="10"/>
    <x v="1"/>
    <s v="LT"/>
    <n v="323.75"/>
    <s v="5481"/>
    <s v="SAFRA 25/26"/>
    <n v="345"/>
    <n v="0"/>
    <n v="345"/>
    <n v="111693.75"/>
    <m/>
    <s v="SANTA CARMEM"/>
    <s v="00587893915"/>
    <n v="323.75"/>
    <n v="0"/>
  </r>
  <r>
    <d v="2025-07-07T08:30:51"/>
    <n v="3922"/>
    <x v="32"/>
    <d v="2025-06-26T00:00:00"/>
    <d v="2026-03-30T00:00:00"/>
    <x v="0"/>
    <x v="1"/>
    <s v="510200"/>
    <x v="11"/>
    <x v="1"/>
    <s v="LT"/>
    <n v="323.75"/>
    <s v="5481"/>
    <s v="SAFRA 25/26"/>
    <n v="345"/>
    <n v="0"/>
    <n v="345"/>
    <n v="111693.75"/>
    <m/>
    <s v="SANTA CARMEM"/>
    <s v="00587893915"/>
    <n v="323.75"/>
    <n v="0"/>
  </r>
  <r>
    <d v="2025-07-07T08:30:51"/>
    <n v="3922"/>
    <x v="32"/>
    <d v="2025-06-26T00:00:00"/>
    <d v="2026-03-30T00:00:00"/>
    <x v="0"/>
    <x v="0"/>
    <s v="510200"/>
    <x v="12"/>
    <x v="0"/>
    <s v="LT"/>
    <n v="217.375"/>
    <s v="5481"/>
    <s v="SAFRA 25/26"/>
    <n v="690"/>
    <n v="0"/>
    <n v="690"/>
    <n v="149988.75"/>
    <m/>
    <s v="SANTA CARMEM"/>
    <s v="00587893915"/>
    <n v="217.375"/>
    <n v="0"/>
  </r>
  <r>
    <d v="2025-07-07T08:30:51"/>
    <n v="3922"/>
    <x v="32"/>
    <d v="2025-06-26T00:00:00"/>
    <d v="2026-03-30T00:00:00"/>
    <x v="0"/>
    <x v="1"/>
    <s v="510200"/>
    <x v="13"/>
    <x v="1"/>
    <s v="LT"/>
    <n v="43.475000000000001"/>
    <s v="5481"/>
    <s v="SAFRA 25/26"/>
    <n v="690"/>
    <n v="0"/>
    <n v="690"/>
    <n v="29997.75"/>
    <m/>
    <s v="SANTA CARMEM"/>
    <s v="00587893915"/>
    <n v="43.475000000000001"/>
    <n v="0"/>
  </r>
  <r>
    <d v="2025-07-07T08:30:51"/>
    <n v="3922"/>
    <x v="32"/>
    <d v="2025-06-26T00:00:00"/>
    <d v="2026-03-30T00:00:00"/>
    <x v="0"/>
    <x v="1"/>
    <s v="510200"/>
    <x v="18"/>
    <x v="1"/>
    <s v="KG"/>
    <n v="185"/>
    <s v="5481"/>
    <s v="SAFRA 25/26"/>
    <n v="690"/>
    <n v="0"/>
    <n v="690"/>
    <n v="127650"/>
    <m/>
    <s v="SANTA CARMEM"/>
    <s v="00587893915"/>
    <n v="185"/>
    <n v="0"/>
  </r>
  <r>
    <d v="2025-07-07T08:37:44"/>
    <n v="3923"/>
    <x v="32"/>
    <d v="2025-06-26T00:00:00"/>
    <d v="2026-08-30T00:00:00"/>
    <x v="0"/>
    <x v="0"/>
    <s v="510200"/>
    <x v="2"/>
    <x v="0"/>
    <s v="KG"/>
    <n v="22.799149"/>
    <s v="5482"/>
    <s v="SAFRINHA 2026"/>
    <n v="10600"/>
    <n v="0"/>
    <n v="10600"/>
    <n v="241670.97940000001"/>
    <m/>
    <s v="SANTA CARMEM"/>
    <s v="00587893915"/>
    <n v="22.799149"/>
    <n v="0"/>
  </r>
  <r>
    <d v="2025-07-07T08:37:44"/>
    <n v="3923"/>
    <x v="32"/>
    <d v="2025-06-26T00:00:00"/>
    <d v="2026-08-30T00:00:00"/>
    <x v="0"/>
    <x v="0"/>
    <s v="510200"/>
    <x v="3"/>
    <x v="0"/>
    <s v="LT"/>
    <n v="22.799149"/>
    <s v="5482"/>
    <s v="SAFRINHA 2026"/>
    <n v="5300"/>
    <n v="0"/>
    <n v="5300"/>
    <n v="120835.48970000001"/>
    <m/>
    <s v="SANTA CARMEM"/>
    <s v="00587893915"/>
    <n v="22.799149"/>
    <n v="0"/>
  </r>
  <r>
    <d v="2025-07-07T08:37:44"/>
    <n v="3923"/>
    <x v="32"/>
    <d v="2025-06-26T00:00:00"/>
    <d v="2026-08-30T00:00:00"/>
    <x v="0"/>
    <x v="0"/>
    <s v="510200"/>
    <x v="1"/>
    <x v="0"/>
    <s v="LT"/>
    <n v="156.62026399999999"/>
    <s v="5482"/>
    <s v="SAFRINHA 2026"/>
    <n v="540"/>
    <n v="0"/>
    <n v="540"/>
    <n v="84574.942559999996"/>
    <m/>
    <s v="SANTA CARMEM"/>
    <s v="00587893915"/>
    <n v="156.62026399999999"/>
    <n v="0"/>
  </r>
  <r>
    <d v="2025-07-07T08:37:44"/>
    <n v="3923"/>
    <x v="32"/>
    <d v="2025-06-26T00:00:00"/>
    <d v="2026-08-30T00:00:00"/>
    <x v="0"/>
    <x v="0"/>
    <s v="510200"/>
    <x v="6"/>
    <x v="0"/>
    <s v="LT"/>
    <n v="69.388716000000002"/>
    <s v="5482"/>
    <s v="SAFRINHA 2026"/>
    <n v="1035"/>
    <n v="0"/>
    <n v="1035"/>
    <n v="71817.321060000002"/>
    <m/>
    <s v="SANTA CARMEM"/>
    <s v="00587893915"/>
    <n v="69.388716000000002"/>
    <n v="0"/>
  </r>
  <r>
    <d v="2025-07-07T08:37:44"/>
    <n v="3923"/>
    <x v="32"/>
    <d v="2025-06-26T00:00:00"/>
    <d v="2026-08-30T00:00:00"/>
    <x v="0"/>
    <x v="0"/>
    <s v="510200"/>
    <x v="0"/>
    <x v="0"/>
    <s v="LT"/>
    <n v="15.860277999999999"/>
    <s v="5482"/>
    <s v="SAFRINHA 2026"/>
    <n v="5300"/>
    <n v="0"/>
    <n v="5300"/>
    <n v="84059.473400000003"/>
    <m/>
    <s v="SANTA CARMEM"/>
    <s v="00587893915"/>
    <n v="15.860277999999999"/>
    <n v="0"/>
  </r>
  <r>
    <d v="2025-07-07T08:42:50"/>
    <n v="3924"/>
    <x v="32"/>
    <d v="2025-06-26T00:00:00"/>
    <d v="2026-08-30T00:00:00"/>
    <x v="0"/>
    <x v="1"/>
    <s v="510200"/>
    <x v="9"/>
    <x v="1"/>
    <s v="LT"/>
    <n v="47.526819000000003"/>
    <s v="5483"/>
    <s v="SAFRINHA 2026"/>
    <n v="531"/>
    <n v="0"/>
    <n v="531"/>
    <n v="25236.740889000001"/>
    <m/>
    <s v="SANTA CARMEM"/>
    <s v="00587893915"/>
    <n v="47.526819000000003"/>
    <n v="0"/>
  </r>
  <r>
    <d v="2025-07-07T08:42:50"/>
    <n v="3924"/>
    <x v="32"/>
    <d v="2025-06-26T00:00:00"/>
    <d v="2026-08-30T00:00:00"/>
    <x v="0"/>
    <x v="1"/>
    <s v="510200"/>
    <x v="10"/>
    <x v="1"/>
    <s v="LT"/>
    <n v="319.89204999999998"/>
    <s v="5483"/>
    <s v="SAFRINHA 2026"/>
    <n v="106"/>
    <n v="0"/>
    <n v="106"/>
    <n v="33908.5573"/>
    <m/>
    <s v="SANTA CARMEM"/>
    <s v="00587893915"/>
    <n v="319.89204999999998"/>
    <n v="0"/>
  </r>
  <r>
    <d v="2025-07-07T08:42:50"/>
    <n v="3924"/>
    <x v="32"/>
    <d v="2025-06-26T00:00:00"/>
    <d v="2026-08-30T00:00:00"/>
    <x v="0"/>
    <x v="1"/>
    <s v="510200"/>
    <x v="11"/>
    <x v="1"/>
    <s v="LT"/>
    <n v="319.89204999999998"/>
    <s v="5483"/>
    <s v="SAFRINHA 2026"/>
    <n v="106"/>
    <n v="0"/>
    <n v="106"/>
    <n v="33908.5573"/>
    <m/>
    <s v="SANTA CARMEM"/>
    <s v="00587893915"/>
    <n v="319.89204999999998"/>
    <n v="0"/>
  </r>
  <r>
    <d v="2025-07-07T08:42:50"/>
    <n v="3924"/>
    <x v="32"/>
    <d v="2025-06-26T00:00:00"/>
    <d v="2026-08-30T00:00:00"/>
    <x v="0"/>
    <x v="0"/>
    <s v="510200"/>
    <x v="12"/>
    <x v="0"/>
    <s v="LT"/>
    <n v="214.784662"/>
    <s v="5483"/>
    <s v="SAFRINHA 2026"/>
    <n v="530"/>
    <n v="0"/>
    <n v="530"/>
    <n v="113835.87086"/>
    <m/>
    <s v="SANTA CARMEM"/>
    <s v="00587893915"/>
    <n v="214.784662"/>
    <n v="0"/>
  </r>
  <r>
    <d v="2025-07-07T08:42:50"/>
    <n v="3924"/>
    <x v="32"/>
    <d v="2025-06-26T00:00:00"/>
    <d v="2026-08-30T00:00:00"/>
    <x v="0"/>
    <x v="1"/>
    <s v="510200"/>
    <x v="18"/>
    <x v="1"/>
    <s v="KG"/>
    <n v="182.795457"/>
    <s v="5483"/>
    <s v="SAFRINHA 2026"/>
    <n v="424"/>
    <n v="0"/>
    <n v="424"/>
    <n v="77505.273767999999"/>
    <m/>
    <s v="SANTA CARMEM"/>
    <s v="00587893915"/>
    <n v="182.795457"/>
    <n v="0"/>
  </r>
  <r>
    <d v="2025-09-25T11:12:33"/>
    <n v="4091"/>
    <x v="32"/>
    <d v="2025-09-25T00:00:00"/>
    <d v="2026-03-30T00:00:00"/>
    <x v="0"/>
    <x v="1"/>
    <s v="510200"/>
    <x v="17"/>
    <x v="1"/>
    <s v="LT"/>
    <n v="43.48"/>
    <s v="5630"/>
    <s v="SAFRA 25/26"/>
    <n v="105"/>
    <n v="0"/>
    <n v="105"/>
    <n v="4565.3999999999996"/>
    <m/>
    <s v="SANTA CARMEM"/>
    <s v="00587893915"/>
    <n v="43.48"/>
    <n v="0"/>
  </r>
  <r>
    <d v="2025-09-25T11:12:33"/>
    <n v="4091"/>
    <x v="32"/>
    <d v="2025-09-25T00:00:00"/>
    <d v="2026-03-30T00:00:00"/>
    <x v="0"/>
    <x v="1"/>
    <s v="510200"/>
    <x v="13"/>
    <x v="1"/>
    <s v="LT"/>
    <n v="43.48"/>
    <s v="5630"/>
    <s v="SAFRA 25/26"/>
    <n v="96"/>
    <n v="0"/>
    <n v="96"/>
    <n v="4174.08"/>
    <m/>
    <s v="SANTA CARMEM"/>
    <s v="00587893915"/>
    <n v="43.48"/>
    <n v="0"/>
  </r>
  <r>
    <d v="2025-10-09T09:26:47"/>
    <n v="4137"/>
    <x v="32"/>
    <d v="2025-10-09T00:00:00"/>
    <d v="2026-03-30T00:00:00"/>
    <x v="0"/>
    <x v="0"/>
    <s v="510200"/>
    <x v="50"/>
    <x v="2"/>
    <s v="LT"/>
    <n v="450"/>
    <s v="5647"/>
    <s v="SAFRA 25/26"/>
    <n v="47"/>
    <n v="0"/>
    <n v="47"/>
    <n v="21150"/>
    <m/>
    <s v="SANTA CARMEM"/>
    <s v="00587893915"/>
    <n v="450"/>
    <n v="0"/>
  </r>
  <r>
    <d v="2025-10-31T09:22:02"/>
    <n v="4225"/>
    <x v="32"/>
    <d v="2025-10-31T00:00:00"/>
    <d v="2026-03-30T00:00:00"/>
    <x v="0"/>
    <x v="1"/>
    <s v="510200"/>
    <x v="18"/>
    <x v="1"/>
    <s v="KG"/>
    <n v="185"/>
    <s v="5728"/>
    <s v="SAFRA 25/26"/>
    <n v="82"/>
    <n v="0"/>
    <n v="82"/>
    <n v="15170"/>
    <m/>
    <s v="SANTA CARMEM"/>
    <s v="00587893915"/>
    <n v="185"/>
    <n v="0"/>
  </r>
  <r>
    <d v="2025-11-21T09:17:19"/>
    <n v="4285"/>
    <x v="32"/>
    <d v="2025-11-21T00:00:00"/>
    <d v="2026-03-30T00:00:00"/>
    <x v="0"/>
    <x v="0"/>
    <s v="510200"/>
    <x v="36"/>
    <x v="2"/>
    <s v="LT"/>
    <n v="30"/>
    <m/>
    <s v="SAFRA 25/26"/>
    <n v="1320"/>
    <n v="0"/>
    <n v="1320"/>
    <n v="39600"/>
    <m/>
    <s v="SANTA CARMEM"/>
    <s v="00587893915"/>
    <n v="30"/>
    <n v="0"/>
  </r>
  <r>
    <d v="2025-12-22T14:43:45"/>
    <n v="4372"/>
    <x v="32"/>
    <d v="2025-12-22T00:00:00"/>
    <d v="2026-03-30T00:00:00"/>
    <x v="0"/>
    <x v="0"/>
    <s v="510200"/>
    <x v="46"/>
    <x v="0"/>
    <s v="LT"/>
    <n v="15.8"/>
    <s v="5909"/>
    <s v="SAFRA 25/26"/>
    <n v="1900"/>
    <n v="0"/>
    <n v="1900"/>
    <n v="30020"/>
    <m/>
    <s v="SANTA CARMEM"/>
    <s v="00587893915"/>
    <n v="15.8"/>
    <n v="0"/>
  </r>
  <r>
    <d v="2025-12-23T14:46:40"/>
    <n v="4378"/>
    <x v="32"/>
    <d v="2025-12-23T00:00:00"/>
    <d v="2026-03-30T00:00:00"/>
    <x v="0"/>
    <x v="0"/>
    <s v="510200"/>
    <x v="6"/>
    <x v="0"/>
    <s v="LT"/>
    <n v="66.709999999999994"/>
    <s v="5913"/>
    <s v="SAFRA 25/26"/>
    <n v="500"/>
    <n v="0"/>
    <n v="500"/>
    <n v="33355"/>
    <m/>
    <s v="SANTA CARMEM"/>
    <s v="00587893915"/>
    <n v="66.709999999999994"/>
    <n v="0"/>
  </r>
  <r>
    <d v="2026-02-25T16:06:42"/>
    <n v="4611"/>
    <x v="32"/>
    <d v="2026-02-25T00:00:00"/>
    <d v="2026-08-30T00:00:00"/>
    <x v="0"/>
    <x v="1"/>
    <s v="510200"/>
    <x v="10"/>
    <x v="1"/>
    <s v="LT"/>
    <n v="319.89999999999998"/>
    <s v="6105"/>
    <s v="SAFRINHA 2026"/>
    <n v="25"/>
    <n v="0"/>
    <n v="25"/>
    <n v="7997.4999999999991"/>
    <m/>
    <s v="SANTA CARMEM"/>
    <s v="00587893915"/>
    <n v="319.89999999999998"/>
    <n v="0"/>
  </r>
  <r>
    <d v="2026-02-25T16:06:42"/>
    <n v="4611"/>
    <x v="32"/>
    <d v="2026-02-25T00:00:00"/>
    <d v="2026-08-30T00:00:00"/>
    <x v="0"/>
    <x v="1"/>
    <s v="510200"/>
    <x v="11"/>
    <x v="1"/>
    <s v="LT"/>
    <n v="319.89999999999998"/>
    <s v="6105"/>
    <s v="SAFRINHA 2026"/>
    <n v="11"/>
    <n v="0"/>
    <n v="11"/>
    <n v="3518.8999999999996"/>
    <m/>
    <s v="SANTA CARMEM"/>
    <s v="00587893915"/>
    <n v="319.89999999999998"/>
    <n v="0"/>
  </r>
  <r>
    <d v="2026-02-28T09:11:04"/>
    <n v="4616"/>
    <x v="32"/>
    <d v="2026-02-28T00:00:00"/>
    <d v="2026-08-30T00:00:00"/>
    <x v="0"/>
    <x v="1"/>
    <s v="510200"/>
    <x v="9"/>
    <x v="1"/>
    <s v="LT"/>
    <n v="47.5"/>
    <s v="393"/>
    <s v="SAFRINHA 2026"/>
    <n v="30"/>
    <n v="0"/>
    <n v="30"/>
    <n v="1425"/>
    <m/>
    <s v="SANTA CARMEM"/>
    <s v="00587893915"/>
    <n v="47.5"/>
    <n v="0"/>
  </r>
  <r>
    <d v="2026-03-12T14:36:21"/>
    <n v="4648"/>
    <x v="32"/>
    <d v="2026-03-12T00:00:00"/>
    <d v="2026-08-30T00:00:00"/>
    <x v="0"/>
    <x v="0"/>
    <s v="510200"/>
    <x v="6"/>
    <x v="0"/>
    <s v="LT"/>
    <n v="69"/>
    <s v="6125"/>
    <s v="SAFRINHA 2026"/>
    <n v="400"/>
    <n v="400"/>
    <n v="0"/>
    <n v="0"/>
    <m/>
    <s v="SANTA CARMEM"/>
    <s v="00587893915"/>
    <n v="69"/>
    <n v="0"/>
  </r>
  <r>
    <d v="2025-04-24T15:26:15"/>
    <n v="203"/>
    <x v="33"/>
    <d v="2025-04-24T00:00:00"/>
    <d v="2026-04-30T00:00:00"/>
    <x v="1"/>
    <x v="2"/>
    <s v="510200"/>
    <x v="10"/>
    <x v="1"/>
    <s v="LT"/>
    <n v="340"/>
    <s v="5069"/>
    <s v="SAFRA 25/26"/>
    <n v="50"/>
    <n v="0"/>
    <n v="50"/>
    <n v="17000"/>
    <m/>
    <s v="COLIDER"/>
    <s v="28158717934"/>
    <n v="340"/>
    <n v="0"/>
  </r>
  <r>
    <d v="2025-04-24T15:26:15"/>
    <n v="203"/>
    <x v="33"/>
    <d v="2025-04-24T00:00:00"/>
    <d v="2026-04-30T00:00:00"/>
    <x v="1"/>
    <x v="2"/>
    <s v="510200"/>
    <x v="11"/>
    <x v="1"/>
    <s v="LT"/>
    <n v="340"/>
    <s v="5069"/>
    <s v="SAFRA 25/26"/>
    <n v="50"/>
    <n v="0"/>
    <n v="50"/>
    <n v="17000"/>
    <m/>
    <s v="COLIDER"/>
    <s v="28158717934"/>
    <n v="340"/>
    <n v="0"/>
  </r>
  <r>
    <d v="2025-04-24T15:26:15"/>
    <n v="203"/>
    <x v="33"/>
    <d v="2025-04-24T00:00:00"/>
    <d v="2026-04-30T00:00:00"/>
    <x v="1"/>
    <x v="2"/>
    <s v="510200"/>
    <x v="48"/>
    <x v="1"/>
    <s v="LT"/>
    <n v="60"/>
    <s v="5069"/>
    <s v="SAFRA 25/26"/>
    <n v="480"/>
    <n v="0"/>
    <n v="480"/>
    <n v="28800"/>
    <m/>
    <s v="COLIDER"/>
    <s v="28158717934"/>
    <n v="60"/>
    <n v="0"/>
  </r>
  <r>
    <d v="2025-04-24T15:26:15"/>
    <n v="203"/>
    <x v="33"/>
    <d v="2025-04-24T00:00:00"/>
    <d v="2026-04-30T00:00:00"/>
    <x v="1"/>
    <x v="2"/>
    <s v="510200"/>
    <x v="14"/>
    <x v="1"/>
    <s v="KG"/>
    <n v="400"/>
    <s v="5069"/>
    <s v="SAFRA 25/26"/>
    <n v="50"/>
    <n v="0"/>
    <n v="50"/>
    <n v="20000"/>
    <m/>
    <s v="COLIDER"/>
    <s v="28158717934"/>
    <n v="400"/>
    <n v="0"/>
  </r>
  <r>
    <d v="2025-04-24T15:37:52"/>
    <n v="204"/>
    <x v="33"/>
    <d v="2025-04-24T00:00:00"/>
    <d v="2026-04-30T00:00:00"/>
    <x v="1"/>
    <x v="0"/>
    <s v="510200"/>
    <x v="39"/>
    <x v="0"/>
    <s v="LT"/>
    <n v="22"/>
    <s v="5070"/>
    <s v="SAFRA 25/26"/>
    <n v="500"/>
    <n v="0"/>
    <n v="500"/>
    <n v="11000"/>
    <m/>
    <s v="COLIDER"/>
    <s v="28158717934"/>
    <n v="22"/>
    <n v="0"/>
  </r>
  <r>
    <d v="2025-04-24T15:37:52"/>
    <n v="204"/>
    <x v="33"/>
    <d v="2025-04-24T00:00:00"/>
    <d v="2026-04-30T00:00:00"/>
    <x v="1"/>
    <x v="0"/>
    <s v="510200"/>
    <x v="1"/>
    <x v="0"/>
    <s v="LT"/>
    <n v="168"/>
    <s v="5070"/>
    <s v="SAFRA 25/26"/>
    <n v="190"/>
    <n v="0"/>
    <n v="190"/>
    <n v="31920"/>
    <m/>
    <s v="COLIDER"/>
    <s v="28158717934"/>
    <n v="168"/>
    <n v="0"/>
  </r>
  <r>
    <d v="2025-04-24T15:37:52"/>
    <n v="204"/>
    <x v="33"/>
    <d v="2025-04-24T00:00:00"/>
    <d v="2026-04-30T00:00:00"/>
    <x v="1"/>
    <x v="0"/>
    <s v="510200"/>
    <x v="56"/>
    <x v="2"/>
    <s v="KG"/>
    <n v="27"/>
    <s v="5070"/>
    <s v="SAFRA 25/26"/>
    <n v="1760"/>
    <n v="0"/>
    <n v="1760"/>
    <n v="47520"/>
    <m/>
    <s v="COLIDER"/>
    <s v="28158717934"/>
    <n v="27"/>
    <n v="0"/>
  </r>
  <r>
    <d v="2025-04-24T15:37:52"/>
    <n v="204"/>
    <x v="33"/>
    <d v="2025-04-24T00:00:00"/>
    <d v="2026-04-30T00:00:00"/>
    <x v="1"/>
    <x v="0"/>
    <s v="510200"/>
    <x v="6"/>
    <x v="0"/>
    <s v="LT"/>
    <n v="75"/>
    <s v="5070"/>
    <s v="SAFRA 25/26"/>
    <n v="200"/>
    <n v="0"/>
    <n v="200"/>
    <n v="15000"/>
    <m/>
    <s v="COLIDER"/>
    <s v="28158717934"/>
    <n v="75"/>
    <n v="0"/>
  </r>
  <r>
    <d v="2025-04-24T15:37:52"/>
    <n v="204"/>
    <x v="33"/>
    <d v="2025-04-24T00:00:00"/>
    <d v="2026-04-30T00:00:00"/>
    <x v="1"/>
    <x v="0"/>
    <s v="510200"/>
    <x v="7"/>
    <x v="0"/>
    <s v="LT"/>
    <n v="75"/>
    <s v="5070"/>
    <s v="SAFRA 25/26"/>
    <n v="150"/>
    <n v="0"/>
    <n v="150"/>
    <n v="11250"/>
    <m/>
    <s v="COLIDER"/>
    <s v="28158717934"/>
    <n v="75"/>
    <n v="0"/>
  </r>
  <r>
    <d v="2025-04-24T15:37:52"/>
    <n v="204"/>
    <x v="33"/>
    <d v="2025-04-24T00:00:00"/>
    <d v="2026-04-30T00:00:00"/>
    <x v="1"/>
    <x v="0"/>
    <s v="510200"/>
    <x v="62"/>
    <x v="2"/>
    <s v="KG"/>
    <n v="27"/>
    <s v="5070"/>
    <s v="SAFRA 25/26"/>
    <n v="480"/>
    <n v="0"/>
    <n v="480"/>
    <n v="12960"/>
    <m/>
    <s v="COLIDER"/>
    <s v="28158717934"/>
    <n v="27"/>
    <n v="0"/>
  </r>
  <r>
    <d v="2025-04-24T15:37:52"/>
    <n v="204"/>
    <x v="33"/>
    <d v="2025-04-24T00:00:00"/>
    <d v="2026-04-30T00:00:00"/>
    <x v="1"/>
    <x v="0"/>
    <s v="510200"/>
    <x v="46"/>
    <x v="0"/>
    <s v="LT"/>
    <n v="16"/>
    <s v="5070"/>
    <s v="SAFRA 25/26"/>
    <n v="1940"/>
    <n v="0"/>
    <n v="1940"/>
    <n v="31040"/>
    <m/>
    <s v="COLIDER"/>
    <s v="28158717934"/>
    <n v="16"/>
    <n v="0"/>
  </r>
  <r>
    <d v="2025-04-24T15:37:52"/>
    <n v="204"/>
    <x v="33"/>
    <d v="2025-04-24T00:00:00"/>
    <d v="2026-04-30T00:00:00"/>
    <x v="1"/>
    <x v="0"/>
    <s v="510200"/>
    <x v="8"/>
    <x v="0"/>
    <s v="KG"/>
    <n v="85"/>
    <s v="5070"/>
    <s v="SAFRA 25/26"/>
    <n v="150"/>
    <n v="0"/>
    <n v="150"/>
    <n v="12750"/>
    <m/>
    <s v="COLIDER"/>
    <s v="28158717934"/>
    <n v="85"/>
    <n v="0"/>
  </r>
  <r>
    <d v="2025-04-24T15:37:52"/>
    <n v="204"/>
    <x v="33"/>
    <d v="2025-04-24T00:00:00"/>
    <d v="2026-04-30T00:00:00"/>
    <x v="1"/>
    <x v="0"/>
    <s v="510200"/>
    <x v="22"/>
    <x v="2"/>
    <s v="KG"/>
    <n v="22"/>
    <s v="5070"/>
    <s v="SAFRA 25/26"/>
    <n v="1440"/>
    <n v="0"/>
    <n v="1440"/>
    <n v="31680"/>
    <m/>
    <s v="COLIDER"/>
    <s v="28158717934"/>
    <n v="22"/>
    <n v="0"/>
  </r>
  <r>
    <d v="2025-04-24T15:37:52"/>
    <n v="204"/>
    <x v="33"/>
    <d v="2025-04-24T00:00:00"/>
    <d v="2026-04-30T00:00:00"/>
    <x v="1"/>
    <x v="0"/>
    <s v="510200"/>
    <x v="61"/>
    <x v="2"/>
    <s v="KG"/>
    <n v="32"/>
    <s v="5070"/>
    <s v="SAFRA 25/26"/>
    <n v="770"/>
    <n v="0"/>
    <n v="770"/>
    <n v="24640"/>
    <m/>
    <s v="COLIDER"/>
    <s v="28158717934"/>
    <n v="32"/>
    <n v="0"/>
  </r>
  <r>
    <d v="2025-04-24T15:37:52"/>
    <n v="204"/>
    <x v="33"/>
    <d v="2025-04-24T00:00:00"/>
    <d v="2026-04-30T00:00:00"/>
    <x v="1"/>
    <x v="0"/>
    <s v="510200"/>
    <x v="12"/>
    <x v="0"/>
    <s v="LT"/>
    <n v="215"/>
    <s v="5070"/>
    <s v="SAFRA 25/26"/>
    <n v="100"/>
    <n v="0"/>
    <n v="100"/>
    <n v="21500"/>
    <m/>
    <s v="COLIDER"/>
    <s v="28158717934"/>
    <n v="215"/>
    <n v="0"/>
  </r>
  <r>
    <d v="2025-04-24T15:37:52"/>
    <n v="204"/>
    <x v="33"/>
    <d v="2025-04-24T00:00:00"/>
    <d v="2026-04-30T00:00:00"/>
    <x v="1"/>
    <x v="0"/>
    <s v="510200"/>
    <x v="55"/>
    <x v="2"/>
    <s v="KG"/>
    <n v="27"/>
    <s v="5070"/>
    <s v="SAFRA 25/26"/>
    <n v="160"/>
    <n v="0"/>
    <n v="160"/>
    <n v="4320"/>
    <m/>
    <s v="COLIDER"/>
    <s v="28158717934"/>
    <n v="27"/>
    <n v="0"/>
  </r>
  <r>
    <d v="2025-10-24T17:26:51"/>
    <n v="383"/>
    <x v="33"/>
    <d v="2025-10-24T00:00:00"/>
    <d v="2026-04-30T00:00:00"/>
    <x v="1"/>
    <x v="0"/>
    <s v="510200"/>
    <x v="2"/>
    <x v="0"/>
    <s v="KG"/>
    <n v="25.33"/>
    <s v="88"/>
    <s v="SAFRA 25/26"/>
    <n v="480"/>
    <n v="0"/>
    <n v="480"/>
    <n v="12158.4"/>
    <m/>
    <s v="COLIDER"/>
    <s v="28158717934"/>
    <n v="25.33"/>
    <n v="0"/>
  </r>
  <r>
    <d v="2025-12-09T07:46:02"/>
    <n v="449"/>
    <x v="33"/>
    <d v="2025-12-09T00:00:00"/>
    <d v="2026-04-30T00:00:00"/>
    <x v="1"/>
    <x v="0"/>
    <s v="510200"/>
    <x v="1"/>
    <x v="0"/>
    <s v="LT"/>
    <n v="168"/>
    <s v="188"/>
    <s v="SAFRA 25/26"/>
    <n v="20"/>
    <n v="0"/>
    <n v="20"/>
    <n v="3360"/>
    <m/>
    <s v="COLIDER"/>
    <s v="28158717934"/>
    <n v="168"/>
    <n v="0"/>
  </r>
  <r>
    <d v="2025-12-09T07:46:02"/>
    <n v="449"/>
    <x v="33"/>
    <d v="2025-12-09T00:00:00"/>
    <d v="2026-04-30T00:00:00"/>
    <x v="1"/>
    <x v="0"/>
    <s v="510200"/>
    <x v="39"/>
    <x v="0"/>
    <s v="LT"/>
    <n v="22"/>
    <s v="188"/>
    <s v="SAFRA 25/26"/>
    <n v="80"/>
    <n v="0"/>
    <n v="80"/>
    <n v="1760"/>
    <m/>
    <s v="COLIDER"/>
    <s v="28158717934"/>
    <n v="22"/>
    <n v="0"/>
  </r>
  <r>
    <d v="2025-12-29T09:18:06"/>
    <n v="469"/>
    <x v="33"/>
    <d v="2025-12-29T00:00:00"/>
    <d v="2026-04-30T00:00:00"/>
    <x v="1"/>
    <x v="0"/>
    <s v="510200"/>
    <x v="39"/>
    <x v="0"/>
    <s v="LT"/>
    <n v="22"/>
    <s v="192"/>
    <s v="SAFRA 25/26"/>
    <n v="60"/>
    <n v="0"/>
    <n v="60"/>
    <n v="1320"/>
    <m/>
    <s v="COLIDER"/>
    <s v="28158717934"/>
    <n v="22"/>
    <n v="0"/>
  </r>
  <r>
    <d v="2026-01-13T16:07:06"/>
    <n v="496"/>
    <x v="33"/>
    <d v="2026-01-13T00:00:00"/>
    <d v="2026-08-30T00:00:00"/>
    <x v="1"/>
    <x v="2"/>
    <s v="510200"/>
    <x v="9"/>
    <x v="1"/>
    <s v="LT"/>
    <n v="45"/>
    <s v="477"/>
    <s v="SAFRINHA 2026"/>
    <n v="192"/>
    <n v="0"/>
    <n v="192"/>
    <n v="8640"/>
    <m/>
    <s v="COLIDER"/>
    <s v="28158717934"/>
    <n v="45"/>
    <n v="0"/>
  </r>
  <r>
    <d v="2025-09-08T08:28:52"/>
    <n v="4019"/>
    <x v="34"/>
    <d v="2025-09-08T00:00:00"/>
    <d v="2026-03-30T00:00:00"/>
    <x v="3"/>
    <x v="0"/>
    <s v="510200"/>
    <x v="7"/>
    <x v="0"/>
    <s v="LT"/>
    <n v="60"/>
    <s v="5568"/>
    <s v="SAFRA 25/26"/>
    <n v="40"/>
    <n v="0"/>
    <n v="40"/>
    <n v="2400"/>
    <m/>
    <s v="SINOP"/>
    <s v="06855036902"/>
    <n v="60"/>
    <n v="0"/>
  </r>
  <r>
    <d v="2025-12-16T15:19:19"/>
    <n v="4362"/>
    <x v="34"/>
    <d v="2025-12-16T00:00:00"/>
    <d v="2026-04-30T00:00:00"/>
    <x v="3"/>
    <x v="1"/>
    <s v="510200"/>
    <x v="23"/>
    <x v="1"/>
    <s v="KG"/>
    <n v="153.75"/>
    <s v="5903"/>
    <s v="SAFRA 25/26"/>
    <n v="96"/>
    <n v="0"/>
    <n v="96"/>
    <n v="14760"/>
    <m/>
    <s v="SINOP"/>
    <s v="06855036902"/>
    <n v="153.75"/>
    <n v="0"/>
  </r>
  <r>
    <d v="2025-12-16T15:26:44"/>
    <n v="4363"/>
    <x v="34"/>
    <d v="2025-12-16T00:00:00"/>
    <d v="2026-04-30T00:00:00"/>
    <x v="3"/>
    <x v="0"/>
    <s v="510200"/>
    <x v="27"/>
    <x v="2"/>
    <s v="KG"/>
    <n v="100"/>
    <s v="5904"/>
    <s v="SAFRA 25/26"/>
    <n v="200"/>
    <n v="0"/>
    <n v="200"/>
    <n v="20000"/>
    <m/>
    <s v="MARCELANDIA"/>
    <s v="06855036902"/>
    <n v="100"/>
    <n v="0"/>
  </r>
  <r>
    <d v="2025-08-29T08:04:55"/>
    <n v="276"/>
    <x v="34"/>
    <d v="2025-08-29T00:00:00"/>
    <d v="2026-03-30T00:00:00"/>
    <x v="10"/>
    <x v="0"/>
    <s v="510200"/>
    <x v="7"/>
    <x v="0"/>
    <s v="LT"/>
    <n v="60"/>
    <s v="76"/>
    <s v="SAFRA 25/26"/>
    <n v="60"/>
    <n v="0"/>
    <n v="60"/>
    <n v="3600"/>
    <m/>
    <s v="SINOP"/>
    <s v="06855036902"/>
    <n v="60"/>
    <n v="0"/>
  </r>
  <r>
    <d v="2025-11-29T10:17:43"/>
    <n v="437"/>
    <x v="34"/>
    <d v="2025-11-29T00:00:00"/>
    <d v="2026-04-30T00:00:00"/>
    <x v="1"/>
    <x v="2"/>
    <s v="510200"/>
    <x v="10"/>
    <x v="1"/>
    <s v="LT"/>
    <n v="320"/>
    <s v="451"/>
    <s v="SAFRA 25/26"/>
    <n v="30"/>
    <n v="0"/>
    <n v="30"/>
    <n v="9600"/>
    <m/>
    <s v="SINOP"/>
    <s v="06855036902"/>
    <n v="320"/>
    <n v="0"/>
  </r>
  <r>
    <d v="2025-11-29T10:17:43"/>
    <n v="437"/>
    <x v="34"/>
    <d v="2025-11-29T00:00:00"/>
    <d v="2026-04-30T00:00:00"/>
    <x v="1"/>
    <x v="2"/>
    <s v="510200"/>
    <x v="9"/>
    <x v="1"/>
    <s v="LT"/>
    <n v="49"/>
    <s v="451"/>
    <s v="SAFRA 25/26"/>
    <n v="36"/>
    <n v="0"/>
    <n v="36"/>
    <n v="1764"/>
    <m/>
    <s v="SINOP"/>
    <s v="06855036902"/>
    <n v="49"/>
    <n v="0"/>
  </r>
  <r>
    <d v="2025-11-29T10:17:43"/>
    <n v="437"/>
    <x v="34"/>
    <d v="2025-11-29T00:00:00"/>
    <d v="2026-04-30T00:00:00"/>
    <x v="1"/>
    <x v="2"/>
    <s v="510200"/>
    <x v="14"/>
    <x v="1"/>
    <s v="KG"/>
    <n v="380"/>
    <s v="451"/>
    <s v="SAFRA 25/26"/>
    <n v="15"/>
    <n v="0"/>
    <n v="15"/>
    <n v="5700"/>
    <m/>
    <s v="SINOP"/>
    <s v="06855036902"/>
    <n v="380"/>
    <n v="0"/>
  </r>
  <r>
    <d v="2025-12-03T08:22:50"/>
    <n v="440"/>
    <x v="34"/>
    <d v="2025-12-03T00:00:00"/>
    <d v="2026-04-30T00:00:00"/>
    <x v="1"/>
    <x v="2"/>
    <s v="510200"/>
    <x v="11"/>
    <x v="1"/>
    <s v="LT"/>
    <n v="340"/>
    <s v="452"/>
    <s v="SAFRA 25/26"/>
    <n v="30"/>
    <n v="0"/>
    <n v="30"/>
    <n v="10200"/>
    <m/>
    <s v="SINOP"/>
    <s v="06855036902"/>
    <n v="340"/>
    <n v="0"/>
  </r>
  <r>
    <d v="2025-12-09T19:45:28"/>
    <n v="452"/>
    <x v="34"/>
    <d v="2025-12-09T00:00:00"/>
    <d v="2026-04-30T00:00:00"/>
    <x v="10"/>
    <x v="0"/>
    <s v="510200"/>
    <x v="63"/>
    <x v="2"/>
    <s v="LT"/>
    <n v="65"/>
    <s v="459"/>
    <s v="SAFRA 25/26"/>
    <n v="115"/>
    <n v="0"/>
    <n v="115"/>
    <n v="7475"/>
    <m/>
    <s v="SINOP"/>
    <s v="06855036902"/>
    <n v="65"/>
    <n v="0"/>
  </r>
  <r>
    <d v="2025-12-09T19:45:28"/>
    <n v="452"/>
    <x v="34"/>
    <d v="2025-12-09T00:00:00"/>
    <d v="2026-04-30T00:00:00"/>
    <x v="10"/>
    <x v="0"/>
    <s v="510200"/>
    <x v="6"/>
    <x v="0"/>
    <s v="LT"/>
    <n v="65"/>
    <s v="459"/>
    <s v="SAFRA 25/26"/>
    <n v="20"/>
    <n v="0"/>
    <n v="20"/>
    <n v="1300"/>
    <m/>
    <s v="SINOP"/>
    <s v="06855036902"/>
    <n v="65"/>
    <n v="0"/>
  </r>
  <r>
    <d v="2025-12-13T14:04:21"/>
    <n v="456"/>
    <x v="34"/>
    <d v="2025-12-13T00:00:00"/>
    <d v="2026-04-30T00:00:00"/>
    <x v="10"/>
    <x v="2"/>
    <s v="510200"/>
    <x v="9"/>
    <x v="1"/>
    <s v="LT"/>
    <n v="49"/>
    <s v="460"/>
    <s v="SAFRA 25/26"/>
    <n v="24"/>
    <n v="0"/>
    <n v="24"/>
    <n v="1176"/>
    <m/>
    <s v="MARCELANDIA"/>
    <s v="06855036902"/>
    <n v="49"/>
    <n v="0"/>
  </r>
  <r>
    <d v="2025-12-13T14:04:21"/>
    <n v="456"/>
    <x v="34"/>
    <d v="2025-12-13T00:00:00"/>
    <d v="2026-04-30T00:00:00"/>
    <x v="10"/>
    <x v="2"/>
    <s v="510200"/>
    <x v="14"/>
    <x v="1"/>
    <s v="KG"/>
    <n v="380"/>
    <s v="460"/>
    <s v="SAFRA 25/26"/>
    <n v="8"/>
    <n v="0"/>
    <n v="8"/>
    <n v="3040"/>
    <m/>
    <s v="MARCELANDIA"/>
    <s v="06855036902"/>
    <n v="380"/>
    <n v="0"/>
  </r>
  <r>
    <d v="2025-12-15T14:25:15"/>
    <n v="457"/>
    <x v="34"/>
    <d v="2025-12-15T00:00:00"/>
    <d v="2026-04-30T00:00:00"/>
    <x v="10"/>
    <x v="0"/>
    <s v="510200"/>
    <x v="63"/>
    <x v="2"/>
    <s v="LT"/>
    <n v="62"/>
    <s v="461"/>
    <s v="SAFRA 25/26"/>
    <n v="300"/>
    <n v="0"/>
    <n v="300"/>
    <n v="18600"/>
    <m/>
    <s v="SINOP"/>
    <s v="06855036902"/>
    <n v="62"/>
    <n v="0"/>
  </r>
  <r>
    <d v="2026-02-11T15:06:00"/>
    <n v="544"/>
    <x v="34"/>
    <d v="2026-02-11T00:00:00"/>
    <d v="2026-08-30T00:00:00"/>
    <x v="11"/>
    <x v="0"/>
    <s v="510200"/>
    <x v="21"/>
    <x v="2"/>
    <s v="KG"/>
    <n v="38.5"/>
    <s v="380"/>
    <s v="SAFRINHA 2026"/>
    <n v="195"/>
    <n v="0"/>
    <n v="195"/>
    <n v="7507.5"/>
    <m/>
    <s v="SINOP"/>
    <s v="06855036902"/>
    <n v="38.5"/>
    <n v="0"/>
  </r>
  <r>
    <d v="2025-10-27T15:16:59"/>
    <n v="389"/>
    <x v="35"/>
    <d v="2025-10-27T00:00:00"/>
    <d v="2025-10-28T00:00:00"/>
    <x v="2"/>
    <x v="0"/>
    <s v="510200"/>
    <x v="64"/>
    <x v="2"/>
    <s v="LT"/>
    <n v="12"/>
    <s v="123"/>
    <s v="SAFRA 25/26"/>
    <n v="900"/>
    <n v="0"/>
    <n v="900"/>
    <n v="10800"/>
    <m/>
    <s v="PEIXOTO DE AZEVEDO"/>
    <s v="05550998220"/>
    <n v="12"/>
    <n v="0"/>
  </r>
  <r>
    <d v="2025-10-27T15:16:59"/>
    <n v="389"/>
    <x v="35"/>
    <d v="2025-10-27T00:00:00"/>
    <d v="2025-10-28T00:00:00"/>
    <x v="2"/>
    <x v="0"/>
    <s v="510200"/>
    <x v="65"/>
    <x v="0"/>
    <s v="LT"/>
    <n v="12"/>
    <s v="123"/>
    <s v="SAFRA 25/26"/>
    <n v="100"/>
    <n v="0"/>
    <n v="100"/>
    <n v="1200"/>
    <m/>
    <s v="PEIXOTO DE AZEVEDO"/>
    <s v="05550998220"/>
    <n v="12"/>
    <n v="0"/>
  </r>
  <r>
    <d v="2025-09-24T17:17:07"/>
    <n v="4087"/>
    <x v="36"/>
    <d v="2025-09-24T00:00:00"/>
    <d v="2026-05-30T00:00:00"/>
    <x v="3"/>
    <x v="1"/>
    <s v="510200"/>
    <x v="9"/>
    <x v="1"/>
    <s v="LT"/>
    <n v="38"/>
    <s v="5628"/>
    <s v="SAFRA 25/26"/>
    <n v="201"/>
    <n v="0"/>
    <n v="201"/>
    <n v="7638"/>
    <m/>
    <s v="NOBRES"/>
    <s v="41450198813"/>
    <n v="38"/>
    <n v="0"/>
  </r>
  <r>
    <d v="2025-09-17T16:54:41"/>
    <n v="4051"/>
    <x v="37"/>
    <d v="2025-09-17T00:00:00"/>
    <d v="2025-10-30T00:00:00"/>
    <x v="3"/>
    <x v="1"/>
    <s v="510200"/>
    <x v="14"/>
    <x v="1"/>
    <s v="KG"/>
    <n v="360"/>
    <s v="5621"/>
    <s v="SAFRA 25/26"/>
    <n v="48"/>
    <n v="0"/>
    <n v="48"/>
    <n v="17280"/>
    <m/>
    <m/>
    <s v="51585579001104"/>
    <n v="360"/>
    <n v="0"/>
  </r>
  <r>
    <d v="2025-09-05T09:46:42"/>
    <n v="4012"/>
    <x v="38"/>
    <d v="2025-09-03T00:00:00"/>
    <d v="2025-10-30T00:00:00"/>
    <x v="3"/>
    <x v="0"/>
    <s v="510200"/>
    <x v="66"/>
    <x v="2"/>
    <s v="LT"/>
    <n v="90"/>
    <s v="52"/>
    <s v="SAFRA 25/26"/>
    <n v="1900"/>
    <n v="0"/>
    <n v="1900"/>
    <n v="171000"/>
    <m/>
    <m/>
    <s v="32562073000163"/>
    <n v="90"/>
    <n v="0"/>
  </r>
  <r>
    <d v="2025-11-14T14:04:06"/>
    <n v="4271"/>
    <x v="38"/>
    <d v="2025-11-14T00:00:00"/>
    <d v="2026-04-30T00:00:00"/>
    <x v="3"/>
    <x v="0"/>
    <s v="510200"/>
    <x v="58"/>
    <x v="2"/>
    <s v="LT"/>
    <n v="12.5"/>
    <s v="5815"/>
    <s v="SAFRA 25/26"/>
    <n v="5800"/>
    <n v="0"/>
    <n v="5800"/>
    <n v="72500"/>
    <m/>
    <m/>
    <s v="32562073000163"/>
    <n v="12.5"/>
    <n v="0"/>
  </r>
  <r>
    <d v="2025-04-04T14:40:21"/>
    <n v="167"/>
    <x v="39"/>
    <d v="2025-04-04T00:00:00"/>
    <d v="2026-04-30T00:00:00"/>
    <x v="1"/>
    <x v="0"/>
    <s v="510200"/>
    <x v="12"/>
    <x v="0"/>
    <s v="LT"/>
    <n v="200"/>
    <s v="5057"/>
    <s v="SAFRA 25/26"/>
    <n v="105"/>
    <n v="0"/>
    <n v="105"/>
    <n v="21000"/>
    <m/>
    <s v="MARCELANDIA"/>
    <s v="03975343109"/>
    <n v="200"/>
    <n v="0"/>
  </r>
  <r>
    <d v="2025-04-04T14:40:21"/>
    <n v="167"/>
    <x v="39"/>
    <d v="2025-04-04T00:00:00"/>
    <d v="2026-04-30T00:00:00"/>
    <x v="1"/>
    <x v="0"/>
    <s v="510200"/>
    <x v="58"/>
    <x v="2"/>
    <s v="LT"/>
    <n v="22.5"/>
    <s v="5057"/>
    <s v="SAFRA 25/26"/>
    <n v="1060"/>
    <n v="0"/>
    <n v="1060"/>
    <n v="23850"/>
    <m/>
    <s v="MARCELANDIA"/>
    <s v="03975343109"/>
    <n v="22.5"/>
    <n v="0"/>
  </r>
  <r>
    <d v="2025-04-04T14:40:21"/>
    <n v="167"/>
    <x v="39"/>
    <d v="2025-04-04T00:00:00"/>
    <d v="2026-04-30T00:00:00"/>
    <x v="1"/>
    <x v="2"/>
    <s v="510200"/>
    <x v="11"/>
    <x v="1"/>
    <s v="LT"/>
    <n v="300"/>
    <s v="5057"/>
    <s v="SAFRA 25/26"/>
    <n v="53"/>
    <n v="0"/>
    <n v="53"/>
    <n v="15900"/>
    <m/>
    <s v="MARCELANDIA"/>
    <s v="03975343109"/>
    <n v="300"/>
    <n v="0"/>
  </r>
  <r>
    <d v="2025-04-04T14:40:21"/>
    <n v="167"/>
    <x v="39"/>
    <d v="2025-04-04T00:00:00"/>
    <d v="2026-04-30T00:00:00"/>
    <x v="1"/>
    <x v="0"/>
    <s v="510200"/>
    <x v="59"/>
    <x v="2"/>
    <s v="KG"/>
    <n v="235"/>
    <s v="5057"/>
    <s v="SAFRA 25/26"/>
    <n v="210"/>
    <n v="0"/>
    <n v="210"/>
    <n v="49350"/>
    <m/>
    <s v="MARCELANDIA"/>
    <s v="03975343109"/>
    <n v="235"/>
    <n v="0"/>
  </r>
  <r>
    <d v="2025-04-04T14:40:21"/>
    <n v="167"/>
    <x v="39"/>
    <d v="2025-04-04T00:00:00"/>
    <d v="2026-04-30T00:00:00"/>
    <x v="1"/>
    <x v="0"/>
    <s v="510200"/>
    <x v="55"/>
    <x v="2"/>
    <s v="KG"/>
    <n v="22.5"/>
    <s v="5057"/>
    <s v="SAFRA 25/26"/>
    <n v="1580"/>
    <n v="0"/>
    <n v="1580"/>
    <n v="35550"/>
    <m/>
    <s v="MARCELANDIA"/>
    <s v="03975343109"/>
    <n v="22.5"/>
    <n v="0"/>
  </r>
  <r>
    <d v="2025-04-04T14:40:21"/>
    <n v="167"/>
    <x v="39"/>
    <d v="2025-04-04T00:00:00"/>
    <d v="2026-04-30T00:00:00"/>
    <x v="1"/>
    <x v="0"/>
    <s v="510200"/>
    <x v="67"/>
    <x v="2"/>
    <s v="KG"/>
    <n v="175"/>
    <s v="5057"/>
    <s v="SAFRA 25/26"/>
    <n v="160"/>
    <n v="0"/>
    <n v="160"/>
    <n v="28000"/>
    <m/>
    <s v="MARCELANDIA"/>
    <s v="03975343109"/>
    <n v="175"/>
    <n v="0"/>
  </r>
  <r>
    <d v="2025-04-04T14:40:21"/>
    <n v="167"/>
    <x v="39"/>
    <d v="2025-04-04T00:00:00"/>
    <d v="2026-04-30T00:00:00"/>
    <x v="1"/>
    <x v="2"/>
    <s v="510200"/>
    <x v="10"/>
    <x v="1"/>
    <s v="LT"/>
    <n v="295"/>
    <s v="5057"/>
    <s v="SAFRA 25/26"/>
    <n v="53"/>
    <n v="0"/>
    <n v="53"/>
    <n v="15635"/>
    <m/>
    <s v="MARCELANDIA"/>
    <s v="03975343109"/>
    <n v="295"/>
    <n v="0"/>
  </r>
  <r>
    <d v="2025-04-04T14:40:21"/>
    <n v="167"/>
    <x v="39"/>
    <d v="2025-04-04T00:00:00"/>
    <d v="2026-04-30T00:00:00"/>
    <x v="1"/>
    <x v="0"/>
    <s v="510200"/>
    <x v="22"/>
    <x v="2"/>
    <s v="KG"/>
    <n v="19.5"/>
    <s v="5057"/>
    <s v="SAFRA 25/26"/>
    <n v="2100"/>
    <n v="0"/>
    <n v="2100"/>
    <n v="40950"/>
    <m/>
    <s v="MARCELANDIA"/>
    <s v="03975343109"/>
    <n v="19.5"/>
    <n v="0"/>
  </r>
  <r>
    <d v="2025-04-04T14:40:21"/>
    <n v="167"/>
    <x v="39"/>
    <d v="2025-04-04T00:00:00"/>
    <d v="2026-04-30T00:00:00"/>
    <x v="1"/>
    <x v="0"/>
    <s v="510200"/>
    <x v="8"/>
    <x v="0"/>
    <s v="KG"/>
    <n v="70"/>
    <s v="5057"/>
    <s v="SAFRA 25/26"/>
    <n v="162"/>
    <n v="0"/>
    <n v="162"/>
    <n v="11340"/>
    <m/>
    <s v="MARCELANDIA"/>
    <s v="03975343109"/>
    <n v="70"/>
    <n v="0"/>
  </r>
  <r>
    <d v="2025-04-04T14:40:21"/>
    <n v="167"/>
    <x v="39"/>
    <d v="2025-04-04T00:00:00"/>
    <d v="2026-04-30T00:00:00"/>
    <x v="1"/>
    <x v="0"/>
    <s v="510200"/>
    <x v="61"/>
    <x v="2"/>
    <s v="KG"/>
    <n v="32"/>
    <s v="5057"/>
    <s v="SAFRA 25/26"/>
    <n v="840"/>
    <n v="0"/>
    <n v="840"/>
    <n v="26880"/>
    <m/>
    <s v="MARCELANDIA"/>
    <s v="03975343109"/>
    <n v="32"/>
    <n v="0"/>
  </r>
  <r>
    <d v="2025-04-04T14:40:21"/>
    <n v="167"/>
    <x v="39"/>
    <d v="2025-04-04T00:00:00"/>
    <d v="2026-04-30T00:00:00"/>
    <x v="1"/>
    <x v="0"/>
    <s v="510200"/>
    <x v="39"/>
    <x v="0"/>
    <s v="LT"/>
    <n v="20"/>
    <s v="5057"/>
    <s v="SAFRA 25/26"/>
    <n v="520"/>
    <n v="0"/>
    <n v="520"/>
    <n v="10400"/>
    <m/>
    <s v="MARCELANDIA"/>
    <s v="03975343109"/>
    <n v="20"/>
    <n v="0"/>
  </r>
  <r>
    <d v="2025-04-04T14:40:21"/>
    <n v="167"/>
    <x v="39"/>
    <d v="2025-04-04T00:00:00"/>
    <d v="2026-04-30T00:00:00"/>
    <x v="1"/>
    <x v="0"/>
    <s v="510200"/>
    <x v="68"/>
    <x v="2"/>
    <s v="LT"/>
    <n v="16"/>
    <s v="5057"/>
    <s v="SAFRA 25/26"/>
    <n v="1050"/>
    <n v="0"/>
    <n v="1050"/>
    <n v="16800"/>
    <m/>
    <s v="MARCELANDIA"/>
    <s v="03975343109"/>
    <n v="16"/>
    <n v="0"/>
  </r>
  <r>
    <d v="2025-06-10T11:23:49"/>
    <n v="230"/>
    <x v="39"/>
    <d v="2025-06-10T00:00:00"/>
    <d v="2026-08-30T00:00:00"/>
    <x v="1"/>
    <x v="0"/>
    <s v="510200"/>
    <x v="12"/>
    <x v="0"/>
    <s v="LT"/>
    <n v="250"/>
    <s v="5"/>
    <s v="SAFRINHA 2026"/>
    <n v="80"/>
    <n v="0"/>
    <n v="80"/>
    <n v="20000"/>
    <m/>
    <s v="MARCELANDIA"/>
    <s v="03975343109"/>
    <n v="250"/>
    <n v="0"/>
  </r>
  <r>
    <d v="2025-06-10T11:23:49"/>
    <n v="230"/>
    <x v="39"/>
    <d v="2025-06-10T00:00:00"/>
    <d v="2026-08-30T00:00:00"/>
    <x v="1"/>
    <x v="0"/>
    <s v="510200"/>
    <x v="3"/>
    <x v="0"/>
    <s v="LT"/>
    <n v="22"/>
    <s v="5"/>
    <s v="SAFRINHA 2026"/>
    <n v="800"/>
    <n v="0"/>
    <n v="800"/>
    <n v="17600"/>
    <m/>
    <s v="MARCELANDIA"/>
    <s v="03975343109"/>
    <n v="22"/>
    <n v="0"/>
  </r>
  <r>
    <d v="2025-06-10T11:23:49"/>
    <n v="230"/>
    <x v="39"/>
    <d v="2025-06-10T00:00:00"/>
    <d v="2026-08-30T00:00:00"/>
    <x v="1"/>
    <x v="2"/>
    <s v="510200"/>
    <x v="10"/>
    <x v="1"/>
    <s v="LT"/>
    <n v="340"/>
    <s v="5"/>
    <s v="SAFRINHA 2026"/>
    <n v="24"/>
    <n v="0"/>
    <n v="24"/>
    <n v="8160"/>
    <m/>
    <s v="MARCELANDIA"/>
    <s v="03975343109"/>
    <n v="340"/>
    <n v="0"/>
  </r>
  <r>
    <d v="2025-06-10T11:23:49"/>
    <n v="230"/>
    <x v="39"/>
    <d v="2025-06-10T00:00:00"/>
    <d v="2026-08-30T00:00:00"/>
    <x v="1"/>
    <x v="0"/>
    <s v="510200"/>
    <x v="7"/>
    <x v="0"/>
    <s v="LT"/>
    <n v="70"/>
    <s v="5"/>
    <s v="SAFRINHA 2026"/>
    <n v="80"/>
    <n v="0"/>
    <n v="80"/>
    <n v="5600"/>
    <m/>
    <s v="MARCELANDIA"/>
    <s v="03975343109"/>
    <n v="70"/>
    <n v="0"/>
  </r>
  <r>
    <d v="2025-06-10T11:23:49"/>
    <n v="230"/>
    <x v="39"/>
    <d v="2025-06-10T00:00:00"/>
    <d v="2026-08-30T00:00:00"/>
    <x v="1"/>
    <x v="0"/>
    <s v="510200"/>
    <x v="66"/>
    <x v="2"/>
    <s v="LT"/>
    <n v="157"/>
    <s v="5"/>
    <s v="SAFRINHA 2026"/>
    <n v="155"/>
    <n v="0"/>
    <n v="155"/>
    <n v="24335"/>
    <m/>
    <s v="MARCELANDIA"/>
    <s v="03975343109"/>
    <n v="157"/>
    <n v="0"/>
  </r>
  <r>
    <d v="2025-06-10T11:23:49"/>
    <n v="230"/>
    <x v="39"/>
    <d v="2025-06-10T00:00:00"/>
    <d v="2026-08-30T00:00:00"/>
    <x v="1"/>
    <x v="0"/>
    <s v="510200"/>
    <x v="2"/>
    <x v="0"/>
    <s v="KG"/>
    <n v="22"/>
    <s v="5"/>
    <s v="SAFRINHA 2026"/>
    <n v="2400"/>
    <n v="0"/>
    <n v="2400"/>
    <n v="52800"/>
    <m/>
    <s v="MARCELANDIA"/>
    <s v="03975343109"/>
    <n v="22"/>
    <n v="0"/>
  </r>
  <r>
    <d v="2025-06-10T11:23:49"/>
    <n v="230"/>
    <x v="39"/>
    <d v="2025-06-10T00:00:00"/>
    <d v="2026-08-30T00:00:00"/>
    <x v="1"/>
    <x v="0"/>
    <s v="510200"/>
    <x v="6"/>
    <x v="0"/>
    <s v="LT"/>
    <n v="70"/>
    <s v="5"/>
    <s v="SAFRINHA 2026"/>
    <n v="120"/>
    <n v="0"/>
    <n v="120"/>
    <n v="8400"/>
    <m/>
    <s v="MARCELANDIA"/>
    <s v="03975343109"/>
    <n v="70"/>
    <n v="0"/>
  </r>
  <r>
    <d v="2025-06-10T11:23:49"/>
    <n v="230"/>
    <x v="39"/>
    <d v="2025-06-10T00:00:00"/>
    <d v="2026-08-30T00:00:00"/>
    <x v="1"/>
    <x v="2"/>
    <s v="510200"/>
    <x v="11"/>
    <x v="1"/>
    <s v="LT"/>
    <n v="340"/>
    <s v="5"/>
    <s v="SAFRINHA 2026"/>
    <n v="24"/>
    <n v="0"/>
    <n v="24"/>
    <n v="8160"/>
    <m/>
    <s v="MARCELANDIA"/>
    <s v="03975343109"/>
    <n v="340"/>
    <n v="0"/>
  </r>
  <r>
    <d v="2025-06-10T11:23:49"/>
    <n v="230"/>
    <x v="39"/>
    <d v="2025-06-10T00:00:00"/>
    <d v="2026-08-30T00:00:00"/>
    <x v="1"/>
    <x v="2"/>
    <s v="510200"/>
    <x v="18"/>
    <x v="1"/>
    <s v="KG"/>
    <n v="205"/>
    <s v="5"/>
    <s v="SAFRINHA 2026"/>
    <n v="64"/>
    <n v="0"/>
    <n v="64"/>
    <n v="13120"/>
    <m/>
    <s v="MARCELANDIA"/>
    <s v="03975343109"/>
    <n v="205"/>
    <n v="0"/>
  </r>
  <r>
    <d v="2025-06-10T11:23:49"/>
    <n v="230"/>
    <x v="39"/>
    <d v="2025-06-10T00:00:00"/>
    <d v="2026-08-30T00:00:00"/>
    <x v="1"/>
    <x v="0"/>
    <s v="510200"/>
    <x v="53"/>
    <x v="0"/>
    <s v="LT"/>
    <n v="12"/>
    <s v="5"/>
    <s v="SAFRINHA 2026"/>
    <n v="3000"/>
    <n v="0"/>
    <n v="3000"/>
    <n v="36000"/>
    <m/>
    <s v="MARCELANDIA"/>
    <s v="03975343109"/>
    <n v="12"/>
    <n v="0"/>
  </r>
  <r>
    <d v="2025-06-10T11:23:49"/>
    <n v="230"/>
    <x v="39"/>
    <d v="2025-06-10T00:00:00"/>
    <d v="2026-08-30T00:00:00"/>
    <x v="1"/>
    <x v="0"/>
    <s v="510200"/>
    <x v="69"/>
    <x v="2"/>
    <s v="LT"/>
    <n v="12"/>
    <s v="5"/>
    <s v="SAFRINHA 2026"/>
    <n v="200"/>
    <n v="0"/>
    <n v="200"/>
    <n v="2400"/>
    <m/>
    <s v="MARCELANDIA"/>
    <s v="03975343109"/>
    <n v="12"/>
    <n v="0"/>
  </r>
  <r>
    <d v="2025-06-10T11:23:49"/>
    <n v="230"/>
    <x v="39"/>
    <d v="2025-06-10T00:00:00"/>
    <d v="2026-08-30T00:00:00"/>
    <x v="1"/>
    <x v="0"/>
    <s v="510200"/>
    <x v="57"/>
    <x v="2"/>
    <s v="KG"/>
    <n v="392.5"/>
    <s v="5"/>
    <s v="SAFRINHA 2026"/>
    <n v="2"/>
    <n v="0"/>
    <n v="2"/>
    <n v="785"/>
    <m/>
    <s v="MARCELANDIA"/>
    <s v="03975343109"/>
    <n v="392.5"/>
    <n v="0"/>
  </r>
  <r>
    <d v="2025-06-10T11:23:49"/>
    <n v="230"/>
    <x v="39"/>
    <d v="2025-06-10T00:00:00"/>
    <d v="2026-08-30T00:00:00"/>
    <x v="1"/>
    <x v="0"/>
    <s v="510200"/>
    <x v="0"/>
    <x v="0"/>
    <s v="LT"/>
    <n v="16"/>
    <s v="5"/>
    <s v="SAFRINHA 2026"/>
    <n v="800"/>
    <n v="0"/>
    <n v="800"/>
    <n v="12800"/>
    <m/>
    <s v="MARCELANDIA"/>
    <s v="03975343109"/>
    <n v="16"/>
    <n v="0"/>
  </r>
  <r>
    <d v="2026-01-13T16:05:23"/>
    <n v="495"/>
    <x v="39"/>
    <d v="2026-01-13T00:00:00"/>
    <d v="2026-08-30T00:00:00"/>
    <x v="1"/>
    <x v="2"/>
    <s v="510200"/>
    <x v="9"/>
    <x v="1"/>
    <s v="LT"/>
    <n v="47"/>
    <s v="476"/>
    <s v="SAFRINHA 2026"/>
    <n v="84"/>
    <n v="0"/>
    <n v="84"/>
    <n v="3948"/>
    <m/>
    <s v="MARCELANDIA"/>
    <s v="03975343109"/>
    <n v="47"/>
    <n v="0"/>
  </r>
  <r>
    <d v="2026-02-21T10:28:26"/>
    <n v="562"/>
    <x v="39"/>
    <d v="2026-02-21T00:00:00"/>
    <d v="2026-08-30T00:00:00"/>
    <x v="1"/>
    <x v="0"/>
    <s v="510200"/>
    <x v="4"/>
    <x v="0"/>
    <s v="KG"/>
    <n v="25"/>
    <s v="483"/>
    <s v="SAFRINHA 2026"/>
    <n v="400"/>
    <n v="0"/>
    <n v="400"/>
    <n v="10000"/>
    <m/>
    <s v="MARCELANDIA"/>
    <s v="03975343109"/>
    <n v="25"/>
    <n v="0"/>
  </r>
  <r>
    <d v="2025-09-15T09:19:03"/>
    <n v="4037"/>
    <x v="40"/>
    <d v="2025-04-03T00:00:00"/>
    <d v="2026-04-30T00:00:00"/>
    <x v="12"/>
    <x v="1"/>
    <s v="510200"/>
    <x v="18"/>
    <x v="1"/>
    <s v="KG"/>
    <n v="187"/>
    <s v="5324"/>
    <s v="SAFRA 25/26"/>
    <n v="300"/>
    <n v="0"/>
    <n v="300"/>
    <n v="56100"/>
    <m/>
    <s v="PORTO DOS GAUCHOS"/>
    <s v="71799613100"/>
    <n v="187"/>
    <n v="0"/>
  </r>
  <r>
    <d v="2025-09-15T09:20:04"/>
    <n v="4038"/>
    <x v="40"/>
    <d v="2025-04-03T00:00:00"/>
    <d v="2026-04-30T00:00:00"/>
    <x v="12"/>
    <x v="1"/>
    <s v="510200"/>
    <x v="18"/>
    <x v="1"/>
    <s v="KG"/>
    <n v="187"/>
    <s v="5351"/>
    <s v="SAFRINHA 2026"/>
    <n v="264"/>
    <n v="0"/>
    <n v="264"/>
    <n v="49368"/>
    <m/>
    <s v="PORTO DOS GAUCHOS"/>
    <s v="71799613100"/>
    <n v="187"/>
    <n v="0"/>
  </r>
  <r>
    <d v="2025-09-11T13:08:13"/>
    <n v="4032"/>
    <x v="41"/>
    <d v="2025-08-29T00:00:00"/>
    <d v="2025-10-31T00:00:00"/>
    <x v="0"/>
    <x v="1"/>
    <s v="510200"/>
    <x v="13"/>
    <x v="1"/>
    <s v="LT"/>
    <n v="48"/>
    <s v="5538"/>
    <s v="SAFRA 25/26"/>
    <n v="870"/>
    <n v="0"/>
    <n v="870"/>
    <n v="41760"/>
    <m/>
    <s v="SORRISO"/>
    <s v="02733993909"/>
    <n v="48"/>
    <n v="0"/>
  </r>
  <r>
    <d v="2025-09-11T13:08:13"/>
    <n v="4032"/>
    <x v="41"/>
    <d v="2025-08-29T00:00:00"/>
    <d v="2025-10-31T00:00:00"/>
    <x v="0"/>
    <x v="1"/>
    <s v="510200"/>
    <x v="18"/>
    <x v="1"/>
    <s v="KG"/>
    <n v="195"/>
    <s v="5538"/>
    <s v="SAFRA 25/26"/>
    <n v="174"/>
    <n v="0"/>
    <n v="174"/>
    <n v="33930"/>
    <m/>
    <s v="SORRISO"/>
    <s v="02733993909"/>
    <n v="195"/>
    <n v="0"/>
  </r>
  <r>
    <d v="2025-09-11T13:09:52"/>
    <n v="4033"/>
    <x v="41"/>
    <d v="2025-08-29T00:00:00"/>
    <d v="2025-10-31T00:00:00"/>
    <x v="0"/>
    <x v="1"/>
    <s v="510200"/>
    <x v="13"/>
    <x v="1"/>
    <s v="LT"/>
    <n v="48"/>
    <s v="5539"/>
    <s v="SAFRA 25/26"/>
    <n v="600"/>
    <n v="0"/>
    <n v="600"/>
    <n v="28800"/>
    <m/>
    <s v="NOVA MUTUM"/>
    <s v="02733993909"/>
    <n v="48"/>
    <n v="0"/>
  </r>
  <r>
    <d v="2025-09-11T13:09:52"/>
    <n v="4033"/>
    <x v="41"/>
    <d v="2025-08-29T00:00:00"/>
    <d v="2025-10-31T00:00:00"/>
    <x v="0"/>
    <x v="1"/>
    <s v="510200"/>
    <x v="18"/>
    <x v="1"/>
    <s v="KG"/>
    <n v="195"/>
    <s v="5539"/>
    <s v="SAFRA 25/26"/>
    <n v="120"/>
    <n v="0"/>
    <n v="120"/>
    <n v="23400"/>
    <m/>
    <s v="NOVA MUTUM"/>
    <s v="02733993909"/>
    <n v="195"/>
    <n v="0"/>
  </r>
  <r>
    <d v="2025-12-29T13:11:26"/>
    <n v="4388"/>
    <x v="41"/>
    <d v="2025-12-29T00:00:00"/>
    <d v="2026-03-30T00:00:00"/>
    <x v="0"/>
    <x v="1"/>
    <s v="510200"/>
    <x v="9"/>
    <x v="1"/>
    <s v="LT"/>
    <n v="45"/>
    <s v="5914"/>
    <s v="SAFRINHA 2026"/>
    <n v="180"/>
    <n v="0"/>
    <n v="180"/>
    <n v="8100"/>
    <m/>
    <s v="SORRISO"/>
    <s v="02733993909"/>
    <n v="45"/>
    <n v="0"/>
  </r>
  <r>
    <d v="2025-12-29T13:12:28"/>
    <n v="4389"/>
    <x v="41"/>
    <d v="2025-12-29T00:00:00"/>
    <d v="2026-03-30T00:00:00"/>
    <x v="0"/>
    <x v="1"/>
    <s v="510200"/>
    <x v="9"/>
    <x v="1"/>
    <s v="LT"/>
    <n v="45"/>
    <s v="5915"/>
    <s v="SAFRINHA 2026"/>
    <n v="120"/>
    <n v="0"/>
    <n v="120"/>
    <n v="5400"/>
    <m/>
    <s v="NOVA MUTUM"/>
    <s v="02733993909"/>
    <n v="45"/>
    <n v="0"/>
  </r>
  <r>
    <d v="2026-01-15T09:27:55"/>
    <n v="4448"/>
    <x v="41"/>
    <d v="2026-01-15T00:00:00"/>
    <d v="2026-03-30T00:00:00"/>
    <x v="0"/>
    <x v="1"/>
    <s v="510200"/>
    <x v="9"/>
    <x v="1"/>
    <s v="LT"/>
    <n v="45"/>
    <s v="6015"/>
    <s v="SAFRINHA 2026"/>
    <n v="81"/>
    <n v="0"/>
    <n v="81"/>
    <n v="3645"/>
    <m/>
    <s v="NOVA MUTUM"/>
    <s v="02733993909"/>
    <n v="45"/>
    <n v="0"/>
  </r>
  <r>
    <d v="2026-01-31T09:31:27"/>
    <n v="4515"/>
    <x v="41"/>
    <d v="2026-01-31T00:00:00"/>
    <d v="2026-03-01T00:00:00"/>
    <x v="0"/>
    <x v="0"/>
    <s v="510200"/>
    <x v="3"/>
    <x v="0"/>
    <s v="LT"/>
    <n v="19.5"/>
    <s v="5706"/>
    <s v="SAFRINHA 2026"/>
    <n v="160"/>
    <n v="0"/>
    <n v="160"/>
    <n v="3120"/>
    <m/>
    <s v="SORRISO"/>
    <s v="02733993909"/>
    <n v="19.5"/>
    <n v="0"/>
  </r>
  <r>
    <d v="2025-08-25T10:36:13"/>
    <n v="3993"/>
    <x v="42"/>
    <d v="2025-08-25T00:00:00"/>
    <d v="2026-03-30T00:00:00"/>
    <x v="3"/>
    <x v="0"/>
    <s v="510200"/>
    <x v="70"/>
    <x v="2"/>
    <s v="LT"/>
    <n v="35"/>
    <s v="5558"/>
    <s v="SAFRA 25/26"/>
    <n v="25"/>
    <n v="0"/>
    <n v="25"/>
    <n v="875"/>
    <m/>
    <s v="NOVA UBIRATA"/>
    <s v="99162466100"/>
    <n v="35"/>
    <n v="0"/>
  </r>
  <r>
    <d v="2025-08-25T10:36:13"/>
    <n v="3993"/>
    <x v="42"/>
    <d v="2025-08-25T00:00:00"/>
    <d v="2026-03-30T00:00:00"/>
    <x v="3"/>
    <x v="0"/>
    <s v="510200"/>
    <x v="71"/>
    <x v="2"/>
    <s v="LT"/>
    <n v="18.7805"/>
    <s v="5558"/>
    <s v="SAFRA 25/26"/>
    <n v="40"/>
    <n v="0"/>
    <n v="40"/>
    <n v="751.22"/>
    <m/>
    <s v="NOVA UBIRATA"/>
    <s v="99162466100"/>
    <n v="18.7805"/>
    <n v="0"/>
  </r>
  <r>
    <d v="2025-08-25T10:36:13"/>
    <n v="3993"/>
    <x v="42"/>
    <d v="2025-08-25T00:00:00"/>
    <d v="2026-03-30T00:00:00"/>
    <x v="3"/>
    <x v="0"/>
    <s v="510200"/>
    <x v="72"/>
    <x v="2"/>
    <s v="KG"/>
    <n v="330"/>
    <s v="5558"/>
    <s v="SAFRA 25/26"/>
    <n v="13"/>
    <n v="0"/>
    <n v="13"/>
    <n v="4290"/>
    <m/>
    <s v="NOVA UBIRATA"/>
    <s v="99162466100"/>
    <n v="330"/>
    <n v="0"/>
  </r>
  <r>
    <d v="2025-08-25T10:36:13"/>
    <n v="3993"/>
    <x v="42"/>
    <d v="2025-08-25T00:00:00"/>
    <d v="2026-03-30T00:00:00"/>
    <x v="3"/>
    <x v="0"/>
    <s v="510200"/>
    <x v="29"/>
    <x v="2"/>
    <s v="LT"/>
    <n v="11"/>
    <s v="5558"/>
    <s v="SAFRA 25/26"/>
    <n v="250"/>
    <n v="0"/>
    <n v="250"/>
    <n v="2750"/>
    <m/>
    <s v="NOVA UBIRATA"/>
    <s v="99162466100"/>
    <n v="11"/>
    <n v="0"/>
  </r>
  <r>
    <d v="2025-08-18T09:46:47"/>
    <n v="3981"/>
    <x v="43"/>
    <d v="2025-08-15T00:00:00"/>
    <d v="2026-04-30T00:00:00"/>
    <x v="5"/>
    <x v="0"/>
    <s v="510200"/>
    <x v="32"/>
    <x v="2"/>
    <s v="TON"/>
    <n v="1360"/>
    <s v="5378"/>
    <s v="SAFRA 25/26"/>
    <n v="28"/>
    <n v="0"/>
    <n v="28"/>
    <n v="38080"/>
    <m/>
    <s v="SORRISO"/>
    <s v="43939295000"/>
    <n v="1360"/>
    <n v="0"/>
  </r>
  <r>
    <d v="2025-04-24T14:25:23"/>
    <n v="200"/>
    <x v="44"/>
    <d v="2025-04-24T00:00:00"/>
    <d v="2026-04-30T00:00:00"/>
    <x v="2"/>
    <x v="0"/>
    <s v="510200"/>
    <x v="32"/>
    <x v="2"/>
    <s v="TON"/>
    <n v="1600"/>
    <s v="4871"/>
    <s v="SAFRA 25/26"/>
    <n v="50"/>
    <n v="0"/>
    <n v="50"/>
    <n v="80000"/>
    <m/>
    <s v="FELIZ NATAL"/>
    <s v="01060583127"/>
    <n v="1600"/>
    <n v="0"/>
  </r>
  <r>
    <d v="2025-09-03T08:38:40"/>
    <n v="4009"/>
    <x v="45"/>
    <d v="2025-09-03T00:00:00"/>
    <d v="2026-04-30T00:00:00"/>
    <x v="6"/>
    <x v="0"/>
    <s v="510200"/>
    <x v="3"/>
    <x v="0"/>
    <s v="LT"/>
    <n v="24"/>
    <s v="5566"/>
    <s v="SAFRA 25/26"/>
    <n v="120"/>
    <n v="0"/>
    <n v="120"/>
    <n v="2880"/>
    <m/>
    <s v="SORRISO"/>
    <s v="92081908034"/>
    <n v="24"/>
    <n v="0"/>
  </r>
  <r>
    <d v="2025-09-03T08:38:40"/>
    <n v="4009"/>
    <x v="45"/>
    <d v="2025-09-03T00:00:00"/>
    <d v="2026-04-30T00:00:00"/>
    <x v="6"/>
    <x v="0"/>
    <s v="510200"/>
    <x v="47"/>
    <x v="2"/>
    <s v="KG"/>
    <n v="30"/>
    <s v="5566"/>
    <s v="SAFRA 25/26"/>
    <n v="2100"/>
    <n v="0"/>
    <n v="2100"/>
    <n v="63000"/>
    <m/>
    <s v="SORRISO"/>
    <s v="92081908034"/>
    <n v="30"/>
    <n v="0"/>
  </r>
  <r>
    <d v="2025-09-03T08:38:40"/>
    <n v="4009"/>
    <x v="45"/>
    <d v="2025-09-03T00:00:00"/>
    <d v="2026-04-30T00:00:00"/>
    <x v="6"/>
    <x v="0"/>
    <s v="510200"/>
    <x v="29"/>
    <x v="2"/>
    <s v="LT"/>
    <n v="17"/>
    <s v="5566"/>
    <s v="SAFRA 25/26"/>
    <n v="975"/>
    <n v="0"/>
    <n v="975"/>
    <n v="16575"/>
    <m/>
    <s v="SORRISO"/>
    <s v="92081908034"/>
    <n v="17"/>
    <n v="0"/>
  </r>
  <r>
    <d v="2025-09-03T08:38:40"/>
    <n v="4009"/>
    <x v="45"/>
    <d v="2025-09-03T00:00:00"/>
    <d v="2026-04-30T00:00:00"/>
    <x v="6"/>
    <x v="0"/>
    <s v="510200"/>
    <x v="24"/>
    <x v="2"/>
    <s v="LT"/>
    <n v="78"/>
    <s v="5566"/>
    <s v="SAFRA 25/26"/>
    <n v="90"/>
    <n v="0"/>
    <n v="90"/>
    <n v="7020"/>
    <m/>
    <s v="SORRISO"/>
    <s v="92081908034"/>
    <n v="78"/>
    <n v="0"/>
  </r>
  <r>
    <d v="2025-09-03T08:38:40"/>
    <n v="4009"/>
    <x v="45"/>
    <d v="2025-09-03T00:00:00"/>
    <d v="2026-04-30T00:00:00"/>
    <x v="6"/>
    <x v="0"/>
    <s v="510200"/>
    <x v="63"/>
    <x v="2"/>
    <s v="LT"/>
    <n v="78"/>
    <s v="5566"/>
    <s v="SAFRA 25/26"/>
    <n v="180"/>
    <n v="0"/>
    <n v="180"/>
    <n v="14040"/>
    <m/>
    <s v="SORRISO"/>
    <s v="92081908034"/>
    <n v="78"/>
    <n v="0"/>
  </r>
  <r>
    <d v="2025-09-03T08:38:40"/>
    <n v="4009"/>
    <x v="45"/>
    <d v="2025-09-03T00:00:00"/>
    <d v="2026-04-30T00:00:00"/>
    <x v="6"/>
    <x v="0"/>
    <s v="510200"/>
    <x v="7"/>
    <x v="0"/>
    <s v="LT"/>
    <n v="78"/>
    <s v="5566"/>
    <s v="SAFRA 25/26"/>
    <n v="20"/>
    <n v="0"/>
    <n v="20"/>
    <n v="1560"/>
    <m/>
    <s v="SORRISO"/>
    <s v="92081908034"/>
    <n v="78"/>
    <n v="0"/>
  </r>
  <r>
    <d v="2025-09-03T08:38:40"/>
    <n v="4009"/>
    <x v="45"/>
    <d v="2025-09-03T00:00:00"/>
    <d v="2026-04-30T00:00:00"/>
    <x v="6"/>
    <x v="0"/>
    <s v="510200"/>
    <x v="22"/>
    <x v="2"/>
    <s v="KG"/>
    <n v="23"/>
    <s v="5566"/>
    <s v="SAFRA 25/26"/>
    <n v="1100"/>
    <n v="0"/>
    <n v="1100"/>
    <n v="25300"/>
    <m/>
    <s v="SORRISO"/>
    <s v="92081908034"/>
    <n v="23"/>
    <n v="0"/>
  </r>
  <r>
    <d v="2025-09-03T08:38:40"/>
    <n v="4009"/>
    <x v="45"/>
    <d v="2025-09-03T00:00:00"/>
    <d v="2026-04-30T00:00:00"/>
    <x v="6"/>
    <x v="0"/>
    <s v="510200"/>
    <x v="8"/>
    <x v="0"/>
    <s v="KG"/>
    <n v="95"/>
    <s v="5566"/>
    <s v="SAFRA 25/26"/>
    <n v="222"/>
    <n v="0"/>
    <n v="222"/>
    <n v="21090"/>
    <m/>
    <s v="SORRISO"/>
    <s v="92081908034"/>
    <n v="95"/>
    <n v="0"/>
  </r>
  <r>
    <d v="2025-09-03T08:38:40"/>
    <n v="4009"/>
    <x v="45"/>
    <d v="2025-09-03T00:00:00"/>
    <d v="2026-04-30T00:00:00"/>
    <x v="6"/>
    <x v="0"/>
    <s v="510200"/>
    <x v="6"/>
    <x v="0"/>
    <s v="LT"/>
    <n v="78"/>
    <s v="5566"/>
    <s v="SAFRA 25/26"/>
    <n v="150"/>
    <n v="0"/>
    <n v="150"/>
    <n v="11700"/>
    <m/>
    <s v="SORRISO"/>
    <s v="92081908034"/>
    <n v="78"/>
    <n v="0"/>
  </r>
  <r>
    <d v="2025-09-03T08:38:40"/>
    <n v="4009"/>
    <x v="45"/>
    <d v="2025-09-03T00:00:00"/>
    <d v="2026-04-30T00:00:00"/>
    <x v="6"/>
    <x v="0"/>
    <s v="510200"/>
    <x v="2"/>
    <x v="0"/>
    <s v="KG"/>
    <n v="30"/>
    <s v="5566"/>
    <s v="SAFRA 25/26"/>
    <n v="100"/>
    <n v="0"/>
    <n v="100"/>
    <n v="3000"/>
    <m/>
    <s v="SORRISO"/>
    <s v="92081908034"/>
    <n v="30"/>
    <n v="0"/>
  </r>
  <r>
    <d v="2025-09-03T08:38:40"/>
    <n v="4009"/>
    <x v="45"/>
    <d v="2025-09-03T00:00:00"/>
    <d v="2026-04-30T00:00:00"/>
    <x v="6"/>
    <x v="0"/>
    <s v="510200"/>
    <x v="0"/>
    <x v="0"/>
    <s v="LT"/>
    <n v="17"/>
    <s v="5566"/>
    <s v="SAFRA 25/26"/>
    <n v="120"/>
    <n v="0"/>
    <n v="120"/>
    <n v="2040"/>
    <m/>
    <s v="SORRISO"/>
    <s v="92081908034"/>
    <n v="17"/>
    <n v="0"/>
  </r>
  <r>
    <d v="2025-11-19T07:24:52"/>
    <n v="4278"/>
    <x v="45"/>
    <d v="2025-11-19T00:00:00"/>
    <d v="2026-04-30T00:00:00"/>
    <x v="6"/>
    <x v="0"/>
    <s v="510200"/>
    <x v="39"/>
    <x v="0"/>
    <s v="LT"/>
    <n v="24"/>
    <s v="5819"/>
    <s v="SAFRA 25/26"/>
    <n v="140"/>
    <n v="0"/>
    <n v="140"/>
    <n v="3360"/>
    <m/>
    <s v="SORRISO"/>
    <s v="92081908034"/>
    <n v="24"/>
    <n v="0"/>
  </r>
  <r>
    <d v="2026-01-14T10:04:34"/>
    <n v="4445"/>
    <x v="45"/>
    <d v="2026-01-14T00:00:00"/>
    <d v="2026-08-30T00:00:00"/>
    <x v="6"/>
    <x v="0"/>
    <s v="510200"/>
    <x v="63"/>
    <x v="2"/>
    <s v="LT"/>
    <n v="75"/>
    <s v="6012"/>
    <s v="SAFRINHA 2026"/>
    <n v="40"/>
    <n v="0"/>
    <n v="40"/>
    <n v="3000"/>
    <m/>
    <s v="SORRISO"/>
    <s v="92081908034"/>
    <n v="75"/>
    <n v="0"/>
  </r>
  <r>
    <d v="2026-03-04T11:24:23"/>
    <n v="4625"/>
    <x v="45"/>
    <d v="2026-03-04T00:00:00"/>
    <d v="2026-08-30T00:00:00"/>
    <x v="6"/>
    <x v="0"/>
    <s v="510200"/>
    <x v="7"/>
    <x v="0"/>
    <s v="LT"/>
    <n v="78"/>
    <s v="6113"/>
    <s v="SAFRINHA 2026"/>
    <n v="20"/>
    <n v="0"/>
    <n v="20"/>
    <n v="1560"/>
    <m/>
    <s v="SORRISO"/>
    <s v="92081908034"/>
    <n v="78"/>
    <n v="0"/>
  </r>
  <r>
    <d v="2025-09-03T08:09:01"/>
    <n v="4008"/>
    <x v="46"/>
    <d v="2025-09-03T00:00:00"/>
    <d v="2025-09-03T00:00:00"/>
    <x v="3"/>
    <x v="0"/>
    <s v="510200"/>
    <x v="21"/>
    <x v="2"/>
    <s v="KG"/>
    <n v="33"/>
    <s v="5601"/>
    <s v="SAFRA 25/26"/>
    <n v="105"/>
    <n v="0"/>
    <n v="105"/>
    <n v="3465"/>
    <m/>
    <s v="MATUPA"/>
    <s v="60456540997"/>
    <n v="33"/>
    <n v="0"/>
  </r>
  <r>
    <d v="2025-08-28T11:30:18"/>
    <n v="4003"/>
    <x v="47"/>
    <d v="2025-08-28T00:00:00"/>
    <d v="2025-10-15T00:00:00"/>
    <x v="0"/>
    <x v="1"/>
    <s v="510200"/>
    <x v="18"/>
    <x v="1"/>
    <s v="KG"/>
    <n v="185"/>
    <s v="5448"/>
    <s v="SAFRA 25/26"/>
    <n v="710"/>
    <n v="0"/>
    <n v="710"/>
    <n v="131350"/>
    <m/>
    <s v="NOVA UBIRATA"/>
    <s v="20544304000127"/>
    <n v="185"/>
    <n v="0"/>
  </r>
  <r>
    <d v="2026-02-03T08:29:03"/>
    <n v="4519"/>
    <x v="48"/>
    <d v="2026-01-31T00:00:00"/>
    <d v="2026-08-30T00:00:00"/>
    <x v="0"/>
    <x v="0"/>
    <s v="510200"/>
    <x v="2"/>
    <x v="0"/>
    <s v="KG"/>
    <n v="22.5"/>
    <s v="5258"/>
    <s v="SAFRINHA 2026"/>
    <n v="150"/>
    <n v="0"/>
    <n v="150"/>
    <n v="3375"/>
    <m/>
    <s v="NOVA UBIRATA"/>
    <s v="00017889146"/>
    <n v="22.5"/>
    <n v="0"/>
  </r>
  <r>
    <d v="2025-09-16T13:11:09"/>
    <n v="301"/>
    <x v="49"/>
    <d v="2025-09-16T00:00:00"/>
    <d v="2025-09-25T00:00:00"/>
    <x v="2"/>
    <x v="0"/>
    <s v="510200"/>
    <x v="32"/>
    <x v="2"/>
    <s v="TON"/>
    <n v="1000"/>
    <s v="106"/>
    <s v="SAFRA 25/26"/>
    <n v="40"/>
    <n v="0"/>
    <n v="40"/>
    <n v="40000"/>
    <m/>
    <s v="ITANHANGA"/>
    <s v="01937453995"/>
    <n v="1000"/>
    <n v="0"/>
  </r>
  <r>
    <d v="2025-09-01T15:03:44"/>
    <n v="4006"/>
    <x v="50"/>
    <d v="2025-09-01T00:00:00"/>
    <d v="2026-03-30T00:00:00"/>
    <x v="1"/>
    <x v="0"/>
    <s v="510200"/>
    <x v="15"/>
    <x v="2"/>
    <s v="LT"/>
    <n v="148"/>
    <s v="5563"/>
    <s v="SAFRA 25/26"/>
    <n v="5"/>
    <n v="0"/>
    <n v="5"/>
    <n v="740"/>
    <m/>
    <s v="SORRISO"/>
    <s v="30746043015"/>
    <n v="148"/>
    <n v="0"/>
  </r>
  <r>
    <d v="2025-09-01T15:03:44"/>
    <n v="4006"/>
    <x v="50"/>
    <d v="2025-09-01T00:00:00"/>
    <d v="2026-03-30T00:00:00"/>
    <x v="1"/>
    <x v="0"/>
    <s v="510200"/>
    <x v="63"/>
    <x v="2"/>
    <s v="LT"/>
    <n v="78"/>
    <s v="5563"/>
    <s v="SAFRA 25/26"/>
    <n v="5"/>
    <n v="0"/>
    <n v="5"/>
    <n v="390"/>
    <m/>
    <s v="SORRISO"/>
    <s v="30746043015"/>
    <n v="78"/>
    <n v="0"/>
  </r>
  <r>
    <d v="2025-09-22T16:11:24"/>
    <n v="4064"/>
    <x v="50"/>
    <d v="2025-09-22T00:00:00"/>
    <d v="2026-04-30T00:00:00"/>
    <x v="1"/>
    <x v="0"/>
    <s v="510200"/>
    <x v="47"/>
    <x v="2"/>
    <s v="KG"/>
    <n v="35"/>
    <s v="0021"/>
    <s v="SAFRA 25/26"/>
    <n v="80"/>
    <n v="0"/>
    <n v="80"/>
    <n v="2800"/>
    <m/>
    <s v="SORRISO"/>
    <s v="30746043015"/>
    <n v="35"/>
    <n v="0"/>
  </r>
  <r>
    <d v="2025-09-22T16:11:24"/>
    <n v="4064"/>
    <x v="50"/>
    <d v="2025-09-22T00:00:00"/>
    <d v="2026-04-30T00:00:00"/>
    <x v="1"/>
    <x v="0"/>
    <s v="510200"/>
    <x v="0"/>
    <x v="0"/>
    <s v="LT"/>
    <n v="18"/>
    <s v="0021"/>
    <s v="SAFRA 25/26"/>
    <n v="100"/>
    <n v="0"/>
    <n v="100"/>
    <n v="1800"/>
    <m/>
    <s v="SORRISO"/>
    <s v="30746043015"/>
    <n v="18"/>
    <n v="0"/>
  </r>
  <r>
    <d v="2025-09-22T16:11:24"/>
    <n v="4064"/>
    <x v="50"/>
    <d v="2025-09-22T00:00:00"/>
    <d v="2026-04-30T00:00:00"/>
    <x v="1"/>
    <x v="0"/>
    <s v="510200"/>
    <x v="1"/>
    <x v="0"/>
    <s v="LT"/>
    <n v="170"/>
    <s v="0021"/>
    <s v="SAFRA 25/26"/>
    <n v="20"/>
    <n v="0"/>
    <n v="20"/>
    <n v="3400"/>
    <m/>
    <s v="SORRISO"/>
    <s v="30746043015"/>
    <n v="170"/>
    <n v="0"/>
  </r>
  <r>
    <d v="2025-09-22T16:11:24"/>
    <n v="4064"/>
    <x v="50"/>
    <d v="2025-09-22T00:00:00"/>
    <d v="2026-04-30T00:00:00"/>
    <x v="1"/>
    <x v="0"/>
    <s v="510200"/>
    <x v="59"/>
    <x v="2"/>
    <s v="KG"/>
    <n v="280"/>
    <s v="0021"/>
    <s v="SAFRA 25/26"/>
    <n v="5"/>
    <n v="0"/>
    <n v="5"/>
    <n v="1400"/>
    <m/>
    <s v="SORRISO"/>
    <s v="30746043015"/>
    <n v="280"/>
    <n v="0"/>
  </r>
  <r>
    <d v="2025-09-22T16:11:24"/>
    <n v="4064"/>
    <x v="50"/>
    <d v="2025-09-22T00:00:00"/>
    <d v="2026-04-30T00:00:00"/>
    <x v="1"/>
    <x v="0"/>
    <s v="510200"/>
    <x v="7"/>
    <x v="0"/>
    <s v="LT"/>
    <n v="74"/>
    <s v="0021"/>
    <s v="SAFRA 25/26"/>
    <n v="20"/>
    <n v="0"/>
    <n v="20"/>
    <n v="1480"/>
    <m/>
    <s v="SORRISO"/>
    <s v="30746043015"/>
    <n v="74"/>
    <n v="0"/>
  </r>
  <r>
    <d v="2025-09-23T11:00:10"/>
    <n v="4070"/>
    <x v="51"/>
    <d v="2025-09-23T00:00:00"/>
    <d v="2026-04-30T00:00:00"/>
    <x v="5"/>
    <x v="1"/>
    <s v="510200"/>
    <x v="25"/>
    <x v="1"/>
    <s v="KG"/>
    <n v="595"/>
    <s v="5382"/>
    <s v="SAFRA 25/26"/>
    <n v="3"/>
    <n v="0"/>
    <n v="3"/>
    <n v="1785"/>
    <m/>
    <s v="SORRISO"/>
    <s v="01172373108"/>
    <n v="595"/>
    <n v="0"/>
  </r>
  <r>
    <d v="2025-09-23T11:00:10"/>
    <n v="4070"/>
    <x v="51"/>
    <d v="2025-09-23T00:00:00"/>
    <d v="2026-04-30T00:00:00"/>
    <x v="5"/>
    <x v="1"/>
    <s v="510200"/>
    <x v="14"/>
    <x v="1"/>
    <s v="KG"/>
    <n v="395"/>
    <s v="5382"/>
    <s v="SAFRA 25/26"/>
    <n v="3"/>
    <n v="0"/>
    <n v="3"/>
    <n v="1185"/>
    <m/>
    <s v="SORRISO"/>
    <s v="01172373108"/>
    <n v="395"/>
    <n v="0"/>
  </r>
  <r>
    <d v="2025-09-23T11:00:10"/>
    <n v="4070"/>
    <x v="51"/>
    <d v="2025-09-23T00:00:00"/>
    <d v="2026-04-30T00:00:00"/>
    <x v="5"/>
    <x v="1"/>
    <s v="510200"/>
    <x v="13"/>
    <x v="1"/>
    <s v="LT"/>
    <n v="45"/>
    <s v="5382"/>
    <s v="SAFRA 25/26"/>
    <n v="12"/>
    <n v="0"/>
    <n v="12"/>
    <n v="540"/>
    <m/>
    <s v="SORRISO"/>
    <s v="01172373108"/>
    <n v="45"/>
    <n v="0"/>
  </r>
  <r>
    <d v="2025-09-23T11:00:10"/>
    <n v="4070"/>
    <x v="51"/>
    <d v="2025-09-23T00:00:00"/>
    <d v="2026-04-30T00:00:00"/>
    <x v="5"/>
    <x v="1"/>
    <s v="510200"/>
    <x v="9"/>
    <x v="1"/>
    <s v="LT"/>
    <n v="46"/>
    <s v="5382"/>
    <s v="SAFRA 25/26"/>
    <n v="6"/>
    <n v="0"/>
    <n v="6"/>
    <n v="276"/>
    <m/>
    <s v="SORRISO"/>
    <s v="01172373108"/>
    <n v="46"/>
    <n v="0"/>
  </r>
  <r>
    <d v="2025-09-23T11:00:10"/>
    <n v="4070"/>
    <x v="51"/>
    <d v="2025-09-23T00:00:00"/>
    <d v="2026-04-30T00:00:00"/>
    <x v="5"/>
    <x v="1"/>
    <s v="510200"/>
    <x v="11"/>
    <x v="1"/>
    <s v="LT"/>
    <n v="341"/>
    <s v="5382"/>
    <s v="SAFRA 25/26"/>
    <n v="5"/>
    <n v="0"/>
    <n v="5"/>
    <n v="1705"/>
    <m/>
    <s v="SORRISO"/>
    <s v="01172373108"/>
    <n v="341"/>
    <n v="0"/>
  </r>
  <r>
    <d v="2025-11-06T17:13:22"/>
    <n v="4242"/>
    <x v="52"/>
    <d v="2025-11-06T00:00:00"/>
    <d v="2025-11-06T00:00:00"/>
    <x v="3"/>
    <x v="0"/>
    <s v="510200"/>
    <x v="21"/>
    <x v="2"/>
    <s v="KG"/>
    <n v="43.333333000000003"/>
    <s v="5773"/>
    <s v="SAFRA 25/26"/>
    <n v="15"/>
    <n v="0"/>
    <n v="15"/>
    <n v="649.99999500000001"/>
    <m/>
    <s v="BOA ESPERANÇA DO NORTE"/>
    <s v="63313995004"/>
    <n v="43.333333000000003"/>
    <n v="0"/>
  </r>
  <r>
    <d v="2025-10-23T14:22:58"/>
    <n v="379"/>
    <x v="53"/>
    <d v="2025-10-23T00:00:00"/>
    <d v="2026-04-30T00:00:00"/>
    <x v="13"/>
    <x v="0"/>
    <s v="510200"/>
    <x v="30"/>
    <x v="2"/>
    <s v="LT"/>
    <n v="160"/>
    <s v="248"/>
    <s v="SAFRA 25/26"/>
    <n v="2"/>
    <n v="0"/>
    <n v="2"/>
    <n v="320"/>
    <m/>
    <s v="MARCELANDIA"/>
    <s v="48887307172"/>
    <n v="160"/>
    <n v="0"/>
  </r>
  <r>
    <d v="2025-09-11T08:18:19"/>
    <n v="4024"/>
    <x v="54"/>
    <d v="2025-09-11T00:00:00"/>
    <d v="2026-03-30T00:00:00"/>
    <x v="9"/>
    <x v="0"/>
    <s v="510200"/>
    <x v="15"/>
    <x v="2"/>
    <s v="LT"/>
    <n v="140"/>
    <s v="5573"/>
    <s v="SAFRA 25/26"/>
    <n v="3"/>
    <n v="0"/>
    <n v="3"/>
    <n v="420"/>
    <m/>
    <s v="SORRISO"/>
    <s v="34911634987"/>
    <n v="140"/>
    <n v="0"/>
  </r>
  <r>
    <d v="2025-04-14T08:05:24"/>
    <n v="175"/>
    <x v="55"/>
    <d v="2025-04-14T00:00:00"/>
    <d v="2026-09-30T00:00:00"/>
    <x v="2"/>
    <x v="0"/>
    <s v="510200"/>
    <x v="32"/>
    <x v="2"/>
    <s v="TON"/>
    <n v="1330"/>
    <s v="4851"/>
    <s v="SAFRINHA 2026"/>
    <n v="100"/>
    <n v="0"/>
    <n v="100"/>
    <n v="133000"/>
    <m/>
    <s v="SANTA CARMEM"/>
    <s v="66819407068"/>
    <n v="1330"/>
    <n v="0"/>
  </r>
  <r>
    <d v="2025-12-29T16:55:49"/>
    <n v="4392"/>
    <x v="56"/>
    <d v="2025-12-29T00:00:00"/>
    <d v="2025-12-30T00:00:00"/>
    <x v="13"/>
    <x v="0"/>
    <s v="510200"/>
    <x v="21"/>
    <x v="2"/>
    <s v="KG"/>
    <n v="40"/>
    <s v="423"/>
    <s v="SAFRA 25/26"/>
    <n v="15"/>
    <n v="0"/>
    <n v="15"/>
    <n v="600"/>
    <m/>
    <s v="NOVO MUNDO"/>
    <s v="02071043952"/>
    <n v="40"/>
    <n v="0"/>
  </r>
  <r>
    <d v="2025-09-15T10:38:47"/>
    <n v="4039"/>
    <x v="57"/>
    <d v="2025-09-15T00:00:00"/>
    <d v="2026-03-30T00:00:00"/>
    <x v="3"/>
    <x v="1"/>
    <s v="510200"/>
    <x v="11"/>
    <x v="1"/>
    <s v="LT"/>
    <n v="325"/>
    <s v="5614"/>
    <s v="SAFRA 25/26"/>
    <n v="90"/>
    <n v="0"/>
    <n v="90"/>
    <n v="29250"/>
    <m/>
    <m/>
    <s v="07572351000116"/>
    <n v="325"/>
    <n v="0"/>
  </r>
  <r>
    <d v="2025-11-13T14:05:09"/>
    <n v="4264"/>
    <x v="57"/>
    <d v="2025-11-13T00:00:00"/>
    <d v="2025-12-10T00:00:00"/>
    <x v="3"/>
    <x v="1"/>
    <s v="510200"/>
    <x v="11"/>
    <x v="1"/>
    <s v="LT"/>
    <n v="325"/>
    <s v="5810"/>
    <s v="SAFRA 25/26"/>
    <n v="140"/>
    <n v="0"/>
    <n v="140"/>
    <n v="45500"/>
    <m/>
    <m/>
    <s v="07572351000116"/>
    <n v="325"/>
    <n v="0"/>
  </r>
  <r>
    <d v="2025-12-09T09:51:59"/>
    <n v="4334"/>
    <x v="57"/>
    <d v="2025-12-09T00:00:00"/>
    <d v="2026-01-15T00:00:00"/>
    <x v="0"/>
    <x v="1"/>
    <s v="510200"/>
    <x v="18"/>
    <x v="1"/>
    <s v="KG"/>
    <n v="178"/>
    <s v="5846"/>
    <s v="SAFRINHA 2026"/>
    <n v="80"/>
    <n v="0"/>
    <n v="80"/>
    <n v="14240"/>
    <m/>
    <m/>
    <s v="07572351000116"/>
    <n v="178"/>
    <n v="0"/>
  </r>
  <r>
    <d v="2025-12-19T15:18:24"/>
    <n v="4371"/>
    <x v="57"/>
    <d v="2025-12-19T00:00:00"/>
    <d v="2026-02-28T00:00:00"/>
    <x v="3"/>
    <x v="1"/>
    <s v="510200"/>
    <x v="11"/>
    <x v="1"/>
    <s v="LT"/>
    <n v="325"/>
    <s v="5908"/>
    <s v="SAFRINHA 2026"/>
    <n v="45"/>
    <n v="0"/>
    <n v="45"/>
    <n v="14625"/>
    <m/>
    <m/>
    <s v="07572351000116"/>
    <n v="325"/>
    <n v="0"/>
  </r>
  <r>
    <d v="2026-01-19T17:01:06"/>
    <n v="4462"/>
    <x v="57"/>
    <d v="2026-01-19T00:00:00"/>
    <d v="2026-03-30T00:00:00"/>
    <x v="3"/>
    <x v="0"/>
    <s v="510200"/>
    <x v="21"/>
    <x v="2"/>
    <s v="KG"/>
    <n v="40"/>
    <s v="6020"/>
    <s v="SAFRINHA 2026"/>
    <n v="510"/>
    <n v="0"/>
    <n v="510"/>
    <n v="20400"/>
    <m/>
    <m/>
    <s v="07572351000116"/>
    <n v="40"/>
    <n v="0"/>
  </r>
  <r>
    <d v="2026-02-26T16:02:30"/>
    <n v="4612"/>
    <x v="58"/>
    <d v="2026-02-26T00:00:00"/>
    <d v="2026-08-30T00:00:00"/>
    <x v="3"/>
    <x v="0"/>
    <s v="510200"/>
    <x v="73"/>
    <x v="0"/>
    <s v="KG"/>
    <n v="28"/>
    <s v="6151"/>
    <s v="SAFRINHA 2026"/>
    <n v="1400"/>
    <n v="0"/>
    <n v="1400"/>
    <n v="39200"/>
    <m/>
    <s v="SANTA CARMEM"/>
    <s v="21567370000266"/>
    <n v="28"/>
    <n v="0"/>
  </r>
  <r>
    <d v="2025-08-06T08:30:26"/>
    <n v="261"/>
    <x v="58"/>
    <d v="2025-08-06T00:00:00"/>
    <d v="2026-04-30T00:00:00"/>
    <x v="2"/>
    <x v="2"/>
    <s v="510200"/>
    <x v="25"/>
    <x v="1"/>
    <s v="KG"/>
    <n v="530"/>
    <s v="5131"/>
    <s v="SAFRA 25/26"/>
    <n v="242"/>
    <n v="0"/>
    <n v="242"/>
    <n v="128260"/>
    <m/>
    <s v="SANTA CARMEM"/>
    <s v="21567370000266"/>
    <n v="530"/>
    <n v="0"/>
  </r>
  <r>
    <d v="2025-08-06T08:30:26"/>
    <n v="261"/>
    <x v="58"/>
    <d v="2025-08-06T00:00:00"/>
    <d v="2026-04-30T00:00:00"/>
    <x v="2"/>
    <x v="2"/>
    <s v="510200"/>
    <x v="18"/>
    <x v="1"/>
    <s v="KG"/>
    <n v="175"/>
    <s v="5131"/>
    <s v="SAFRA 25/26"/>
    <n v="588"/>
    <n v="0"/>
    <n v="588"/>
    <n v="102900"/>
    <m/>
    <s v="SANTA CARMEM"/>
    <s v="21567370000266"/>
    <n v="175"/>
    <n v="0"/>
  </r>
  <r>
    <d v="2025-08-06T08:30:26"/>
    <n v="261"/>
    <x v="58"/>
    <d v="2025-08-06T00:00:00"/>
    <d v="2026-04-30T00:00:00"/>
    <x v="2"/>
    <x v="2"/>
    <s v="510200"/>
    <x v="11"/>
    <x v="1"/>
    <s v="LT"/>
    <n v="275"/>
    <s v="5131"/>
    <s v="SAFRA 25/26"/>
    <n v="519"/>
    <n v="0"/>
    <n v="519"/>
    <n v="142725"/>
    <m/>
    <s v="SANTA CARMEM"/>
    <s v="21567370000266"/>
    <n v="275"/>
    <n v="0"/>
  </r>
  <r>
    <d v="2025-08-19T08:40:53"/>
    <n v="268"/>
    <x v="58"/>
    <d v="2025-08-19T00:00:00"/>
    <d v="2026-04-30T00:00:00"/>
    <x v="2"/>
    <x v="0"/>
    <s v="510200"/>
    <x v="50"/>
    <x v="2"/>
    <s v="LT"/>
    <n v="350"/>
    <s v="5134"/>
    <s v="SAFRA 25/26"/>
    <n v="100"/>
    <n v="0"/>
    <n v="100"/>
    <n v="35000"/>
    <m/>
    <s v="SANTA CARMEM"/>
    <s v="21567370000266"/>
    <n v="350"/>
    <n v="0"/>
  </r>
  <r>
    <d v="2025-08-19T08:40:53"/>
    <n v="268"/>
    <x v="58"/>
    <d v="2025-08-19T00:00:00"/>
    <d v="2026-04-30T00:00:00"/>
    <x v="2"/>
    <x v="2"/>
    <s v="510200"/>
    <x v="9"/>
    <x v="1"/>
    <s v="LT"/>
    <n v="43"/>
    <s v="5134"/>
    <s v="SAFRA 25/26"/>
    <n v="312"/>
    <n v="0"/>
    <n v="312"/>
    <n v="13416"/>
    <m/>
    <s v="SANTA CARMEM"/>
    <s v="21567370000266"/>
    <n v="43"/>
    <n v="0"/>
  </r>
  <r>
    <d v="2025-08-19T08:40:53"/>
    <n v="268"/>
    <x v="58"/>
    <d v="2025-08-19T00:00:00"/>
    <d v="2026-04-30T00:00:00"/>
    <x v="2"/>
    <x v="2"/>
    <s v="510200"/>
    <x v="13"/>
    <x v="1"/>
    <s v="LT"/>
    <n v="36"/>
    <s v="5134"/>
    <s v="SAFRA 25/26"/>
    <n v="921"/>
    <n v="0"/>
    <n v="921"/>
    <n v="33156"/>
    <m/>
    <s v="SANTA CARMEM"/>
    <s v="21567370000266"/>
    <n v="36"/>
    <n v="0"/>
  </r>
  <r>
    <d v="2025-09-09T14:22:06"/>
    <n v="290"/>
    <x v="58"/>
    <d v="2025-09-09T00:00:00"/>
    <d v="2026-04-30T00:00:00"/>
    <x v="2"/>
    <x v="2"/>
    <s v="510200"/>
    <x v="25"/>
    <x v="1"/>
    <s v="KG"/>
    <n v="530"/>
    <s v="5149"/>
    <s v="SAFRA 25/26"/>
    <n v="43"/>
    <n v="0"/>
    <n v="43"/>
    <n v="22790"/>
    <m/>
    <s v="SANTA CARMEM"/>
    <s v="21567370000266"/>
    <n v="530"/>
    <n v="0"/>
  </r>
  <r>
    <d v="2025-09-09T14:22:06"/>
    <n v="290"/>
    <x v="58"/>
    <d v="2025-09-09T00:00:00"/>
    <d v="2026-04-30T00:00:00"/>
    <x v="2"/>
    <x v="2"/>
    <s v="510200"/>
    <x v="11"/>
    <x v="1"/>
    <s v="LT"/>
    <n v="275"/>
    <s v="5149"/>
    <s v="SAFRA 25/26"/>
    <n v="91"/>
    <n v="0"/>
    <n v="91"/>
    <n v="25025"/>
    <m/>
    <s v="SANTA CARMEM"/>
    <s v="21567370000266"/>
    <n v="275"/>
    <n v="0"/>
  </r>
  <r>
    <d v="2025-09-11T07:34:48"/>
    <n v="292"/>
    <x v="58"/>
    <d v="2025-09-11T00:00:00"/>
    <d v="2026-04-30T00:00:00"/>
    <x v="2"/>
    <x v="2"/>
    <s v="510200"/>
    <x v="10"/>
    <x v="1"/>
    <s v="LT"/>
    <n v="285"/>
    <s v="101"/>
    <s v="SAFRA 25/26"/>
    <n v="5"/>
    <n v="0"/>
    <n v="5"/>
    <n v="1425"/>
    <m/>
    <s v="SANTA CARMEM"/>
    <s v="21567370000266"/>
    <n v="285"/>
    <n v="0"/>
  </r>
  <r>
    <d v="2025-09-11T07:34:48"/>
    <n v="292"/>
    <x v="58"/>
    <d v="2025-09-11T00:00:00"/>
    <d v="2026-04-30T00:00:00"/>
    <x v="2"/>
    <x v="2"/>
    <s v="510200"/>
    <x v="18"/>
    <x v="1"/>
    <s v="KG"/>
    <n v="175"/>
    <s v="101"/>
    <s v="SAFRA 25/26"/>
    <n v="41"/>
    <n v="0"/>
    <n v="41"/>
    <n v="7175"/>
    <m/>
    <s v="SANTA CARMEM"/>
    <s v="21567370000266"/>
    <n v="175"/>
    <n v="0"/>
  </r>
  <r>
    <d v="2025-09-11T07:34:48"/>
    <n v="292"/>
    <x v="58"/>
    <d v="2025-09-11T00:00:00"/>
    <d v="2026-04-30T00:00:00"/>
    <x v="2"/>
    <x v="2"/>
    <s v="510200"/>
    <x v="11"/>
    <x v="1"/>
    <s v="LT"/>
    <n v="275"/>
    <s v="101"/>
    <s v="SAFRA 25/26"/>
    <n v="36"/>
    <n v="0"/>
    <n v="36"/>
    <n v="9900"/>
    <m/>
    <s v="SANTA CARMEM"/>
    <s v="21567370000266"/>
    <n v="275"/>
    <n v="0"/>
  </r>
  <r>
    <d v="2025-09-25T11:31:46"/>
    <n v="316"/>
    <x v="58"/>
    <d v="2025-09-25T00:00:00"/>
    <d v="2026-04-30T00:00:00"/>
    <x v="2"/>
    <x v="2"/>
    <s v="510200"/>
    <x v="13"/>
    <x v="1"/>
    <s v="LT"/>
    <n v="36"/>
    <s v="114"/>
    <s v="SAFRA 25/26"/>
    <n v="24"/>
    <n v="0"/>
    <n v="24"/>
    <n v="864"/>
    <m/>
    <s v="SANTA CARMEM"/>
    <s v="21567370000266"/>
    <n v="36"/>
    <n v="0"/>
  </r>
  <r>
    <d v="2025-10-16T15:09:02"/>
    <n v="359"/>
    <x v="58"/>
    <d v="2025-10-16T00:00:00"/>
    <d v="2026-04-30T00:00:00"/>
    <x v="2"/>
    <x v="2"/>
    <s v="510200"/>
    <x v="13"/>
    <x v="1"/>
    <s v="LT"/>
    <n v="36"/>
    <s v="86"/>
    <s v="SAFRA 25/26"/>
    <n v="240"/>
    <n v="0"/>
    <n v="240"/>
    <n v="8640"/>
    <m/>
    <s v="SANTA CARMEM"/>
    <s v="21567370000266"/>
    <n v="36"/>
    <n v="0"/>
  </r>
  <r>
    <d v="2026-01-07T07:30:35"/>
    <n v="480"/>
    <x v="58"/>
    <d v="2026-01-07T00:00:00"/>
    <d v="2026-08-30T00:00:00"/>
    <x v="2"/>
    <x v="2"/>
    <s v="510200"/>
    <x v="18"/>
    <x v="1"/>
    <s v="KG"/>
    <n v="175"/>
    <s v="174"/>
    <s v="SAFRINHA 2026"/>
    <n v="124"/>
    <n v="0"/>
    <n v="124"/>
    <n v="21700"/>
    <m/>
    <s v="SANTA CARMEM"/>
    <s v="21567370000266"/>
    <n v="175"/>
    <n v="0"/>
  </r>
  <r>
    <d v="2026-01-07T07:49:14"/>
    <n v="483"/>
    <x v="58"/>
    <d v="2026-01-07T00:00:00"/>
    <d v="2026-08-30T00:00:00"/>
    <x v="10"/>
    <x v="0"/>
    <s v="510200"/>
    <x v="50"/>
    <x v="2"/>
    <s v="LT"/>
    <n v="350"/>
    <s v="474"/>
    <s v="SAFRINHA 2026"/>
    <n v="15"/>
    <n v="0"/>
    <n v="15"/>
    <n v="5250"/>
    <m/>
    <s v="SANTA CARMEM"/>
    <s v="21567370000266"/>
    <n v="350"/>
    <n v="0"/>
  </r>
  <r>
    <d v="2026-01-09T13:14:46"/>
    <n v="484"/>
    <x v="58"/>
    <d v="2026-01-09T00:00:00"/>
    <d v="2026-08-30T00:00:00"/>
    <x v="2"/>
    <x v="2"/>
    <s v="510200"/>
    <x v="11"/>
    <x v="1"/>
    <s v="LT"/>
    <n v="275"/>
    <s v="126"/>
    <s v="SAFRINHA 2026"/>
    <n v="97"/>
    <n v="0"/>
    <n v="97"/>
    <n v="26675"/>
    <m/>
    <s v="SANTA CARMEM"/>
    <s v="21567370000266"/>
    <n v="275"/>
    <n v="0"/>
  </r>
  <r>
    <d v="2026-01-09T13:14:46"/>
    <n v="484"/>
    <x v="58"/>
    <d v="2026-01-09T00:00:00"/>
    <d v="2026-08-30T00:00:00"/>
    <x v="2"/>
    <x v="2"/>
    <s v="510200"/>
    <x v="25"/>
    <x v="1"/>
    <s v="KG"/>
    <n v="530"/>
    <s v="126"/>
    <s v="SAFRINHA 2026"/>
    <n v="82"/>
    <n v="0"/>
    <n v="82"/>
    <n v="43460"/>
    <m/>
    <s v="SANTA CARMEM"/>
    <s v="21567370000266"/>
    <n v="530"/>
    <n v="0"/>
  </r>
  <r>
    <d v="2026-01-09T13:14:46"/>
    <n v="484"/>
    <x v="58"/>
    <d v="2026-01-09T00:00:00"/>
    <d v="2026-08-30T00:00:00"/>
    <x v="2"/>
    <x v="2"/>
    <s v="510200"/>
    <x v="18"/>
    <x v="1"/>
    <s v="KG"/>
    <n v="175"/>
    <s v="126"/>
    <s v="SAFRINHA 2026"/>
    <n v="130"/>
    <n v="0"/>
    <n v="130"/>
    <n v="22750"/>
    <m/>
    <s v="SANTA CARMEM"/>
    <s v="21567370000266"/>
    <n v="175"/>
    <n v="0"/>
  </r>
  <r>
    <d v="2026-01-09T13:17:22"/>
    <n v="485"/>
    <x v="58"/>
    <d v="2026-01-09T00:00:00"/>
    <d v="2026-08-30T00:00:00"/>
    <x v="2"/>
    <x v="2"/>
    <s v="510200"/>
    <x v="18"/>
    <x v="1"/>
    <s v="KG"/>
    <n v="175"/>
    <s v="127"/>
    <s v="SAFRINHA 2026"/>
    <n v="19"/>
    <n v="0"/>
    <n v="19"/>
    <n v="3325"/>
    <m/>
    <s v="SANTA CARMEM"/>
    <s v="21567370000266"/>
    <n v="175"/>
    <n v="0"/>
  </r>
  <r>
    <d v="2026-01-09T13:27:35"/>
    <n v="488"/>
    <x v="58"/>
    <d v="2026-01-09T00:00:00"/>
    <d v="2026-08-30T00:00:00"/>
    <x v="2"/>
    <x v="2"/>
    <s v="510200"/>
    <x v="9"/>
    <x v="1"/>
    <s v="LT"/>
    <n v="40"/>
    <s v="128"/>
    <s v="SAFRINHA 2026"/>
    <n v="81"/>
    <n v="0"/>
    <n v="81"/>
    <n v="3240"/>
    <m/>
    <s v="SANTA CARMEM"/>
    <s v="21567370000266"/>
    <n v="40"/>
    <n v="0"/>
  </r>
  <r>
    <d v="2026-02-09T14:36:35"/>
    <n v="538"/>
    <x v="58"/>
    <d v="2026-02-09T00:00:00"/>
    <d v="2026-08-30T00:00:00"/>
    <x v="2"/>
    <x v="2"/>
    <s v="510200"/>
    <x v="18"/>
    <x v="1"/>
    <s v="KG"/>
    <n v="175"/>
    <s v="434"/>
    <s v="SAFRINHA 2026"/>
    <n v="9"/>
    <n v="0"/>
    <n v="9"/>
    <n v="1575"/>
    <m/>
    <m/>
    <s v="21567370000266"/>
    <n v="175"/>
    <n v="0"/>
  </r>
  <r>
    <d v="2025-09-18T10:39:14"/>
    <n v="4055"/>
    <x v="59"/>
    <d v="2025-09-17T00:00:00"/>
    <d v="2026-03-30T00:00:00"/>
    <x v="5"/>
    <x v="0"/>
    <s v="510200"/>
    <x v="6"/>
    <x v="0"/>
    <s v="LT"/>
    <n v="65"/>
    <s v="5379"/>
    <s v="SAFRA 25/26"/>
    <n v="300"/>
    <n v="0"/>
    <n v="300"/>
    <n v="19500"/>
    <m/>
    <m/>
    <s v="36891034000160"/>
    <n v="65"/>
    <n v="0"/>
  </r>
  <r>
    <d v="2025-11-26T15:01:03"/>
    <n v="4304"/>
    <x v="59"/>
    <d v="2025-11-26T00:00:00"/>
    <d v="2026-03-30T00:00:00"/>
    <x v="5"/>
    <x v="0"/>
    <s v="510200"/>
    <x v="6"/>
    <x v="0"/>
    <s v="LT"/>
    <n v="65"/>
    <s v="5784"/>
    <s v="SAFRA 25/26"/>
    <n v="120"/>
    <n v="0"/>
    <n v="120"/>
    <n v="7800"/>
    <m/>
    <m/>
    <s v="36891034000160"/>
    <n v="65"/>
    <n v="0"/>
  </r>
  <r>
    <d v="2025-09-01T15:43:43"/>
    <n v="4007"/>
    <x v="60"/>
    <d v="2025-09-01T00:00:00"/>
    <d v="2026-03-30T00:00:00"/>
    <x v="7"/>
    <x v="1"/>
    <s v="510200"/>
    <x v="18"/>
    <x v="1"/>
    <s v="KG"/>
    <n v="190"/>
    <s v="5450"/>
    <s v="SAFRA 25/26"/>
    <n v="55"/>
    <n v="0"/>
    <n v="55"/>
    <n v="10450"/>
    <m/>
    <s v="SANTA CARMEM"/>
    <s v="62104012953"/>
    <n v="190"/>
    <n v="0"/>
  </r>
  <r>
    <d v="2025-09-01T15:43:43"/>
    <n v="4007"/>
    <x v="60"/>
    <d v="2025-09-01T00:00:00"/>
    <d v="2026-03-30T00:00:00"/>
    <x v="7"/>
    <x v="1"/>
    <s v="510200"/>
    <x v="9"/>
    <x v="1"/>
    <s v="LT"/>
    <n v="45"/>
    <s v="5450"/>
    <s v="SAFRA 25/26"/>
    <n v="57"/>
    <n v="0"/>
    <n v="57"/>
    <n v="2565"/>
    <m/>
    <s v="SANTA CARMEM"/>
    <s v="62104012953"/>
    <n v="45"/>
    <n v="0"/>
  </r>
  <r>
    <d v="2025-09-01T15:43:43"/>
    <n v="4007"/>
    <x v="60"/>
    <d v="2025-09-01T00:00:00"/>
    <d v="2026-03-30T00:00:00"/>
    <x v="7"/>
    <x v="1"/>
    <s v="510200"/>
    <x v="10"/>
    <x v="1"/>
    <s v="LT"/>
    <n v="340"/>
    <s v="5450"/>
    <s v="SAFRA 25/26"/>
    <n v="28"/>
    <n v="0"/>
    <n v="28"/>
    <n v="9520"/>
    <m/>
    <s v="SANTA CARMEM"/>
    <s v="62104012953"/>
    <n v="340"/>
    <n v="0"/>
  </r>
  <r>
    <d v="2025-09-01T15:43:43"/>
    <n v="4007"/>
    <x v="60"/>
    <d v="2025-09-01T00:00:00"/>
    <d v="2026-03-30T00:00:00"/>
    <x v="7"/>
    <x v="1"/>
    <s v="510200"/>
    <x v="11"/>
    <x v="1"/>
    <s v="LT"/>
    <n v="340"/>
    <s v="5450"/>
    <s v="SAFRA 25/26"/>
    <n v="28"/>
    <n v="0"/>
    <n v="28"/>
    <n v="9520"/>
    <m/>
    <s v="SANTA CARMEM"/>
    <s v="62104012953"/>
    <n v="340"/>
    <n v="0"/>
  </r>
  <r>
    <d v="2025-09-01T15:43:43"/>
    <n v="4007"/>
    <x v="60"/>
    <d v="2025-09-01T00:00:00"/>
    <d v="2026-03-30T00:00:00"/>
    <x v="7"/>
    <x v="0"/>
    <s v="510200"/>
    <x v="12"/>
    <x v="0"/>
    <s v="LT"/>
    <n v="240"/>
    <s v="5450"/>
    <s v="SAFRA 25/26"/>
    <n v="55"/>
    <n v="0"/>
    <n v="55"/>
    <n v="13200"/>
    <m/>
    <s v="SANTA CARMEM"/>
    <s v="62104012953"/>
    <n v="240"/>
    <n v="0"/>
  </r>
  <r>
    <d v="2025-09-01T15:43:43"/>
    <n v="4007"/>
    <x v="60"/>
    <d v="2025-09-01T00:00:00"/>
    <d v="2026-03-30T00:00:00"/>
    <x v="7"/>
    <x v="1"/>
    <s v="510200"/>
    <x v="13"/>
    <x v="1"/>
    <s v="LT"/>
    <n v="42"/>
    <s v="5450"/>
    <s v="SAFRA 25/26"/>
    <n v="111"/>
    <n v="0"/>
    <n v="111"/>
    <n v="4662"/>
    <m/>
    <s v="SANTA CARMEM"/>
    <s v="62104012953"/>
    <n v="42"/>
    <n v="0"/>
  </r>
  <r>
    <d v="2025-09-11T07:48:17"/>
    <n v="4023"/>
    <x v="60"/>
    <d v="2025-09-11T00:00:00"/>
    <d v="2026-03-30T00:00:00"/>
    <x v="7"/>
    <x v="1"/>
    <s v="510200"/>
    <x v="13"/>
    <x v="1"/>
    <s v="LT"/>
    <n v="42"/>
    <s v="5572"/>
    <s v="SAFRA 25/26"/>
    <n v="60"/>
    <n v="0"/>
    <n v="60"/>
    <n v="2520"/>
    <m/>
    <s v="SANTA CARMEM"/>
    <s v="62104012953"/>
    <n v="42"/>
    <n v="0"/>
  </r>
  <r>
    <d v="2025-09-18T09:58:11"/>
    <n v="4053"/>
    <x v="60"/>
    <d v="2025-09-18T00:00:00"/>
    <d v="2026-03-30T00:00:00"/>
    <x v="7"/>
    <x v="1"/>
    <s v="510200"/>
    <x v="10"/>
    <x v="1"/>
    <s v="LT"/>
    <n v="340"/>
    <s v="5576"/>
    <s v="SAFRA 25/26"/>
    <n v="20"/>
    <n v="0"/>
    <n v="20"/>
    <n v="6800"/>
    <m/>
    <s v="SANTA CARMEM"/>
    <s v="62104012953"/>
    <n v="340"/>
    <n v="0"/>
  </r>
  <r>
    <d v="2025-09-18T09:58:11"/>
    <n v="4053"/>
    <x v="60"/>
    <d v="2025-09-18T00:00:00"/>
    <d v="2026-03-30T00:00:00"/>
    <x v="7"/>
    <x v="1"/>
    <s v="510200"/>
    <x v="18"/>
    <x v="1"/>
    <s v="KG"/>
    <n v="190"/>
    <s v="5576"/>
    <s v="SAFRA 25/26"/>
    <n v="40"/>
    <n v="0"/>
    <n v="40"/>
    <n v="7600"/>
    <m/>
    <s v="SANTA CARMEM"/>
    <s v="62104012953"/>
    <n v="190"/>
    <n v="0"/>
  </r>
  <r>
    <d v="2025-09-18T09:58:11"/>
    <n v="4053"/>
    <x v="60"/>
    <d v="2025-09-18T00:00:00"/>
    <d v="2026-03-30T00:00:00"/>
    <x v="7"/>
    <x v="1"/>
    <s v="510200"/>
    <x v="11"/>
    <x v="1"/>
    <s v="LT"/>
    <n v="340"/>
    <s v="5576"/>
    <s v="SAFRA 25/26"/>
    <n v="20"/>
    <n v="0"/>
    <n v="20"/>
    <n v="6800"/>
    <m/>
    <s v="SANTA CARMEM"/>
    <s v="62104012953"/>
    <n v="340"/>
    <n v="0"/>
  </r>
  <r>
    <d v="2025-09-18T09:58:11"/>
    <n v="4053"/>
    <x v="60"/>
    <d v="2025-09-18T00:00:00"/>
    <d v="2026-03-30T00:00:00"/>
    <x v="7"/>
    <x v="1"/>
    <s v="510200"/>
    <x v="9"/>
    <x v="1"/>
    <s v="LT"/>
    <n v="45"/>
    <s v="5576"/>
    <s v="SAFRA 25/26"/>
    <n v="42"/>
    <n v="0"/>
    <n v="42"/>
    <n v="1890"/>
    <m/>
    <s v="SANTA CARMEM"/>
    <s v="62104012953"/>
    <n v="45"/>
    <n v="0"/>
  </r>
  <r>
    <d v="2025-09-18T09:58:11"/>
    <n v="4053"/>
    <x v="60"/>
    <d v="2025-09-18T00:00:00"/>
    <d v="2026-03-30T00:00:00"/>
    <x v="7"/>
    <x v="1"/>
    <s v="510200"/>
    <x v="13"/>
    <x v="1"/>
    <s v="LT"/>
    <n v="42"/>
    <s v="5576"/>
    <s v="SAFRA 25/26"/>
    <n v="96"/>
    <n v="0"/>
    <n v="96"/>
    <n v="4032"/>
    <m/>
    <s v="SANTA CARMEM"/>
    <s v="62104012953"/>
    <n v="42"/>
    <n v="0"/>
  </r>
  <r>
    <d v="2025-09-18T09:58:11"/>
    <n v="4053"/>
    <x v="60"/>
    <d v="2025-09-18T00:00:00"/>
    <d v="2026-03-30T00:00:00"/>
    <x v="7"/>
    <x v="0"/>
    <s v="510200"/>
    <x v="12"/>
    <x v="0"/>
    <s v="LT"/>
    <n v="240"/>
    <s v="5576"/>
    <s v="SAFRA 25/26"/>
    <n v="40"/>
    <n v="0"/>
    <n v="40"/>
    <n v="9600"/>
    <m/>
    <s v="SANTA CARMEM"/>
    <s v="62104012953"/>
    <n v="240"/>
    <n v="0"/>
  </r>
  <r>
    <d v="2025-12-01T08:23:40"/>
    <n v="4312"/>
    <x v="60"/>
    <d v="2025-12-01T00:00:00"/>
    <d v="2026-03-30T00:00:00"/>
    <x v="7"/>
    <x v="0"/>
    <s v="510200"/>
    <x v="38"/>
    <x v="2"/>
    <s v="LT"/>
    <n v="35"/>
    <s v="5595"/>
    <s v="SAFRA 25/26"/>
    <n v="200"/>
    <n v="0"/>
    <n v="200"/>
    <n v="7000"/>
    <m/>
    <s v="SANTA CARMEM"/>
    <s v="62104012953"/>
    <n v="35"/>
    <n v="0"/>
  </r>
  <r>
    <d v="2026-01-02T09:09:38"/>
    <n v="4401"/>
    <x v="60"/>
    <d v="2026-01-02T00:00:00"/>
    <d v="2026-08-30T00:00:00"/>
    <x v="7"/>
    <x v="1"/>
    <s v="510200"/>
    <x v="11"/>
    <x v="1"/>
    <s v="LT"/>
    <n v="340"/>
    <s v="5878"/>
    <s v="SAFRINHA 2026"/>
    <n v="27"/>
    <n v="0"/>
    <n v="27"/>
    <n v="9180"/>
    <m/>
    <s v="SANTA CARMEM"/>
    <s v="62104012953"/>
    <n v="340"/>
    <n v="0"/>
  </r>
  <r>
    <d v="2026-01-02T09:09:38"/>
    <n v="4401"/>
    <x v="60"/>
    <d v="2026-01-02T00:00:00"/>
    <d v="2026-08-30T00:00:00"/>
    <x v="7"/>
    <x v="1"/>
    <s v="510200"/>
    <x v="10"/>
    <x v="1"/>
    <s v="LT"/>
    <n v="340"/>
    <s v="5878"/>
    <s v="SAFRINHA 2026"/>
    <n v="27"/>
    <n v="0"/>
    <n v="27"/>
    <n v="9180"/>
    <m/>
    <s v="SANTA CARMEM"/>
    <s v="62104012953"/>
    <n v="340"/>
    <n v="0"/>
  </r>
  <r>
    <d v="2026-01-02T09:09:38"/>
    <n v="4401"/>
    <x v="60"/>
    <d v="2026-01-02T00:00:00"/>
    <d v="2026-08-30T00:00:00"/>
    <x v="7"/>
    <x v="1"/>
    <s v="510200"/>
    <x v="18"/>
    <x v="1"/>
    <s v="KG"/>
    <n v="190"/>
    <s v="5878"/>
    <s v="SAFRINHA 2026"/>
    <n v="58"/>
    <n v="0"/>
    <n v="58"/>
    <n v="11020"/>
    <m/>
    <s v="SANTA CARMEM"/>
    <s v="62104012953"/>
    <n v="190"/>
    <n v="0"/>
  </r>
  <r>
    <d v="2026-01-02T09:09:38"/>
    <n v="4401"/>
    <x v="60"/>
    <d v="2026-01-02T00:00:00"/>
    <d v="2026-08-30T00:00:00"/>
    <x v="7"/>
    <x v="0"/>
    <s v="510200"/>
    <x v="12"/>
    <x v="0"/>
    <s v="LT"/>
    <n v="240"/>
    <s v="5878"/>
    <s v="SAFRINHA 2026"/>
    <n v="55"/>
    <n v="0"/>
    <n v="55"/>
    <n v="13200"/>
    <m/>
    <s v="SANTA CARMEM"/>
    <s v="62104012953"/>
    <n v="240"/>
    <n v="0"/>
  </r>
  <r>
    <d v="2026-01-02T09:09:38"/>
    <n v="4401"/>
    <x v="60"/>
    <d v="2026-01-02T00:00:00"/>
    <d v="2026-08-30T00:00:00"/>
    <x v="7"/>
    <x v="1"/>
    <s v="510200"/>
    <x v="9"/>
    <x v="1"/>
    <s v="LT"/>
    <n v="52"/>
    <s v="5878"/>
    <s v="SAFRINHA 2026"/>
    <n v="126"/>
    <n v="0"/>
    <n v="126"/>
    <n v="6552"/>
    <m/>
    <s v="SANTA CARMEM"/>
    <s v="62104012953"/>
    <n v="52"/>
    <n v="0"/>
  </r>
  <r>
    <d v="2026-01-02T09:09:38"/>
    <n v="4401"/>
    <x v="60"/>
    <d v="2026-01-02T00:00:00"/>
    <d v="2026-08-30T00:00:00"/>
    <x v="7"/>
    <x v="0"/>
    <s v="510200"/>
    <x v="1"/>
    <x v="0"/>
    <s v="LT"/>
    <n v="165"/>
    <s v="5878"/>
    <s v="SAFRINHA 2026"/>
    <n v="80"/>
    <n v="0"/>
    <n v="80"/>
    <n v="13200"/>
    <m/>
    <s v="SANTA CARMEM"/>
    <s v="62104012953"/>
    <n v="165"/>
    <n v="0"/>
  </r>
  <r>
    <d v="2026-01-20T15:24:11"/>
    <n v="4466"/>
    <x v="60"/>
    <d v="2026-01-20T00:00:00"/>
    <d v="2026-08-30T00:00:00"/>
    <x v="7"/>
    <x v="1"/>
    <s v="510200"/>
    <x v="11"/>
    <x v="1"/>
    <s v="LT"/>
    <n v="340"/>
    <s v="5884"/>
    <s v="SAFRINHA 2026"/>
    <n v="15"/>
    <n v="0"/>
    <n v="15"/>
    <n v="5100"/>
    <m/>
    <s v="SANTA CARMEM"/>
    <s v="62104012953"/>
    <n v="340"/>
    <n v="0"/>
  </r>
  <r>
    <d v="2026-01-20T15:24:11"/>
    <n v="4466"/>
    <x v="60"/>
    <d v="2026-01-20T00:00:00"/>
    <d v="2026-08-30T00:00:00"/>
    <x v="7"/>
    <x v="0"/>
    <s v="510200"/>
    <x v="12"/>
    <x v="0"/>
    <s v="LT"/>
    <n v="240"/>
    <s v="5884"/>
    <s v="SAFRINHA 2026"/>
    <n v="30"/>
    <n v="0"/>
    <n v="30"/>
    <n v="7200"/>
    <m/>
    <s v="SANTA CARMEM"/>
    <s v="62104012953"/>
    <n v="240"/>
    <n v="0"/>
  </r>
  <r>
    <d v="2026-01-20T15:24:11"/>
    <n v="4466"/>
    <x v="60"/>
    <d v="2026-01-20T00:00:00"/>
    <d v="2026-08-30T00:00:00"/>
    <x v="7"/>
    <x v="1"/>
    <s v="510200"/>
    <x v="9"/>
    <x v="1"/>
    <s v="LT"/>
    <n v="52"/>
    <s v="5884"/>
    <s v="SAFRINHA 2026"/>
    <n v="36"/>
    <n v="0"/>
    <n v="36"/>
    <n v="1872"/>
    <m/>
    <s v="SANTA CARMEM"/>
    <s v="62104012953"/>
    <n v="52"/>
    <n v="0"/>
  </r>
  <r>
    <d v="2026-01-20T15:24:11"/>
    <n v="4466"/>
    <x v="60"/>
    <d v="2026-01-20T00:00:00"/>
    <d v="2026-08-30T00:00:00"/>
    <x v="7"/>
    <x v="1"/>
    <s v="510200"/>
    <x v="18"/>
    <x v="1"/>
    <s v="KG"/>
    <n v="190"/>
    <s v="5884"/>
    <s v="SAFRINHA 2026"/>
    <n v="36"/>
    <n v="0"/>
    <n v="36"/>
    <n v="6840"/>
    <m/>
    <s v="SANTA CARMEM"/>
    <s v="62104012953"/>
    <n v="190"/>
    <n v="0"/>
  </r>
  <r>
    <d v="2026-01-20T15:24:11"/>
    <n v="4466"/>
    <x v="60"/>
    <d v="2026-01-20T00:00:00"/>
    <d v="2026-08-30T00:00:00"/>
    <x v="7"/>
    <x v="1"/>
    <s v="510200"/>
    <x v="10"/>
    <x v="1"/>
    <s v="LT"/>
    <n v="340"/>
    <s v="5884"/>
    <s v="SAFRINHA 2026"/>
    <n v="15"/>
    <n v="0"/>
    <n v="15"/>
    <n v="5100"/>
    <m/>
    <s v="SANTA CARMEM"/>
    <s v="62104012953"/>
    <n v="340"/>
    <n v="0"/>
  </r>
  <r>
    <d v="2026-01-21T07:55:34"/>
    <n v="4471"/>
    <x v="60"/>
    <d v="2026-01-21T00:00:00"/>
    <d v="2026-08-30T00:00:00"/>
    <x v="7"/>
    <x v="0"/>
    <s v="510200"/>
    <x v="6"/>
    <x v="0"/>
    <s v="LT"/>
    <n v="70"/>
    <s v="5885"/>
    <s v="SAFRINHA 2026"/>
    <n v="40"/>
    <n v="0"/>
    <n v="40"/>
    <n v="2800"/>
    <m/>
    <s v="SANTA CARMEM"/>
    <s v="62104012953"/>
    <n v="70"/>
    <n v="0"/>
  </r>
  <r>
    <d v="2026-01-21T09:08:17"/>
    <n v="4472"/>
    <x v="60"/>
    <d v="2026-01-21T00:00:00"/>
    <d v="2026-08-30T00:00:00"/>
    <x v="7"/>
    <x v="1"/>
    <s v="510200"/>
    <x v="9"/>
    <x v="1"/>
    <s v="LT"/>
    <n v="52"/>
    <s v="6023"/>
    <s v="SAFRINHA 2026"/>
    <n v="27"/>
    <n v="0"/>
    <n v="27"/>
    <n v="1404"/>
    <m/>
    <s v="SANTA CARMEM"/>
    <s v="62104012953"/>
    <n v="52"/>
    <n v="0"/>
  </r>
  <r>
    <d v="2026-01-22T07:43:05"/>
    <n v="4481"/>
    <x v="60"/>
    <d v="2026-01-22T00:00:00"/>
    <d v="2026-08-30T00:00:00"/>
    <x v="7"/>
    <x v="1"/>
    <s v="510200"/>
    <x v="74"/>
    <x v="1"/>
    <s v="LT"/>
    <n v="45"/>
    <s v="5886"/>
    <s v="SAFRINHA 2026"/>
    <n v="40"/>
    <n v="0"/>
    <n v="40"/>
    <n v="1800"/>
    <m/>
    <s v="SANTA CARMEM"/>
    <s v="62104012953"/>
    <n v="45"/>
    <n v="0"/>
  </r>
  <r>
    <d v="2026-02-12T11:11:48"/>
    <n v="4558"/>
    <x v="60"/>
    <d v="2026-02-12T00:00:00"/>
    <d v="2026-08-30T00:00:00"/>
    <x v="7"/>
    <x v="1"/>
    <s v="510200"/>
    <x v="11"/>
    <x v="1"/>
    <s v="LT"/>
    <n v="340"/>
    <s v="5892"/>
    <s v="SAFRINHA 2026"/>
    <n v="1"/>
    <n v="0"/>
    <n v="1"/>
    <n v="340"/>
    <m/>
    <s v="SANTA CARMEM"/>
    <s v="62104012953"/>
    <n v="340"/>
    <n v="0"/>
  </r>
  <r>
    <d v="2026-02-12T11:11:48"/>
    <n v="4558"/>
    <x v="60"/>
    <d v="2026-02-12T00:00:00"/>
    <d v="2026-08-30T00:00:00"/>
    <x v="7"/>
    <x v="0"/>
    <s v="510200"/>
    <x v="1"/>
    <x v="0"/>
    <s v="LT"/>
    <n v="165"/>
    <s v="5892"/>
    <s v="SAFRINHA 2026"/>
    <n v="60"/>
    <n v="0"/>
    <n v="60"/>
    <n v="9900"/>
    <m/>
    <s v="SANTA CARMEM"/>
    <s v="62104012953"/>
    <n v="165"/>
    <n v="0"/>
  </r>
  <r>
    <d v="2026-02-12T11:11:48"/>
    <n v="4558"/>
    <x v="60"/>
    <d v="2026-02-12T00:00:00"/>
    <d v="2026-08-30T00:00:00"/>
    <x v="7"/>
    <x v="0"/>
    <s v="510200"/>
    <x v="75"/>
    <x v="2"/>
    <s v="LT"/>
    <n v="54"/>
    <s v="5892"/>
    <s v="SAFRINHA 2026"/>
    <n v="24"/>
    <n v="0"/>
    <n v="24"/>
    <n v="1296"/>
    <m/>
    <s v="SANTA CARMEM"/>
    <s v="62104012953"/>
    <n v="54"/>
    <n v="0"/>
  </r>
  <r>
    <d v="2026-02-12T11:11:48"/>
    <n v="4558"/>
    <x v="60"/>
    <d v="2026-02-12T00:00:00"/>
    <d v="2026-08-30T00:00:00"/>
    <x v="7"/>
    <x v="1"/>
    <s v="510200"/>
    <x v="9"/>
    <x v="1"/>
    <s v="LT"/>
    <n v="52"/>
    <s v="5892"/>
    <s v="SAFRINHA 2026"/>
    <n v="3"/>
    <n v="0"/>
    <n v="3"/>
    <n v="156"/>
    <m/>
    <s v="SANTA CARMEM"/>
    <s v="62104012953"/>
    <n v="52"/>
    <n v="0"/>
  </r>
  <r>
    <d v="2026-02-12T11:11:48"/>
    <n v="4558"/>
    <x v="60"/>
    <d v="2026-02-12T00:00:00"/>
    <d v="2026-08-30T00:00:00"/>
    <x v="7"/>
    <x v="1"/>
    <s v="510200"/>
    <x v="10"/>
    <x v="1"/>
    <s v="LT"/>
    <n v="340"/>
    <s v="5892"/>
    <s v="SAFRINHA 2026"/>
    <n v="1"/>
    <n v="0"/>
    <n v="1"/>
    <n v="340"/>
    <m/>
    <s v="SANTA CARMEM"/>
    <s v="62104012953"/>
    <n v="340"/>
    <n v="0"/>
  </r>
  <r>
    <d v="2025-04-11T13:25:40"/>
    <n v="3805"/>
    <x v="61"/>
    <d v="2025-04-07T00:00:00"/>
    <d v="2026-04-30T00:00:00"/>
    <x v="5"/>
    <x v="0"/>
    <s v="510200"/>
    <x v="32"/>
    <x v="2"/>
    <s v="TON"/>
    <n v="1667"/>
    <s v="5113"/>
    <s v="SAFRA 25/26"/>
    <n v="40"/>
    <n v="0"/>
    <n v="40"/>
    <n v="66680"/>
    <m/>
    <s v="NOVA UBIRATA"/>
    <s v="07616241980"/>
    <n v="1667"/>
    <n v="0"/>
  </r>
  <r>
    <d v="2025-09-11T13:05:20"/>
    <n v="4031"/>
    <x v="62"/>
    <d v="2025-09-11T00:00:00"/>
    <d v="2025-10-31T00:00:00"/>
    <x v="0"/>
    <x v="1"/>
    <s v="510200"/>
    <x v="10"/>
    <x v="1"/>
    <s v="LT"/>
    <n v="290.15625"/>
    <s v="5540"/>
    <s v="SAFRA 25/26"/>
    <n v="18"/>
    <n v="0"/>
    <n v="18"/>
    <n v="5222.8125"/>
    <m/>
    <s v="JUINA"/>
    <s v="02345776145"/>
    <n v="290.15625"/>
    <n v="0"/>
  </r>
  <r>
    <d v="2025-09-11T13:05:20"/>
    <n v="4031"/>
    <x v="62"/>
    <d v="2025-09-11T00:00:00"/>
    <d v="2025-10-31T00:00:00"/>
    <x v="0"/>
    <x v="1"/>
    <s v="510200"/>
    <x v="18"/>
    <x v="1"/>
    <s v="KG"/>
    <n v="169.257812"/>
    <s v="5540"/>
    <s v="SAFRA 25/26"/>
    <n v="36"/>
    <n v="0"/>
    <n v="36"/>
    <n v="6093.2812320000003"/>
    <m/>
    <s v="JUINA"/>
    <s v="02345776145"/>
    <n v="169.257812"/>
    <n v="0"/>
  </r>
  <r>
    <d v="2025-09-11T13:05:20"/>
    <n v="4031"/>
    <x v="62"/>
    <d v="2025-09-11T00:00:00"/>
    <d v="2025-10-31T00:00:00"/>
    <x v="0"/>
    <x v="1"/>
    <s v="510200"/>
    <x v="9"/>
    <x v="1"/>
    <s v="LT"/>
    <n v="46.747396000000002"/>
    <s v="5540"/>
    <s v="SAFRA 25/26"/>
    <n v="36"/>
    <n v="0"/>
    <n v="36"/>
    <n v="1682.906256"/>
    <m/>
    <s v="JUINA"/>
    <s v="02345776145"/>
    <n v="46.747396000000002"/>
    <n v="0"/>
  </r>
  <r>
    <d v="2026-01-12T09:39:50"/>
    <n v="4428"/>
    <x v="62"/>
    <d v="2026-01-12T00:00:00"/>
    <d v="2026-08-30T00:00:00"/>
    <x v="0"/>
    <x v="1"/>
    <s v="510200"/>
    <x v="9"/>
    <x v="1"/>
    <s v="LT"/>
    <n v="46.75"/>
    <s v="6007"/>
    <s v="SAFRINHA 2026"/>
    <n v="12"/>
    <n v="0"/>
    <n v="12"/>
    <n v="561"/>
    <m/>
    <s v="JUINA"/>
    <s v="02345776145"/>
    <n v="46.75"/>
    <n v="0"/>
  </r>
  <r>
    <d v="2026-01-12T09:39:50"/>
    <n v="4428"/>
    <x v="62"/>
    <d v="2026-01-12T00:00:00"/>
    <d v="2026-08-30T00:00:00"/>
    <x v="0"/>
    <x v="1"/>
    <s v="510200"/>
    <x v="14"/>
    <x v="1"/>
    <s v="KG"/>
    <n v="385"/>
    <s v="6007"/>
    <s v="SAFRINHA 2026"/>
    <n v="5"/>
    <n v="0"/>
    <n v="5"/>
    <n v="1925"/>
    <m/>
    <s v="JUINA"/>
    <s v="02345776145"/>
    <n v="385"/>
    <n v="0"/>
  </r>
  <r>
    <d v="2025-06-02T08:15:47"/>
    <n v="3871"/>
    <x v="63"/>
    <d v="2025-06-02T00:00:00"/>
    <d v="2026-04-30T00:00:00"/>
    <x v="5"/>
    <x v="0"/>
    <s v="510200"/>
    <x v="26"/>
    <x v="2"/>
    <s v="TON"/>
    <n v="1900"/>
    <s v="5123"/>
    <s v="SAFRA 25/26"/>
    <n v="3"/>
    <n v="0"/>
    <n v="3"/>
    <n v="5700"/>
    <m/>
    <s v="SORRISO"/>
    <s v="33150842034"/>
    <n v="1900"/>
    <n v="0"/>
  </r>
  <r>
    <d v="2025-07-10T13:50:02"/>
    <n v="244"/>
    <x v="64"/>
    <d v="2025-07-10T00:00:00"/>
    <d v="2026-04-30T00:00:00"/>
    <x v="2"/>
    <x v="2"/>
    <s v="610200"/>
    <x v="9"/>
    <x v="1"/>
    <s v="LT"/>
    <n v="45"/>
    <s v="5174"/>
    <s v="SAFRA 25/26"/>
    <n v="96"/>
    <n v="0"/>
    <n v="96"/>
    <n v="4320"/>
    <m/>
    <s v="NOVO PROGRESSO"/>
    <s v="06307262133"/>
    <n v="45"/>
    <n v="0"/>
  </r>
  <r>
    <d v="2025-07-10T13:50:02"/>
    <n v="244"/>
    <x v="64"/>
    <d v="2025-07-10T00:00:00"/>
    <d v="2026-04-30T00:00:00"/>
    <x v="2"/>
    <x v="2"/>
    <s v="610200"/>
    <x v="13"/>
    <x v="1"/>
    <s v="LT"/>
    <n v="41"/>
    <s v="5174"/>
    <s v="SAFRA 25/26"/>
    <n v="285"/>
    <n v="0"/>
    <n v="285"/>
    <n v="11685"/>
    <m/>
    <s v="NOVO PROGRESSO"/>
    <s v="06307262133"/>
    <n v="41"/>
    <n v="0"/>
  </r>
  <r>
    <d v="2025-07-10T13:50:02"/>
    <n v="244"/>
    <x v="64"/>
    <d v="2025-07-10T00:00:00"/>
    <d v="2026-04-30T00:00:00"/>
    <x v="2"/>
    <x v="0"/>
    <s v="610200"/>
    <x v="24"/>
    <x v="2"/>
    <s v="LT"/>
    <n v="65"/>
    <s v="5174"/>
    <s v="SAFRA 25/26"/>
    <n v="300"/>
    <n v="0"/>
    <n v="300"/>
    <n v="19500"/>
    <m/>
    <s v="NOVO PROGRESSO"/>
    <s v="06307262133"/>
    <n v="65"/>
    <n v="0"/>
  </r>
  <r>
    <d v="2025-07-10T13:50:02"/>
    <n v="244"/>
    <x v="64"/>
    <d v="2025-07-10T00:00:00"/>
    <d v="2026-04-30T00:00:00"/>
    <x v="2"/>
    <x v="2"/>
    <s v="610200"/>
    <x v="18"/>
    <x v="1"/>
    <s v="KG"/>
    <n v="189"/>
    <s v="5174"/>
    <s v="SAFRA 25/26"/>
    <n v="57"/>
    <n v="0"/>
    <n v="57"/>
    <n v="10773"/>
    <m/>
    <s v="NOVO PROGRESSO"/>
    <s v="06307262133"/>
    <n v="189"/>
    <n v="0"/>
  </r>
  <r>
    <d v="2025-11-07T16:35:39"/>
    <n v="402"/>
    <x v="64"/>
    <d v="2025-11-07T00:00:00"/>
    <d v="2026-04-30T00:00:00"/>
    <x v="2"/>
    <x v="0"/>
    <s v="610200"/>
    <x v="37"/>
    <x v="2"/>
    <s v="LT"/>
    <n v="24"/>
    <s v="153"/>
    <s v="SAFRA 25/26"/>
    <n v="300"/>
    <n v="0"/>
    <n v="300"/>
    <n v="7200"/>
    <m/>
    <s v="NOVO PROGRESSO"/>
    <s v="06307262133"/>
    <n v="24"/>
    <n v="0"/>
  </r>
  <r>
    <d v="2026-02-23T15:16:20"/>
    <n v="4602"/>
    <x v="65"/>
    <d v="2026-02-23T00:00:00"/>
    <d v="2026-08-30T00:00:00"/>
    <x v="0"/>
    <x v="0"/>
    <s v="510200"/>
    <x v="21"/>
    <x v="2"/>
    <s v="KG"/>
    <n v="45"/>
    <s v="6100"/>
    <s v="SAFRINHA 2026"/>
    <n v="60"/>
    <n v="0"/>
    <n v="60"/>
    <n v="2700"/>
    <m/>
    <m/>
    <s v="47875139000142"/>
    <n v="45"/>
    <n v="0"/>
  </r>
  <r>
    <d v="2025-07-16T14:17:59"/>
    <n v="3934"/>
    <x v="66"/>
    <d v="2025-07-16T00:00:00"/>
    <d v="2026-04-30T00:00:00"/>
    <x v="3"/>
    <x v="1"/>
    <s v="510200"/>
    <x v="17"/>
    <x v="1"/>
    <s v="LT"/>
    <n v="39"/>
    <s v="5329"/>
    <s v="SAFRA 25/26"/>
    <n v="201"/>
    <n v="0"/>
    <n v="201"/>
    <n v="7839"/>
    <m/>
    <s v="GAUCHA DO NORTE"/>
    <s v="01882114116"/>
    <n v="39"/>
    <n v="0"/>
  </r>
  <r>
    <d v="2025-09-23T16:23:08"/>
    <n v="4080"/>
    <x v="66"/>
    <d v="2025-09-23T00:00:00"/>
    <d v="2026-05-30T00:00:00"/>
    <x v="3"/>
    <x v="1"/>
    <s v="512011"/>
    <x v="14"/>
    <x v="1"/>
    <s v="KG"/>
    <n v="310"/>
    <s v="5329"/>
    <s v="SAFRA 25/26"/>
    <n v="215"/>
    <n v="0"/>
    <n v="215"/>
    <n v="66650"/>
    <m/>
    <s v="GAUCHA DO NORTE"/>
    <s v="01882114116"/>
    <n v="310"/>
    <n v="0"/>
  </r>
  <r>
    <d v="2025-09-23T16:23:08"/>
    <n v="4080"/>
    <x v="66"/>
    <d v="2025-09-23T00:00:00"/>
    <d v="2026-05-30T00:00:00"/>
    <x v="3"/>
    <x v="1"/>
    <s v="512011"/>
    <x v="9"/>
    <x v="1"/>
    <s v="LT"/>
    <n v="34"/>
    <s v="5329"/>
    <s v="SAFRA 25/26"/>
    <n v="324"/>
    <n v="0"/>
    <n v="324"/>
    <n v="11016"/>
    <m/>
    <s v="GAUCHA DO NORTE"/>
    <s v="01882114116"/>
    <n v="34"/>
    <n v="0"/>
  </r>
  <r>
    <d v="2025-09-23T16:23:08"/>
    <n v="4080"/>
    <x v="66"/>
    <d v="2025-09-23T00:00:00"/>
    <d v="2026-05-30T00:00:00"/>
    <x v="3"/>
    <x v="1"/>
    <s v="512011"/>
    <x v="11"/>
    <x v="1"/>
    <s v="LT"/>
    <n v="248"/>
    <s v="5329"/>
    <s v="SAFRA 25/26"/>
    <n v="204"/>
    <n v="0"/>
    <n v="204"/>
    <n v="50592"/>
    <m/>
    <s v="GAUCHA DO NORTE"/>
    <s v="01882114116"/>
    <n v="248"/>
    <n v="0"/>
  </r>
  <r>
    <d v="2025-09-23T16:23:08"/>
    <n v="4080"/>
    <x v="66"/>
    <d v="2025-09-23T00:00:00"/>
    <d v="2026-05-30T00:00:00"/>
    <x v="3"/>
    <x v="1"/>
    <s v="512011"/>
    <x v="76"/>
    <x v="1"/>
    <s v="LT"/>
    <n v="48"/>
    <s v="5329"/>
    <s v="SAFRA 25/26"/>
    <n v="180"/>
    <n v="0"/>
    <n v="180"/>
    <n v="8640"/>
    <m/>
    <s v="GAUCHA DO NORTE"/>
    <s v="01882114116"/>
    <n v="48"/>
    <n v="0"/>
  </r>
  <r>
    <d v="2025-09-23T16:23:08"/>
    <n v="4080"/>
    <x v="66"/>
    <d v="2025-09-23T00:00:00"/>
    <d v="2026-05-30T00:00:00"/>
    <x v="3"/>
    <x v="1"/>
    <s v="512011"/>
    <x v="23"/>
    <x v="1"/>
    <s v="KG"/>
    <n v="240"/>
    <s v="5329"/>
    <s v="SAFRA 25/26"/>
    <n v="30"/>
    <n v="0"/>
    <n v="30"/>
    <n v="7200"/>
    <m/>
    <s v="GAUCHA DO NORTE"/>
    <s v="01882114116"/>
    <n v="240"/>
    <n v="0"/>
  </r>
  <r>
    <d v="2025-09-23T16:23:08"/>
    <n v="4080"/>
    <x v="66"/>
    <d v="2025-09-23T00:00:00"/>
    <d v="2026-05-30T00:00:00"/>
    <x v="3"/>
    <x v="1"/>
    <s v="512011"/>
    <x v="10"/>
    <x v="1"/>
    <s v="LT"/>
    <n v="248"/>
    <s v="5329"/>
    <s v="SAFRA 25/26"/>
    <n v="204"/>
    <n v="0"/>
    <n v="204"/>
    <n v="50592"/>
    <m/>
    <s v="GAUCHA DO NORTE"/>
    <s v="01882114116"/>
    <n v="248"/>
    <n v="0"/>
  </r>
  <r>
    <d v="2025-09-23T16:23:08"/>
    <n v="4080"/>
    <x v="66"/>
    <d v="2025-09-23T00:00:00"/>
    <d v="2026-05-30T00:00:00"/>
    <x v="3"/>
    <x v="1"/>
    <s v="512011"/>
    <x v="13"/>
    <x v="1"/>
    <s v="LT"/>
    <n v="29"/>
    <s v="5329"/>
    <s v="SAFRA 25/26"/>
    <n v="1404"/>
    <n v="0"/>
    <n v="1404"/>
    <n v="40716"/>
    <m/>
    <s v="GAUCHA DO NORTE"/>
    <s v="01882114116"/>
    <n v="29"/>
    <n v="0"/>
  </r>
  <r>
    <d v="2025-10-13T10:35:16"/>
    <n v="344"/>
    <x v="67"/>
    <d v="2025-10-13T00:00:00"/>
    <d v="2026-04-30T00:00:00"/>
    <x v="13"/>
    <x v="2"/>
    <s v="510200"/>
    <x v="13"/>
    <x v="1"/>
    <s v="LT"/>
    <n v="38"/>
    <s v="237"/>
    <s v="SAFRA 25/26"/>
    <n v="300"/>
    <n v="0"/>
    <n v="300"/>
    <n v="11400"/>
    <m/>
    <s v="MARCELANDIA"/>
    <s v="01864619171"/>
    <n v="38"/>
    <n v="0"/>
  </r>
  <r>
    <d v="2025-04-14T08:16:51"/>
    <n v="176"/>
    <x v="68"/>
    <d v="2025-04-14T00:00:00"/>
    <d v="2026-04-30T00:00:00"/>
    <x v="2"/>
    <x v="0"/>
    <s v="510200"/>
    <x v="77"/>
    <x v="2"/>
    <s v="TON"/>
    <n v="1158"/>
    <s v="4852"/>
    <s v="SAFRA 25/26"/>
    <n v="79"/>
    <n v="0"/>
    <n v="79"/>
    <n v="91482"/>
    <m/>
    <s v="MATUPA"/>
    <s v="49205188972"/>
    <n v="1158"/>
    <n v="0"/>
  </r>
  <r>
    <d v="2026-01-20T15:27:54"/>
    <n v="509"/>
    <x v="69"/>
    <d v="2026-01-20T00:00:00"/>
    <d v="2026-01-30T00:00:00"/>
    <x v="2"/>
    <x v="2"/>
    <s v="510200"/>
    <x v="23"/>
    <x v="1"/>
    <s v="KG"/>
    <n v="340"/>
    <s v="376"/>
    <s v="SAFRINHA 2026"/>
    <n v="2"/>
    <n v="0"/>
    <n v="2"/>
    <n v="680"/>
    <m/>
    <s v="SINOP"/>
    <s v="06121964103"/>
    <n v="340"/>
    <n v="0"/>
  </r>
  <r>
    <d v="2026-01-20T15:27:54"/>
    <n v="509"/>
    <x v="69"/>
    <d v="2026-01-20T00:00:00"/>
    <d v="2026-01-30T00:00:00"/>
    <x v="2"/>
    <x v="2"/>
    <s v="510200"/>
    <x v="10"/>
    <x v="1"/>
    <s v="LT"/>
    <n v="300"/>
    <s v="376"/>
    <s v="SAFRINHA 2026"/>
    <n v="1"/>
    <n v="0"/>
    <n v="1"/>
    <n v="300"/>
    <m/>
    <s v="SINOP"/>
    <s v="06121964103"/>
    <n v="300"/>
    <n v="0"/>
  </r>
  <r>
    <d v="2026-01-20T15:27:54"/>
    <n v="509"/>
    <x v="69"/>
    <d v="2026-01-20T00:00:00"/>
    <d v="2026-01-30T00:00:00"/>
    <x v="2"/>
    <x v="2"/>
    <s v="510200"/>
    <x v="11"/>
    <x v="1"/>
    <s v="LT"/>
    <n v="300"/>
    <s v="376"/>
    <s v="SAFRINHA 2026"/>
    <n v="1"/>
    <n v="0"/>
    <n v="1"/>
    <n v="300"/>
    <m/>
    <s v="SINOP"/>
    <s v="06121964103"/>
    <n v="300"/>
    <n v="0"/>
  </r>
  <r>
    <d v="2026-01-20T15:27:54"/>
    <n v="509"/>
    <x v="69"/>
    <d v="2026-01-20T00:00:00"/>
    <d v="2026-01-30T00:00:00"/>
    <x v="2"/>
    <x v="2"/>
    <s v="510200"/>
    <x v="14"/>
    <x v="1"/>
    <s v="KG"/>
    <n v="370"/>
    <s v="376"/>
    <s v="SAFRINHA 2026"/>
    <n v="1"/>
    <n v="0"/>
    <n v="1"/>
    <n v="370"/>
    <m/>
    <s v="SINOP"/>
    <s v="06121964103"/>
    <n v="370"/>
    <n v="0"/>
  </r>
  <r>
    <d v="2026-01-20T15:27:54"/>
    <n v="509"/>
    <x v="69"/>
    <d v="2026-01-20T00:00:00"/>
    <d v="2026-01-30T00:00:00"/>
    <x v="2"/>
    <x v="2"/>
    <s v="510200"/>
    <x v="74"/>
    <x v="1"/>
    <s v="LT"/>
    <n v="40"/>
    <s v="376"/>
    <s v="SAFRINHA 2026"/>
    <n v="5"/>
    <n v="0"/>
    <n v="5"/>
    <n v="200"/>
    <m/>
    <s v="SINOP"/>
    <s v="06121964103"/>
    <n v="40"/>
    <n v="0"/>
  </r>
  <r>
    <d v="2025-06-03T08:33:06"/>
    <n v="226"/>
    <x v="70"/>
    <d v="2025-06-03T00:00:00"/>
    <d v="2026-04-30T00:00:00"/>
    <x v="1"/>
    <x v="0"/>
    <s v="510200"/>
    <x v="1"/>
    <x v="0"/>
    <s v="LT"/>
    <n v="167"/>
    <s v="3"/>
    <s v="SAFRA 25/26"/>
    <n v="210"/>
    <n v="0"/>
    <n v="210"/>
    <n v="35070"/>
    <m/>
    <s v="TERRA NOVA DO NORTE"/>
    <s v="03171481170"/>
    <n v="167"/>
    <n v="0"/>
  </r>
  <r>
    <d v="2025-06-03T08:33:06"/>
    <n v="226"/>
    <x v="70"/>
    <d v="2025-06-03T00:00:00"/>
    <d v="2026-04-30T00:00:00"/>
    <x v="1"/>
    <x v="0"/>
    <s v="510200"/>
    <x v="2"/>
    <x v="0"/>
    <s v="KG"/>
    <n v="22"/>
    <s v="3"/>
    <s v="SAFRA 25/26"/>
    <n v="1400"/>
    <n v="0"/>
    <n v="1400"/>
    <n v="30800"/>
    <m/>
    <s v="TERRA NOVA DO NORTE"/>
    <s v="03171481170"/>
    <n v="22"/>
    <n v="0"/>
  </r>
  <r>
    <d v="2025-06-03T08:33:06"/>
    <n v="226"/>
    <x v="70"/>
    <d v="2025-06-03T00:00:00"/>
    <d v="2026-04-30T00:00:00"/>
    <x v="1"/>
    <x v="2"/>
    <s v="510200"/>
    <x v="14"/>
    <x v="1"/>
    <s v="KG"/>
    <n v="400"/>
    <s v="3"/>
    <s v="SAFRA 25/26"/>
    <n v="35"/>
    <n v="0"/>
    <n v="35"/>
    <n v="14000"/>
    <m/>
    <s v="TERRA NOVA DO NORTE"/>
    <s v="03171481170"/>
    <n v="400"/>
    <n v="0"/>
  </r>
  <r>
    <d v="2025-06-03T08:33:06"/>
    <n v="226"/>
    <x v="70"/>
    <d v="2025-06-03T00:00:00"/>
    <d v="2026-04-30T00:00:00"/>
    <x v="1"/>
    <x v="2"/>
    <s v="510200"/>
    <x v="11"/>
    <x v="1"/>
    <s v="LT"/>
    <n v="340"/>
    <s v="3"/>
    <s v="SAFRA 25/26"/>
    <n v="35"/>
    <n v="0"/>
    <n v="35"/>
    <n v="11900"/>
    <m/>
    <s v="TERRA NOVA DO NORTE"/>
    <s v="03171481170"/>
    <n v="340"/>
    <n v="0"/>
  </r>
  <r>
    <d v="2025-06-03T08:33:06"/>
    <n v="226"/>
    <x v="70"/>
    <d v="2025-06-03T00:00:00"/>
    <d v="2026-04-30T00:00:00"/>
    <x v="1"/>
    <x v="0"/>
    <s v="510200"/>
    <x v="12"/>
    <x v="0"/>
    <s v="LT"/>
    <n v="250"/>
    <s v="3"/>
    <s v="SAFRA 25/26"/>
    <n v="70"/>
    <n v="0"/>
    <n v="70"/>
    <n v="17500"/>
    <m/>
    <s v="TERRA NOVA DO NORTE"/>
    <s v="03171481170"/>
    <n v="250"/>
    <n v="0"/>
  </r>
  <r>
    <d v="2025-06-03T08:33:06"/>
    <n v="226"/>
    <x v="70"/>
    <d v="2025-06-03T00:00:00"/>
    <d v="2026-04-30T00:00:00"/>
    <x v="1"/>
    <x v="0"/>
    <s v="510200"/>
    <x v="8"/>
    <x v="0"/>
    <s v="KG"/>
    <n v="92"/>
    <s v="3"/>
    <s v="SAFRA 25/26"/>
    <n v="70"/>
    <n v="0"/>
    <n v="70"/>
    <n v="6440"/>
    <m/>
    <s v="TERRA NOVA DO NORTE"/>
    <s v="03171481170"/>
    <n v="92"/>
    <n v="0"/>
  </r>
  <r>
    <d v="2025-06-03T08:33:06"/>
    <n v="226"/>
    <x v="70"/>
    <d v="2025-06-03T00:00:00"/>
    <d v="2026-04-30T00:00:00"/>
    <x v="1"/>
    <x v="0"/>
    <s v="510200"/>
    <x v="5"/>
    <x v="0"/>
    <s v="KG"/>
    <n v="25"/>
    <s v="3"/>
    <s v="SAFRA 25/26"/>
    <n v="700"/>
    <n v="0"/>
    <n v="700"/>
    <n v="17500"/>
    <m/>
    <s v="TERRA NOVA DO NORTE"/>
    <s v="03171481170"/>
    <n v="25"/>
    <n v="0"/>
  </r>
  <r>
    <d v="2025-06-03T08:33:06"/>
    <n v="226"/>
    <x v="70"/>
    <d v="2025-06-03T00:00:00"/>
    <d v="2026-04-30T00:00:00"/>
    <x v="1"/>
    <x v="0"/>
    <s v="510200"/>
    <x v="60"/>
    <x v="2"/>
    <s v="LT"/>
    <n v="25"/>
    <s v="3"/>
    <s v="SAFRA 25/26"/>
    <n v="700"/>
    <n v="0"/>
    <n v="700"/>
    <n v="17500"/>
    <m/>
    <s v="TERRA NOVA DO NORTE"/>
    <s v="03171481170"/>
    <n v="25"/>
    <n v="0"/>
  </r>
  <r>
    <d v="2025-06-03T08:33:06"/>
    <n v="226"/>
    <x v="70"/>
    <d v="2025-06-03T00:00:00"/>
    <d v="2026-04-30T00:00:00"/>
    <x v="1"/>
    <x v="2"/>
    <s v="510200"/>
    <x v="10"/>
    <x v="1"/>
    <s v="LT"/>
    <n v="340"/>
    <s v="3"/>
    <s v="SAFRA 25/26"/>
    <n v="35"/>
    <n v="0"/>
    <n v="35"/>
    <n v="11900"/>
    <m/>
    <s v="TERRA NOVA DO NORTE"/>
    <s v="03171481170"/>
    <n v="340"/>
    <n v="0"/>
  </r>
  <r>
    <d v="2025-06-03T08:33:06"/>
    <n v="226"/>
    <x v="70"/>
    <d v="2025-06-03T00:00:00"/>
    <d v="2026-04-30T00:00:00"/>
    <x v="1"/>
    <x v="0"/>
    <s v="510200"/>
    <x v="0"/>
    <x v="0"/>
    <s v="LT"/>
    <n v="16"/>
    <s v="3"/>
    <s v="SAFRA 25/26"/>
    <n v="700"/>
    <n v="0"/>
    <n v="700"/>
    <n v="11200"/>
    <m/>
    <s v="TERRA NOVA DO NORTE"/>
    <s v="03171481170"/>
    <n v="16"/>
    <n v="0"/>
  </r>
  <r>
    <d v="2025-10-19T17:50:29"/>
    <n v="369"/>
    <x v="70"/>
    <d v="2025-10-18T00:00:00"/>
    <d v="2026-04-30T00:00:00"/>
    <x v="1"/>
    <x v="2"/>
    <s v="510200"/>
    <x v="14"/>
    <x v="1"/>
    <s v="KG"/>
    <n v="400"/>
    <s v="179"/>
    <s v="SAFRA 25/26"/>
    <n v="9"/>
    <n v="0"/>
    <n v="9"/>
    <n v="3600"/>
    <m/>
    <s v="TERRA NOVA DO NORTE"/>
    <s v="03171481170"/>
    <n v="400"/>
    <n v="0"/>
  </r>
  <r>
    <d v="2025-10-19T17:50:29"/>
    <n v="369"/>
    <x v="70"/>
    <d v="2025-10-18T00:00:00"/>
    <d v="2026-04-30T00:00:00"/>
    <x v="1"/>
    <x v="2"/>
    <s v="510200"/>
    <x v="10"/>
    <x v="1"/>
    <s v="LT"/>
    <n v="340"/>
    <s v="179"/>
    <s v="SAFRA 25/26"/>
    <n v="9"/>
    <n v="0"/>
    <n v="9"/>
    <n v="3060"/>
    <m/>
    <s v="TERRA NOVA DO NORTE"/>
    <s v="03171481170"/>
    <n v="340"/>
    <n v="0"/>
  </r>
  <r>
    <d v="2025-10-19T17:50:29"/>
    <n v="369"/>
    <x v="70"/>
    <d v="2025-10-18T00:00:00"/>
    <d v="2026-04-30T00:00:00"/>
    <x v="1"/>
    <x v="0"/>
    <s v="510200"/>
    <x v="12"/>
    <x v="0"/>
    <s v="LT"/>
    <n v="250"/>
    <s v="179"/>
    <s v="SAFRA 25/26"/>
    <n v="20"/>
    <n v="0"/>
    <n v="20"/>
    <n v="5000"/>
    <m/>
    <s v="TERRA NOVA DO NORTE"/>
    <s v="03171481170"/>
    <n v="250"/>
    <n v="0"/>
  </r>
  <r>
    <d v="2025-10-19T17:50:29"/>
    <n v="369"/>
    <x v="70"/>
    <d v="2025-10-18T00:00:00"/>
    <d v="2026-04-30T00:00:00"/>
    <x v="1"/>
    <x v="2"/>
    <s v="510200"/>
    <x v="11"/>
    <x v="1"/>
    <s v="LT"/>
    <n v="340"/>
    <s v="179"/>
    <s v="SAFRA 25/26"/>
    <n v="9"/>
    <n v="0"/>
    <n v="9"/>
    <n v="3060"/>
    <m/>
    <s v="TERRA NOVA DO NORTE"/>
    <s v="03171481170"/>
    <n v="340"/>
    <n v="0"/>
  </r>
  <r>
    <d v="2025-10-25T10:28:46"/>
    <n v="385"/>
    <x v="70"/>
    <d v="2025-10-25T00:00:00"/>
    <d v="2026-04-30T00:00:00"/>
    <x v="1"/>
    <x v="2"/>
    <s v="510200"/>
    <x v="11"/>
    <x v="1"/>
    <s v="LT"/>
    <n v="340"/>
    <s v="180"/>
    <s v="SAFRA 25/26"/>
    <n v="5"/>
    <n v="0"/>
    <n v="5"/>
    <n v="1700"/>
    <m/>
    <s v="TERRA NOVA DO NORTE"/>
    <s v="03171481170"/>
    <n v="340"/>
    <n v="0"/>
  </r>
  <r>
    <d v="2025-10-25T10:28:46"/>
    <n v="385"/>
    <x v="70"/>
    <d v="2025-10-25T00:00:00"/>
    <d v="2026-04-30T00:00:00"/>
    <x v="1"/>
    <x v="0"/>
    <s v="510200"/>
    <x v="12"/>
    <x v="0"/>
    <s v="LT"/>
    <n v="250"/>
    <s v="180"/>
    <s v="SAFRA 25/26"/>
    <n v="10"/>
    <n v="0"/>
    <n v="10"/>
    <n v="2500"/>
    <m/>
    <s v="TERRA NOVA DO NORTE"/>
    <s v="03171481170"/>
    <n v="250"/>
    <n v="0"/>
  </r>
  <r>
    <d v="2025-10-25T10:28:46"/>
    <n v="385"/>
    <x v="70"/>
    <d v="2025-10-25T00:00:00"/>
    <d v="2026-04-30T00:00:00"/>
    <x v="1"/>
    <x v="2"/>
    <s v="510200"/>
    <x v="10"/>
    <x v="1"/>
    <s v="LT"/>
    <n v="340"/>
    <s v="180"/>
    <s v="SAFRA 25/26"/>
    <n v="5"/>
    <n v="0"/>
    <n v="5"/>
    <n v="1700"/>
    <m/>
    <s v="TERRA NOVA DO NORTE"/>
    <s v="03171481170"/>
    <n v="340"/>
    <n v="0"/>
  </r>
  <r>
    <d v="2025-11-25T14:27:41"/>
    <n v="425"/>
    <x v="70"/>
    <d v="2025-11-25T00:00:00"/>
    <d v="2026-04-30T00:00:00"/>
    <x v="1"/>
    <x v="0"/>
    <s v="510200"/>
    <x v="39"/>
    <x v="0"/>
    <s v="LT"/>
    <n v="24"/>
    <s v="183"/>
    <s v="SAFRA 25/26"/>
    <n v="240"/>
    <n v="0"/>
    <n v="240"/>
    <n v="5760"/>
    <m/>
    <s v="TERRA NOVA DO NORTE"/>
    <s v="03171481170"/>
    <n v="24"/>
    <n v="0"/>
  </r>
  <r>
    <d v="2025-12-10T13:08:28"/>
    <n v="453"/>
    <x v="70"/>
    <d v="2025-12-10T00:00:00"/>
    <d v="2026-04-30T00:00:00"/>
    <x v="1"/>
    <x v="0"/>
    <s v="510200"/>
    <x v="39"/>
    <x v="0"/>
    <s v="LT"/>
    <n v="22"/>
    <s v="190"/>
    <s v="SAFRA 25/26"/>
    <n v="460"/>
    <n v="0"/>
    <n v="460"/>
    <n v="10120"/>
    <m/>
    <s v="TERRA NOVA DO NORTE"/>
    <s v="03171481170"/>
    <n v="22"/>
    <n v="0"/>
  </r>
  <r>
    <d v="2026-03-03T16:47:02"/>
    <n v="566"/>
    <x v="70"/>
    <d v="2026-03-03T00:00:00"/>
    <d v="2026-09-30T00:00:00"/>
    <x v="1"/>
    <x v="0"/>
    <s v="510200"/>
    <x v="39"/>
    <x v="0"/>
    <s v="LT"/>
    <n v="22"/>
    <s v="487"/>
    <s v="SAFRINHA 2026"/>
    <n v="340"/>
    <n v="0"/>
    <n v="340"/>
    <n v="7480"/>
    <m/>
    <s v="TERRA NOVA DO NORTE"/>
    <s v="03171481170"/>
    <n v="22"/>
    <n v="0"/>
  </r>
  <r>
    <d v="2026-01-28T15:55:45"/>
    <n v="4505"/>
    <x v="71"/>
    <d v="2026-01-19T00:00:00"/>
    <d v="2026-09-30T00:00:00"/>
    <x v="1"/>
    <x v="0"/>
    <s v="510200"/>
    <x v="0"/>
    <x v="0"/>
    <s v="LT"/>
    <n v="17"/>
    <s v="480"/>
    <s v="SAFRINHA 2026"/>
    <n v="60"/>
    <n v="0"/>
    <n v="60"/>
    <n v="1020"/>
    <m/>
    <s v="SORRISO"/>
    <s v="03520707144"/>
    <n v="17"/>
    <n v="0"/>
  </r>
  <r>
    <d v="2026-01-28T15:55:45"/>
    <n v="4505"/>
    <x v="71"/>
    <d v="2026-01-19T00:00:00"/>
    <d v="2026-09-30T00:00:00"/>
    <x v="1"/>
    <x v="0"/>
    <s v="510200"/>
    <x v="2"/>
    <x v="0"/>
    <s v="KG"/>
    <n v="24"/>
    <s v="480"/>
    <s v="SAFRINHA 2026"/>
    <n v="50"/>
    <n v="0"/>
    <n v="50"/>
    <n v="1200"/>
    <m/>
    <s v="SORRISO"/>
    <s v="03520707144"/>
    <n v="24"/>
    <n v="0"/>
  </r>
  <r>
    <d v="2026-01-28T15:55:45"/>
    <n v="4505"/>
    <x v="71"/>
    <d v="2026-01-19T00:00:00"/>
    <d v="2026-09-30T00:00:00"/>
    <x v="1"/>
    <x v="0"/>
    <s v="510200"/>
    <x v="41"/>
    <x v="0"/>
    <s v="LT"/>
    <n v="90"/>
    <s v="480"/>
    <s v="SAFRINHA 2026"/>
    <n v="20"/>
    <n v="0"/>
    <n v="20"/>
    <n v="1800"/>
    <m/>
    <s v="SORRISO"/>
    <s v="03520707144"/>
    <n v="90"/>
    <n v="0"/>
  </r>
  <r>
    <d v="2026-01-28T15:55:45"/>
    <n v="4505"/>
    <x v="71"/>
    <d v="2026-01-19T00:00:00"/>
    <d v="2026-09-30T00:00:00"/>
    <x v="1"/>
    <x v="0"/>
    <s v="510200"/>
    <x v="3"/>
    <x v="0"/>
    <s v="LT"/>
    <n v="25"/>
    <s v="480"/>
    <s v="SAFRINHA 2026"/>
    <n v="60"/>
    <n v="0"/>
    <n v="60"/>
    <n v="1500"/>
    <m/>
    <s v="SORRISO"/>
    <s v="03520707144"/>
    <n v="25"/>
    <n v="0"/>
  </r>
  <r>
    <d v="2026-01-28T15:55:45"/>
    <n v="4505"/>
    <x v="71"/>
    <d v="2026-01-19T00:00:00"/>
    <d v="2026-09-30T00:00:00"/>
    <x v="1"/>
    <x v="0"/>
    <s v="510200"/>
    <x v="4"/>
    <x v="0"/>
    <s v="KG"/>
    <n v="25"/>
    <s v="480"/>
    <s v="SAFRINHA 2026"/>
    <n v="30"/>
    <n v="0"/>
    <n v="30"/>
    <n v="750"/>
    <m/>
    <s v="SORRISO"/>
    <s v="03520707144"/>
    <n v="25"/>
    <n v="0"/>
  </r>
  <r>
    <d v="2026-01-28T15:55:45"/>
    <n v="4505"/>
    <x v="71"/>
    <d v="2026-01-19T00:00:00"/>
    <d v="2026-09-30T00:00:00"/>
    <x v="1"/>
    <x v="0"/>
    <s v="510200"/>
    <x v="1"/>
    <x v="0"/>
    <s v="LT"/>
    <n v="140"/>
    <s v="480"/>
    <s v="SAFRINHA 2026"/>
    <n v="40"/>
    <n v="0"/>
    <n v="40"/>
    <n v="5600"/>
    <m/>
    <s v="SORRISO"/>
    <s v="03520707144"/>
    <n v="140"/>
    <n v="0"/>
  </r>
  <r>
    <d v="2026-01-28T15:55:45"/>
    <n v="4505"/>
    <x v="71"/>
    <d v="2026-01-19T00:00:00"/>
    <d v="2026-09-30T00:00:00"/>
    <x v="1"/>
    <x v="0"/>
    <s v="510200"/>
    <x v="78"/>
    <x v="0"/>
    <s v="KG"/>
    <n v="28"/>
    <s v="480"/>
    <s v="SAFRINHA 2026"/>
    <n v="30"/>
    <n v="0"/>
    <n v="30"/>
    <n v="840"/>
    <m/>
    <s v="SORRISO"/>
    <s v="03520707144"/>
    <n v="28"/>
    <n v="0"/>
  </r>
  <r>
    <d v="2025-07-11T16:45:14"/>
    <n v="246"/>
    <x v="72"/>
    <d v="2025-07-11T00:00:00"/>
    <d v="2025-09-05T00:00:00"/>
    <x v="2"/>
    <x v="2"/>
    <s v="610200"/>
    <x v="18"/>
    <x v="1"/>
    <s v="KG"/>
    <n v="180"/>
    <s v="5175"/>
    <s v="SAFRA 25/26"/>
    <n v="250"/>
    <n v="0"/>
    <n v="250"/>
    <n v="45000"/>
    <m/>
    <s v="NOVO PROGRESSO"/>
    <s v="50391402153"/>
    <n v="180"/>
    <n v="0"/>
  </r>
  <r>
    <d v="2025-09-19T10:08:20"/>
    <n v="4059"/>
    <x v="73"/>
    <d v="2025-09-19T00:00:00"/>
    <d v="2026-03-30T00:00:00"/>
    <x v="7"/>
    <x v="1"/>
    <s v="510200"/>
    <x v="9"/>
    <x v="1"/>
    <s v="LT"/>
    <n v="48"/>
    <s v="5574"/>
    <s v="SAFRA 25/26"/>
    <n v="171"/>
    <n v="0"/>
    <n v="171"/>
    <n v="8208"/>
    <m/>
    <s v="SORRISO"/>
    <s v="05242630949"/>
    <n v="48"/>
    <n v="0"/>
  </r>
  <r>
    <d v="2025-09-19T10:08:20"/>
    <n v="4059"/>
    <x v="73"/>
    <d v="2025-09-19T00:00:00"/>
    <d v="2026-03-30T00:00:00"/>
    <x v="7"/>
    <x v="1"/>
    <s v="510200"/>
    <x v="13"/>
    <x v="1"/>
    <s v="LT"/>
    <n v="45"/>
    <s v="5574"/>
    <s v="SAFRA 25/26"/>
    <n v="54"/>
    <n v="0"/>
    <n v="54"/>
    <n v="2430"/>
    <m/>
    <s v="SORRISO"/>
    <s v="05242630949"/>
    <n v="45"/>
    <n v="0"/>
  </r>
  <r>
    <d v="2026-01-14T09:04:56"/>
    <n v="4443"/>
    <x v="73"/>
    <d v="2026-01-14T00:00:00"/>
    <d v="2026-08-30T00:00:00"/>
    <x v="7"/>
    <x v="1"/>
    <s v="510200"/>
    <x v="9"/>
    <x v="1"/>
    <s v="LT"/>
    <n v="52"/>
    <s v="5882"/>
    <s v="SAFRINHA 2026"/>
    <n v="162"/>
    <n v="0"/>
    <n v="162"/>
    <n v="8424"/>
    <m/>
    <s v="SORRISO"/>
    <s v="05242630949"/>
    <n v="52"/>
    <n v="0"/>
  </r>
  <r>
    <d v="2025-12-23T13:43:41"/>
    <n v="465"/>
    <x v="74"/>
    <d v="2025-12-23T00:00:00"/>
    <d v="2026-03-30T00:00:00"/>
    <x v="2"/>
    <x v="2"/>
    <s v="510200"/>
    <x v="23"/>
    <x v="1"/>
    <s v="KG"/>
    <n v="386"/>
    <s v="470"/>
    <s v="SAFRA 25/26"/>
    <n v="4"/>
    <n v="0"/>
    <n v="4"/>
    <n v="1544"/>
    <m/>
    <s v="SINOP"/>
    <s v="06227541141"/>
    <n v="386"/>
    <n v="0"/>
  </r>
  <r>
    <d v="2026-01-13T08:03:00"/>
    <n v="4433"/>
    <x v="75"/>
    <d v="2026-01-07T00:00:00"/>
    <d v="2026-10-30T00:00:00"/>
    <x v="8"/>
    <x v="1"/>
    <s v="510200"/>
    <x v="11"/>
    <x v="1"/>
    <s v="LT"/>
    <n v="260"/>
    <s v="5875"/>
    <s v="SAFRINHA 2026"/>
    <n v="675"/>
    <n v="0"/>
    <n v="675"/>
    <n v="175500"/>
    <m/>
    <s v="LUCAS DO RIO VERDE"/>
    <s v="89472063187"/>
    <n v="260"/>
    <n v="0"/>
  </r>
  <r>
    <d v="2026-01-13T08:03:00"/>
    <n v="4433"/>
    <x v="75"/>
    <d v="2026-01-07T00:00:00"/>
    <d v="2026-10-30T00:00:00"/>
    <x v="8"/>
    <x v="1"/>
    <s v="510200"/>
    <x v="10"/>
    <x v="1"/>
    <s v="LT"/>
    <n v="260"/>
    <s v="5875"/>
    <s v="SAFRINHA 2026"/>
    <n v="675"/>
    <n v="0"/>
    <n v="675"/>
    <n v="175500"/>
    <m/>
    <s v="LUCAS DO RIO VERDE"/>
    <s v="89472063187"/>
    <n v="260"/>
    <n v="0"/>
  </r>
  <r>
    <d v="2026-01-13T08:03:00"/>
    <n v="4433"/>
    <x v="75"/>
    <d v="2026-01-07T00:00:00"/>
    <d v="2026-10-30T00:00:00"/>
    <x v="8"/>
    <x v="1"/>
    <s v="510200"/>
    <x v="18"/>
    <x v="1"/>
    <s v="KG"/>
    <n v="180"/>
    <s v="5875"/>
    <s v="SAFRINHA 2026"/>
    <n v="1350"/>
    <n v="0"/>
    <n v="1350"/>
    <n v="243000"/>
    <m/>
    <s v="LUCAS DO RIO VERDE"/>
    <s v="89472063187"/>
    <n v="180"/>
    <n v="0"/>
  </r>
  <r>
    <d v="2026-01-13T08:03:00"/>
    <n v="4433"/>
    <x v="75"/>
    <d v="2026-01-07T00:00:00"/>
    <d v="2026-10-30T00:00:00"/>
    <x v="8"/>
    <x v="1"/>
    <s v="510200"/>
    <x v="9"/>
    <x v="1"/>
    <s v="LT"/>
    <n v="38"/>
    <s v="5875"/>
    <s v="SAFRINHA 2026"/>
    <n v="999"/>
    <n v="0"/>
    <n v="999"/>
    <n v="37962"/>
    <m/>
    <s v="LUCAS DO RIO VERDE"/>
    <s v="89472063187"/>
    <n v="38"/>
    <n v="0"/>
  </r>
  <r>
    <d v="2026-01-09T12:06:54"/>
    <n v="4420"/>
    <x v="75"/>
    <d v="2026-01-09T00:00:00"/>
    <d v="2026-10-30T00:00:00"/>
    <x v="8"/>
    <x v="1"/>
    <s v="510200"/>
    <x v="18"/>
    <x v="1"/>
    <s v="KG"/>
    <n v="180"/>
    <s v="5983"/>
    <s v="SAFRINHA 2026"/>
    <n v="810"/>
    <n v="0"/>
    <n v="810"/>
    <n v="145800"/>
    <m/>
    <s v="TABAPORA"/>
    <s v="89472063187"/>
    <n v="180"/>
    <n v="0"/>
  </r>
  <r>
    <d v="2026-01-09T12:06:54"/>
    <n v="4420"/>
    <x v="75"/>
    <d v="2026-01-09T00:00:00"/>
    <d v="2026-10-30T00:00:00"/>
    <x v="8"/>
    <x v="1"/>
    <s v="510200"/>
    <x v="9"/>
    <x v="1"/>
    <s v="LT"/>
    <n v="38"/>
    <s v="5983"/>
    <s v="SAFRINHA 2026"/>
    <n v="600"/>
    <n v="0"/>
    <n v="600"/>
    <n v="22800"/>
    <m/>
    <s v="TABAPORA"/>
    <s v="89472063187"/>
    <n v="38"/>
    <n v="0"/>
  </r>
  <r>
    <d v="2026-01-09T12:06:54"/>
    <n v="4420"/>
    <x v="75"/>
    <d v="2026-01-09T00:00:00"/>
    <d v="2026-10-30T00:00:00"/>
    <x v="8"/>
    <x v="1"/>
    <s v="510200"/>
    <x v="10"/>
    <x v="1"/>
    <s v="LT"/>
    <n v="260"/>
    <s v="5983"/>
    <s v="SAFRINHA 2026"/>
    <n v="405"/>
    <n v="0"/>
    <n v="405"/>
    <n v="105300"/>
    <m/>
    <s v="TABAPORA"/>
    <s v="89472063187"/>
    <n v="260"/>
    <n v="0"/>
  </r>
  <r>
    <d v="2026-01-09T12:06:54"/>
    <n v="4420"/>
    <x v="75"/>
    <d v="2026-01-09T00:00:00"/>
    <d v="2026-10-30T00:00:00"/>
    <x v="8"/>
    <x v="1"/>
    <s v="510200"/>
    <x v="11"/>
    <x v="1"/>
    <s v="LT"/>
    <n v="260"/>
    <s v="5983"/>
    <s v="SAFRINHA 2026"/>
    <n v="405"/>
    <n v="0"/>
    <n v="405"/>
    <n v="105300"/>
    <m/>
    <s v="TABAPORA"/>
    <s v="89472063187"/>
    <n v="260"/>
    <n v="0"/>
  </r>
  <r>
    <d v="2026-02-03T17:11:47"/>
    <n v="4523"/>
    <x v="75"/>
    <d v="2026-02-03T00:00:00"/>
    <d v="2026-10-30T00:00:00"/>
    <x v="8"/>
    <x v="1"/>
    <s v="510200"/>
    <x v="18"/>
    <x v="1"/>
    <s v="KG"/>
    <n v="180"/>
    <s v="6053"/>
    <s v="SAFRINHA 2026"/>
    <n v="207"/>
    <n v="0"/>
    <n v="207"/>
    <n v="37260"/>
    <m/>
    <s v="TABAPORA"/>
    <s v="89472063187"/>
    <n v="180"/>
    <n v="0"/>
  </r>
  <r>
    <d v="2026-02-03T17:11:47"/>
    <n v="4523"/>
    <x v="75"/>
    <d v="2026-02-03T00:00:00"/>
    <d v="2026-10-30T00:00:00"/>
    <x v="8"/>
    <x v="1"/>
    <s v="510200"/>
    <x v="10"/>
    <x v="1"/>
    <s v="LT"/>
    <n v="260"/>
    <s v="6053"/>
    <s v="SAFRINHA 2026"/>
    <n v="104"/>
    <n v="0"/>
    <n v="104"/>
    <n v="27040"/>
    <m/>
    <s v="TABAPORA"/>
    <s v="89472063187"/>
    <n v="260"/>
    <n v="0"/>
  </r>
  <r>
    <d v="2026-02-03T17:11:47"/>
    <n v="4523"/>
    <x v="75"/>
    <d v="2026-02-03T00:00:00"/>
    <d v="2026-10-30T00:00:00"/>
    <x v="8"/>
    <x v="1"/>
    <s v="510200"/>
    <x v="9"/>
    <x v="1"/>
    <s v="LT"/>
    <n v="38"/>
    <s v="6053"/>
    <s v="SAFRINHA 2026"/>
    <n v="144"/>
    <n v="0"/>
    <n v="144"/>
    <n v="5472"/>
    <m/>
    <s v="TABAPORA"/>
    <s v="89472063187"/>
    <n v="38"/>
    <n v="0"/>
  </r>
  <r>
    <d v="2026-02-03T17:11:47"/>
    <n v="4523"/>
    <x v="75"/>
    <d v="2026-02-03T00:00:00"/>
    <d v="2026-10-30T00:00:00"/>
    <x v="8"/>
    <x v="1"/>
    <s v="510200"/>
    <x v="11"/>
    <x v="1"/>
    <s v="LT"/>
    <n v="260"/>
    <s v="6053"/>
    <s v="SAFRINHA 2026"/>
    <n v="104"/>
    <n v="0"/>
    <n v="104"/>
    <n v="27040"/>
    <m/>
    <s v="TABAPORA"/>
    <s v="89472063187"/>
    <n v="260"/>
    <n v="0"/>
  </r>
  <r>
    <d v="2026-02-05T15:35:11"/>
    <n v="4535"/>
    <x v="75"/>
    <d v="2026-02-05T00:00:00"/>
    <d v="2026-10-30T00:00:00"/>
    <x v="8"/>
    <x v="1"/>
    <s v="510200"/>
    <x v="18"/>
    <x v="1"/>
    <s v="KG"/>
    <n v="180"/>
    <s v="6055"/>
    <s v="SAFRINHA 2026"/>
    <n v="70"/>
    <n v="0"/>
    <n v="70"/>
    <n v="12600"/>
    <m/>
    <s v="NOVA MUTUM"/>
    <s v="89472063187"/>
    <n v="180"/>
    <n v="0"/>
  </r>
  <r>
    <d v="2026-02-05T15:35:11"/>
    <n v="4535"/>
    <x v="75"/>
    <d v="2026-02-05T00:00:00"/>
    <d v="2026-10-30T00:00:00"/>
    <x v="8"/>
    <x v="1"/>
    <s v="510200"/>
    <x v="9"/>
    <x v="1"/>
    <s v="LT"/>
    <n v="38"/>
    <s v="6055"/>
    <s v="SAFRINHA 2026"/>
    <n v="48"/>
    <n v="0"/>
    <n v="48"/>
    <n v="1824"/>
    <m/>
    <s v="NOVA MUTUM"/>
    <s v="89472063187"/>
    <n v="38"/>
    <n v="0"/>
  </r>
  <r>
    <d v="2026-02-05T15:35:11"/>
    <n v="4535"/>
    <x v="75"/>
    <d v="2026-02-05T00:00:00"/>
    <d v="2026-10-30T00:00:00"/>
    <x v="8"/>
    <x v="1"/>
    <s v="510200"/>
    <x v="11"/>
    <x v="1"/>
    <s v="LT"/>
    <n v="260"/>
    <s v="6055"/>
    <s v="SAFRINHA 2026"/>
    <n v="35"/>
    <n v="0"/>
    <n v="35"/>
    <n v="9100"/>
    <m/>
    <s v="NOVA MUTUM"/>
    <s v="89472063187"/>
    <n v="260"/>
    <n v="0"/>
  </r>
  <r>
    <d v="2026-02-05T15:35:11"/>
    <n v="4535"/>
    <x v="75"/>
    <d v="2026-02-05T00:00:00"/>
    <d v="2026-10-30T00:00:00"/>
    <x v="8"/>
    <x v="1"/>
    <s v="510200"/>
    <x v="10"/>
    <x v="1"/>
    <s v="LT"/>
    <n v="260"/>
    <s v="6055"/>
    <s v="SAFRINHA 2026"/>
    <n v="35"/>
    <n v="0"/>
    <n v="35"/>
    <n v="9100"/>
    <m/>
    <s v="NOVA MUTUM"/>
    <s v="89472063187"/>
    <n v="260"/>
    <n v="0"/>
  </r>
  <r>
    <d v="2026-02-21T09:01:21"/>
    <n v="4595"/>
    <x v="75"/>
    <d v="2026-02-21T00:00:00"/>
    <d v="2026-10-30T00:00:00"/>
    <x v="8"/>
    <x v="1"/>
    <s v="510200"/>
    <x v="14"/>
    <x v="1"/>
    <s v="KG"/>
    <n v="360"/>
    <s v="6065"/>
    <s v="SAFRINHA 2026"/>
    <n v="756"/>
    <n v="0"/>
    <n v="756"/>
    <n v="272160"/>
    <m/>
    <s v="ITANHANGA"/>
    <s v="89472063187"/>
    <n v="360"/>
    <n v="0"/>
  </r>
  <r>
    <d v="2026-02-21T09:01:21"/>
    <n v="4595"/>
    <x v="75"/>
    <d v="2026-02-21T00:00:00"/>
    <d v="2026-10-30T00:00:00"/>
    <x v="8"/>
    <x v="1"/>
    <s v="510200"/>
    <x v="9"/>
    <x v="1"/>
    <s v="LT"/>
    <n v="38"/>
    <s v="6065"/>
    <s v="SAFRINHA 2026"/>
    <n v="72"/>
    <n v="0"/>
    <n v="72"/>
    <n v="2736"/>
    <m/>
    <s v="ITANHANGA"/>
    <s v="89472063187"/>
    <n v="38"/>
    <n v="0"/>
  </r>
  <r>
    <d v="2025-05-08T09:37:14"/>
    <n v="211"/>
    <x v="76"/>
    <d v="2025-05-08T00:00:00"/>
    <d v="2025-09-30T00:00:00"/>
    <x v="2"/>
    <x v="0"/>
    <s v="510200"/>
    <x v="32"/>
    <x v="2"/>
    <s v="TON"/>
    <n v="1400"/>
    <s v="5155"/>
    <s v="SAFRA 25/26"/>
    <n v="18"/>
    <n v="0"/>
    <n v="18"/>
    <n v="25200"/>
    <m/>
    <s v="ITANHANGA"/>
    <s v="82819866115"/>
    <n v="1400"/>
    <n v="0"/>
  </r>
  <r>
    <d v="2025-06-10T11:06:42"/>
    <n v="229"/>
    <x v="77"/>
    <d v="2025-06-10T00:00:00"/>
    <d v="2026-04-30T00:00:00"/>
    <x v="2"/>
    <x v="0"/>
    <s v="510200"/>
    <x v="2"/>
    <x v="0"/>
    <s v="KG"/>
    <n v="21.5"/>
    <s v="5165"/>
    <s v="SAFRA 25/26"/>
    <n v="600"/>
    <n v="0"/>
    <n v="600"/>
    <n v="12900"/>
    <m/>
    <s v="CLAUDIA"/>
    <s v="32777566100"/>
    <n v="21.5"/>
    <n v="0"/>
  </r>
  <r>
    <d v="2025-06-12T15:47:08"/>
    <n v="232"/>
    <x v="77"/>
    <d v="2025-06-12T00:00:00"/>
    <d v="2025-08-30T00:00:00"/>
    <x v="2"/>
    <x v="0"/>
    <s v="510200"/>
    <x v="32"/>
    <x v="2"/>
    <s v="TON"/>
    <n v="1060"/>
    <s v="5167"/>
    <s v="SAFRA 25/26"/>
    <n v="50"/>
    <n v="0"/>
    <n v="50"/>
    <n v="53000"/>
    <m/>
    <s v="SINOP"/>
    <s v="32777566100"/>
    <n v="1060"/>
    <n v="0"/>
  </r>
  <r>
    <d v="2025-11-08T09:56:40"/>
    <n v="404"/>
    <x v="77"/>
    <d v="2025-11-08T00:00:00"/>
    <d v="2026-08-30T00:00:00"/>
    <x v="2"/>
    <x v="0"/>
    <s v="510200"/>
    <x v="79"/>
    <x v="2"/>
    <s v="SC"/>
    <n v="665"/>
    <s v="124"/>
    <s v="SAFRINHA 2026"/>
    <n v="100"/>
    <n v="0"/>
    <n v="100"/>
    <n v="66500"/>
    <m/>
    <s v="CLAUDIA"/>
    <s v="32777566100"/>
    <n v="665"/>
    <n v="0"/>
  </r>
  <r>
    <d v="2026-02-04T08:44:25"/>
    <n v="528"/>
    <x v="77"/>
    <d v="2026-02-04T00:00:00"/>
    <d v="2026-03-30T00:00:00"/>
    <x v="2"/>
    <x v="0"/>
    <s v="510200"/>
    <x v="80"/>
    <x v="2"/>
    <s v="KG"/>
    <n v="30"/>
    <s v="147"/>
    <s v="SAFRINHA 2026"/>
    <n v="160"/>
    <n v="0"/>
    <n v="160"/>
    <n v="4800"/>
    <m/>
    <s v="CLAUDIA"/>
    <s v="32777566100"/>
    <n v="30"/>
    <n v="0"/>
  </r>
  <r>
    <d v="2026-02-16T13:58:43"/>
    <n v="548"/>
    <x v="77"/>
    <d v="2026-02-16T00:00:00"/>
    <d v="2026-09-30T00:00:00"/>
    <x v="2"/>
    <x v="2"/>
    <s v="510200"/>
    <x v="20"/>
    <x v="1"/>
    <s v="LT"/>
    <n v="35"/>
    <s v="439"/>
    <s v="SAFRINHA 2026"/>
    <n v="250"/>
    <n v="0"/>
    <n v="250"/>
    <n v="8750"/>
    <m/>
    <s v="CLAUDIA"/>
    <s v="32777566100"/>
    <n v="35"/>
    <n v="0"/>
  </r>
  <r>
    <d v="2026-03-04T10:22:28"/>
    <n v="568"/>
    <x v="77"/>
    <d v="2026-03-04T00:00:00"/>
    <d v="2026-03-30T00:00:00"/>
    <x v="2"/>
    <x v="0"/>
    <s v="510200"/>
    <x v="80"/>
    <x v="2"/>
    <s v="KG"/>
    <n v="30"/>
    <s v="448"/>
    <s v="SAFRINHA 2026"/>
    <n v="200"/>
    <n v="0"/>
    <n v="200"/>
    <n v="6000"/>
    <m/>
    <s v="CLAUDIA"/>
    <s v="32777566100"/>
    <n v="30"/>
    <n v="0"/>
  </r>
  <r>
    <d v="2025-04-30T07:53:14"/>
    <n v="207"/>
    <x v="78"/>
    <d v="2025-04-30T00:00:00"/>
    <d v="2026-09-30T00:00:00"/>
    <x v="2"/>
    <x v="2"/>
    <s v="510200"/>
    <x v="9"/>
    <x v="1"/>
    <s v="LT"/>
    <n v="44.11"/>
    <s v="4873"/>
    <s v="SAFRINHA 2026"/>
    <n v="177"/>
    <n v="0"/>
    <n v="177"/>
    <n v="7807.47"/>
    <m/>
    <s v="UNIAO DO SUL"/>
    <s v="01730387942"/>
    <n v="44.11"/>
    <n v="0"/>
  </r>
  <r>
    <d v="2025-04-30T07:53:14"/>
    <n v="207"/>
    <x v="78"/>
    <d v="2025-04-30T00:00:00"/>
    <d v="2026-09-30T00:00:00"/>
    <x v="2"/>
    <x v="2"/>
    <s v="510200"/>
    <x v="10"/>
    <x v="1"/>
    <s v="LT"/>
    <n v="289"/>
    <s v="4873"/>
    <s v="SAFRINHA 2026"/>
    <n v="70"/>
    <n v="0"/>
    <n v="70"/>
    <n v="20230"/>
    <m/>
    <s v="UNIAO DO SUL"/>
    <s v="01730387942"/>
    <n v="289"/>
    <n v="0"/>
  </r>
  <r>
    <d v="2025-04-30T07:53:14"/>
    <n v="207"/>
    <x v="78"/>
    <d v="2025-04-30T00:00:00"/>
    <d v="2026-09-30T00:00:00"/>
    <x v="2"/>
    <x v="2"/>
    <s v="510200"/>
    <x v="11"/>
    <x v="1"/>
    <s v="LT"/>
    <n v="332"/>
    <s v="4873"/>
    <s v="SAFRINHA 2026"/>
    <n v="70"/>
    <n v="0"/>
    <n v="70"/>
    <n v="23240"/>
    <m/>
    <s v="UNIAO DO SUL"/>
    <s v="01730387942"/>
    <n v="332"/>
    <n v="0"/>
  </r>
  <r>
    <d v="2025-04-30T07:53:14"/>
    <n v="207"/>
    <x v="78"/>
    <d v="2025-04-30T00:00:00"/>
    <d v="2026-09-30T00:00:00"/>
    <x v="2"/>
    <x v="2"/>
    <s v="510200"/>
    <x v="18"/>
    <x v="1"/>
    <s v="KG"/>
    <n v="177"/>
    <s v="4873"/>
    <s v="SAFRINHA 2026"/>
    <n v="280"/>
    <n v="0"/>
    <n v="280"/>
    <n v="49560"/>
    <m/>
    <s v="UNIAO DO SUL"/>
    <s v="01730387942"/>
    <n v="177"/>
    <n v="0"/>
  </r>
  <r>
    <d v="2025-04-30T07:58:43"/>
    <n v="208"/>
    <x v="78"/>
    <d v="2025-04-30T00:00:00"/>
    <d v="2026-04-30T00:00:00"/>
    <x v="2"/>
    <x v="2"/>
    <s v="510200"/>
    <x v="11"/>
    <x v="1"/>
    <s v="LT"/>
    <n v="332"/>
    <s v="4872"/>
    <s v="SAFRA 25/26"/>
    <n v="164"/>
    <n v="0"/>
    <n v="164"/>
    <n v="54448"/>
    <m/>
    <s v="UNIAO DO SUL"/>
    <s v="01730387942"/>
    <n v="332"/>
    <n v="0"/>
  </r>
  <r>
    <d v="2025-04-30T07:58:43"/>
    <n v="208"/>
    <x v="78"/>
    <d v="2025-04-30T00:00:00"/>
    <d v="2026-04-30T00:00:00"/>
    <x v="2"/>
    <x v="2"/>
    <s v="510200"/>
    <x v="18"/>
    <x v="1"/>
    <s v="KG"/>
    <n v="177"/>
    <s v="4872"/>
    <s v="SAFRA 25/26"/>
    <n v="205"/>
    <n v="0"/>
    <n v="205"/>
    <n v="36285"/>
    <m/>
    <s v="UNIAO DO SUL"/>
    <s v="01730387942"/>
    <n v="177"/>
    <n v="0"/>
  </r>
  <r>
    <d v="2025-04-30T07:58:43"/>
    <n v="208"/>
    <x v="78"/>
    <d v="2025-04-30T00:00:00"/>
    <d v="2026-04-30T00:00:00"/>
    <x v="2"/>
    <x v="2"/>
    <s v="510200"/>
    <x v="9"/>
    <x v="1"/>
    <s v="LT"/>
    <n v="44.11"/>
    <s v="4872"/>
    <s v="SAFRA 25/26"/>
    <n v="330"/>
    <n v="0"/>
    <n v="330"/>
    <n v="14556.3"/>
    <m/>
    <s v="UNIAO DO SUL"/>
    <s v="01730387942"/>
    <n v="44.11"/>
    <n v="0"/>
  </r>
  <r>
    <d v="2025-04-30T07:58:43"/>
    <n v="208"/>
    <x v="78"/>
    <d v="2025-04-30T00:00:00"/>
    <d v="2026-04-30T00:00:00"/>
    <x v="2"/>
    <x v="2"/>
    <s v="510200"/>
    <x v="13"/>
    <x v="1"/>
    <s v="LT"/>
    <n v="44.11"/>
    <s v="4872"/>
    <s v="SAFRA 25/26"/>
    <n v="411"/>
    <n v="0"/>
    <n v="411"/>
    <n v="18129.21"/>
    <m/>
    <s v="UNIAO DO SUL"/>
    <s v="01730387942"/>
    <n v="44.11"/>
    <n v="0"/>
  </r>
  <r>
    <d v="2025-04-30T07:58:43"/>
    <n v="208"/>
    <x v="78"/>
    <d v="2025-04-30T00:00:00"/>
    <d v="2026-04-30T00:00:00"/>
    <x v="2"/>
    <x v="2"/>
    <s v="510200"/>
    <x v="10"/>
    <x v="1"/>
    <s v="LT"/>
    <n v="289"/>
    <s v="4872"/>
    <s v="SAFRA 25/26"/>
    <n v="164"/>
    <n v="0"/>
    <n v="164"/>
    <n v="47396"/>
    <m/>
    <s v="UNIAO DO SUL"/>
    <s v="01730387942"/>
    <n v="289"/>
    <n v="0"/>
  </r>
  <r>
    <d v="2026-01-13T14:26:04"/>
    <n v="494"/>
    <x v="78"/>
    <d v="2026-01-13T00:00:00"/>
    <d v="2026-09-30T00:00:00"/>
    <x v="2"/>
    <x v="2"/>
    <s v="510200"/>
    <x v="9"/>
    <x v="1"/>
    <s v="LT"/>
    <n v="44.11"/>
    <s v="135"/>
    <s v="SAFRINHA 2026"/>
    <n v="24"/>
    <n v="0"/>
    <n v="24"/>
    <n v="1058.6399999999999"/>
    <m/>
    <s v="UNIAO DO SUL"/>
    <s v="01730387942"/>
    <n v="44.11"/>
    <n v="0"/>
  </r>
  <r>
    <d v="2026-01-13T14:26:04"/>
    <n v="494"/>
    <x v="78"/>
    <d v="2026-01-13T00:00:00"/>
    <d v="2026-09-30T00:00:00"/>
    <x v="2"/>
    <x v="2"/>
    <s v="510200"/>
    <x v="10"/>
    <x v="1"/>
    <s v="LT"/>
    <n v="289"/>
    <s v="135"/>
    <s v="SAFRINHA 2026"/>
    <n v="9"/>
    <n v="0"/>
    <n v="9"/>
    <n v="2601"/>
    <m/>
    <s v="UNIAO DO SUL"/>
    <s v="01730387942"/>
    <n v="289"/>
    <n v="0"/>
  </r>
  <r>
    <d v="2026-01-13T14:26:04"/>
    <n v="494"/>
    <x v="78"/>
    <d v="2026-01-13T00:00:00"/>
    <d v="2026-09-30T00:00:00"/>
    <x v="2"/>
    <x v="2"/>
    <s v="510200"/>
    <x v="18"/>
    <x v="1"/>
    <s v="KG"/>
    <n v="177"/>
    <s v="135"/>
    <s v="SAFRINHA 2026"/>
    <n v="36"/>
    <n v="0"/>
    <n v="36"/>
    <n v="6372"/>
    <m/>
    <s v="UNIAO DO SUL"/>
    <s v="01730387942"/>
    <n v="177"/>
    <n v="0"/>
  </r>
  <r>
    <d v="2026-01-13T14:26:04"/>
    <n v="494"/>
    <x v="78"/>
    <d v="2026-01-13T00:00:00"/>
    <d v="2026-09-30T00:00:00"/>
    <x v="2"/>
    <x v="2"/>
    <s v="510200"/>
    <x v="11"/>
    <x v="1"/>
    <s v="LT"/>
    <n v="332"/>
    <s v="135"/>
    <s v="SAFRINHA 2026"/>
    <n v="9"/>
    <n v="0"/>
    <n v="9"/>
    <n v="2988"/>
    <m/>
    <s v="UNIAO DO SUL"/>
    <s v="01730387942"/>
    <n v="332"/>
    <n v="0"/>
  </r>
  <r>
    <d v="2026-01-27T16:10:48"/>
    <n v="516"/>
    <x v="78"/>
    <d v="2026-01-27T00:00:00"/>
    <d v="2026-08-30T00:00:00"/>
    <x v="2"/>
    <x v="0"/>
    <s v="510200"/>
    <x v="12"/>
    <x v="0"/>
    <s v="LT"/>
    <n v="185"/>
    <s v="429"/>
    <s v="SAFRINHA 2026"/>
    <n v="290"/>
    <n v="0"/>
    <n v="290"/>
    <n v="53650"/>
    <m/>
    <s v="UNIAO DO SUL"/>
    <s v="01730387942"/>
    <n v="185"/>
    <n v="0"/>
  </r>
  <r>
    <d v="2026-01-27T16:10:48"/>
    <n v="516"/>
    <x v="78"/>
    <d v="2026-01-27T00:00:00"/>
    <d v="2026-08-30T00:00:00"/>
    <x v="2"/>
    <x v="0"/>
    <s v="510200"/>
    <x v="19"/>
    <x v="0"/>
    <s v="LT"/>
    <n v="850"/>
    <s v="429"/>
    <s v="SAFRINHA 2026"/>
    <n v="40"/>
    <n v="0"/>
    <n v="40"/>
    <n v="34000"/>
    <m/>
    <s v="UNIAO DO SUL"/>
    <s v="01730387942"/>
    <n v="850"/>
    <n v="0"/>
  </r>
  <r>
    <d v="2026-02-10T08:09:18"/>
    <n v="541"/>
    <x v="78"/>
    <d v="2026-02-10T00:00:00"/>
    <d v="2026-09-30T00:00:00"/>
    <x v="2"/>
    <x v="2"/>
    <s v="510200"/>
    <x v="20"/>
    <x v="1"/>
    <s v="LT"/>
    <n v="35"/>
    <s v="436"/>
    <s v="SAFRINHA 2026"/>
    <n v="1500"/>
    <n v="0"/>
    <n v="1500"/>
    <n v="52500"/>
    <m/>
    <s v="UNIAO DO SUL"/>
    <s v="01730387942"/>
    <n v="35"/>
    <n v="0"/>
  </r>
  <r>
    <d v="2026-02-10T08:09:18"/>
    <n v="541"/>
    <x v="78"/>
    <d v="2026-02-10T00:00:00"/>
    <d v="2026-09-30T00:00:00"/>
    <x v="2"/>
    <x v="0"/>
    <s v="510200"/>
    <x v="81"/>
    <x v="2"/>
    <s v="LT"/>
    <n v="20"/>
    <s v="436"/>
    <s v="SAFRINHA 2026"/>
    <n v="3980"/>
    <n v="220"/>
    <n v="3760"/>
    <n v="75200"/>
    <m/>
    <s v="UNIAO DO SUL"/>
    <s v="01730387942"/>
    <n v="20"/>
    <n v="0"/>
  </r>
  <r>
    <d v="2026-02-20T08:48:22"/>
    <n v="556"/>
    <x v="78"/>
    <d v="2026-02-20T00:00:00"/>
    <d v="2026-09-30T00:00:00"/>
    <x v="2"/>
    <x v="2"/>
    <s v="510200"/>
    <x v="11"/>
    <x v="1"/>
    <s v="LT"/>
    <n v="332"/>
    <s v="442"/>
    <s v="SAFRINHA 2026"/>
    <n v="8"/>
    <n v="0"/>
    <n v="8"/>
    <n v="2656"/>
    <m/>
    <s v="UNIAO DO SUL"/>
    <s v="01730387942"/>
    <n v="332"/>
    <n v="0"/>
  </r>
  <r>
    <d v="2026-02-20T08:48:22"/>
    <n v="556"/>
    <x v="78"/>
    <d v="2026-02-20T00:00:00"/>
    <d v="2026-09-30T00:00:00"/>
    <x v="2"/>
    <x v="2"/>
    <s v="510200"/>
    <x v="10"/>
    <x v="1"/>
    <s v="LT"/>
    <n v="289"/>
    <s v="442"/>
    <s v="SAFRINHA 2026"/>
    <n v="8"/>
    <n v="0"/>
    <n v="8"/>
    <n v="2312"/>
    <m/>
    <s v="UNIAO DO SUL"/>
    <s v="01730387942"/>
    <n v="289"/>
    <n v="0"/>
  </r>
  <r>
    <d v="2026-02-20T08:48:22"/>
    <n v="556"/>
    <x v="78"/>
    <d v="2026-02-20T00:00:00"/>
    <d v="2026-09-30T00:00:00"/>
    <x v="2"/>
    <x v="2"/>
    <s v="510200"/>
    <x v="9"/>
    <x v="1"/>
    <s v="LT"/>
    <n v="44.11"/>
    <s v="442"/>
    <s v="SAFRINHA 2026"/>
    <n v="12"/>
    <n v="12"/>
    <n v="0"/>
    <n v="0"/>
    <m/>
    <s v="UNIAO DO SUL"/>
    <s v="01730387942"/>
    <n v="44.11"/>
    <n v="0"/>
  </r>
  <r>
    <d v="2026-02-20T08:48:22"/>
    <n v="556"/>
    <x v="78"/>
    <d v="2026-02-20T00:00:00"/>
    <d v="2026-09-30T00:00:00"/>
    <x v="2"/>
    <x v="2"/>
    <s v="510200"/>
    <x v="18"/>
    <x v="1"/>
    <s v="KG"/>
    <n v="177"/>
    <s v="442"/>
    <s v="SAFRINHA 2026"/>
    <n v="14"/>
    <n v="0"/>
    <n v="14"/>
    <n v="2478"/>
    <m/>
    <s v="UNIAO DO SUL"/>
    <s v="01730387942"/>
    <n v="177"/>
    <n v="0"/>
  </r>
  <r>
    <d v="2026-01-09T13:40:26"/>
    <n v="489"/>
    <x v="79"/>
    <d v="2026-01-09T00:00:00"/>
    <d v="2026-08-30T00:00:00"/>
    <x v="2"/>
    <x v="2"/>
    <s v="510200"/>
    <x v="74"/>
    <x v="1"/>
    <s v="LT"/>
    <n v="36"/>
    <s v="131"/>
    <s v="SAFRINHA 2026"/>
    <n v="160"/>
    <n v="0"/>
    <n v="160"/>
    <n v="5760"/>
    <m/>
    <s v="CLAUDIA"/>
    <s v="05531478119"/>
    <n v="36"/>
    <n v="0"/>
  </r>
  <r>
    <d v="2025-04-17T10:16:55"/>
    <n v="188"/>
    <x v="80"/>
    <d v="2025-04-17T00:00:00"/>
    <d v="2026-08-30T00:00:00"/>
    <x v="13"/>
    <x v="2"/>
    <s v="510200"/>
    <x v="10"/>
    <x v="1"/>
    <s v="LT"/>
    <n v="295"/>
    <s v="5204"/>
    <s v="SAFRINHA 2026"/>
    <n v="225"/>
    <n v="0"/>
    <n v="225"/>
    <n v="66375"/>
    <m/>
    <s v="CLAUDIA"/>
    <s v="34571485972"/>
    <n v="295"/>
    <n v="0"/>
  </r>
  <r>
    <d v="2025-04-17T10:16:55"/>
    <n v="188"/>
    <x v="80"/>
    <d v="2025-04-17T00:00:00"/>
    <d v="2026-08-30T00:00:00"/>
    <x v="13"/>
    <x v="2"/>
    <s v="510200"/>
    <x v="9"/>
    <x v="1"/>
    <s v="LT"/>
    <n v="46.5"/>
    <s v="5204"/>
    <s v="SAFRINHA 2026"/>
    <n v="600"/>
    <n v="0"/>
    <n v="600"/>
    <n v="27900"/>
    <m/>
    <s v="CLAUDIA"/>
    <s v="34571485972"/>
    <n v="46.5"/>
    <n v="0"/>
  </r>
  <r>
    <d v="2025-04-17T10:16:55"/>
    <n v="188"/>
    <x v="80"/>
    <d v="2025-04-17T00:00:00"/>
    <d v="2026-08-30T00:00:00"/>
    <x v="13"/>
    <x v="2"/>
    <s v="510200"/>
    <x v="23"/>
    <x v="1"/>
    <s v="KG"/>
    <n v="370"/>
    <s v="5204"/>
    <s v="SAFRINHA 2026"/>
    <n v="600"/>
    <n v="0"/>
    <n v="600"/>
    <n v="222000"/>
    <m/>
    <s v="CLAUDIA"/>
    <s v="34571485972"/>
    <n v="370"/>
    <n v="0"/>
  </r>
  <r>
    <d v="2025-04-17T10:16:55"/>
    <n v="188"/>
    <x v="80"/>
    <d v="2025-04-17T00:00:00"/>
    <d v="2026-08-30T00:00:00"/>
    <x v="13"/>
    <x v="2"/>
    <s v="510200"/>
    <x v="11"/>
    <x v="1"/>
    <s v="LT"/>
    <n v="310"/>
    <s v="5204"/>
    <s v="SAFRINHA 2026"/>
    <n v="225"/>
    <n v="0"/>
    <n v="225"/>
    <n v="69750"/>
    <m/>
    <s v="CLAUDIA"/>
    <s v="34571485972"/>
    <n v="310"/>
    <n v="0"/>
  </r>
  <r>
    <d v="2025-04-17T10:16:55"/>
    <n v="188"/>
    <x v="80"/>
    <d v="2025-04-17T00:00:00"/>
    <d v="2026-08-30T00:00:00"/>
    <x v="13"/>
    <x v="2"/>
    <s v="510200"/>
    <x v="14"/>
    <x v="1"/>
    <s v="KG"/>
    <n v="373"/>
    <s v="5204"/>
    <s v="SAFRINHA 2026"/>
    <n v="300"/>
    <n v="0"/>
    <n v="300"/>
    <n v="111900"/>
    <m/>
    <s v="CLAUDIA"/>
    <s v="34571485972"/>
    <n v="373"/>
    <n v="0"/>
  </r>
  <r>
    <d v="2025-04-17T10:43:06"/>
    <n v="189"/>
    <x v="80"/>
    <d v="2025-04-17T00:00:00"/>
    <d v="2026-04-30T00:00:00"/>
    <x v="13"/>
    <x v="2"/>
    <s v="510200"/>
    <x v="9"/>
    <x v="1"/>
    <s v="LT"/>
    <n v="46.5"/>
    <s v="5203"/>
    <s v="SAFRA 25/26"/>
    <n v="681"/>
    <n v="0"/>
    <n v="681"/>
    <n v="31666.5"/>
    <m/>
    <s v="CLAUDIA"/>
    <s v="34571485972"/>
    <n v="46.5"/>
    <n v="0"/>
  </r>
  <r>
    <d v="2025-04-17T10:43:06"/>
    <n v="189"/>
    <x v="80"/>
    <d v="2025-04-17T00:00:00"/>
    <d v="2026-04-30T00:00:00"/>
    <x v="13"/>
    <x v="2"/>
    <s v="510200"/>
    <x v="11"/>
    <x v="1"/>
    <s v="LT"/>
    <n v="310"/>
    <s v="5203"/>
    <s v="SAFRA 25/26"/>
    <n v="140"/>
    <n v="0"/>
    <n v="140"/>
    <n v="43400"/>
    <m/>
    <s v="CLAUDIA"/>
    <s v="34571485972"/>
    <n v="310"/>
    <n v="0"/>
  </r>
  <r>
    <d v="2025-04-17T10:43:06"/>
    <n v="189"/>
    <x v="80"/>
    <d v="2025-04-17T00:00:00"/>
    <d v="2026-04-30T00:00:00"/>
    <x v="13"/>
    <x v="2"/>
    <s v="510200"/>
    <x v="10"/>
    <x v="1"/>
    <s v="LT"/>
    <n v="295"/>
    <s v="5203"/>
    <s v="SAFRA 25/26"/>
    <n v="140"/>
    <n v="0"/>
    <n v="140"/>
    <n v="41300"/>
    <m/>
    <s v="CLAUDIA"/>
    <s v="34571485972"/>
    <n v="295"/>
    <n v="0"/>
  </r>
  <r>
    <d v="2025-04-17T10:43:06"/>
    <n v="189"/>
    <x v="80"/>
    <d v="2025-04-17T00:00:00"/>
    <d v="2026-04-30T00:00:00"/>
    <x v="13"/>
    <x v="2"/>
    <s v="510200"/>
    <x v="17"/>
    <x v="1"/>
    <s v="LT"/>
    <n v="42"/>
    <s v="5203"/>
    <s v="SAFRA 25/26"/>
    <n v="1362"/>
    <n v="0"/>
    <n v="1362"/>
    <n v="57204"/>
    <m/>
    <s v="CLAUDIA"/>
    <s v="34571485972"/>
    <n v="42"/>
    <n v="0"/>
  </r>
  <r>
    <d v="2025-06-24T15:32:54"/>
    <n v="238"/>
    <x v="80"/>
    <d v="2025-06-24T00:00:00"/>
    <d v="2026-04-30T00:00:00"/>
    <x v="13"/>
    <x v="0"/>
    <s v="510200"/>
    <x v="7"/>
    <x v="0"/>
    <s v="LT"/>
    <n v="67"/>
    <s v="5221"/>
    <s v="SAFRA 25/26"/>
    <n v="700"/>
    <n v="0"/>
    <n v="700"/>
    <n v="46900"/>
    <m/>
    <s v="CLAUDIA"/>
    <s v="34571485972"/>
    <n v="67"/>
    <n v="0"/>
  </r>
  <r>
    <d v="2025-06-24T15:32:54"/>
    <n v="238"/>
    <x v="80"/>
    <d v="2025-06-24T00:00:00"/>
    <d v="2026-04-30T00:00:00"/>
    <x v="13"/>
    <x v="0"/>
    <s v="510200"/>
    <x v="47"/>
    <x v="2"/>
    <s v="KG"/>
    <n v="30"/>
    <s v="5221"/>
    <s v="SAFRA 25/26"/>
    <n v="3600"/>
    <n v="0"/>
    <n v="3600"/>
    <n v="108000"/>
    <m/>
    <s v="CLAUDIA"/>
    <s v="34571485972"/>
    <n v="30"/>
    <n v="0"/>
  </r>
  <r>
    <d v="2025-06-24T15:32:54"/>
    <n v="238"/>
    <x v="80"/>
    <d v="2025-06-24T00:00:00"/>
    <d v="2026-04-30T00:00:00"/>
    <x v="13"/>
    <x v="0"/>
    <s v="510200"/>
    <x v="61"/>
    <x v="2"/>
    <s v="KG"/>
    <n v="30"/>
    <s v="5221"/>
    <s v="SAFRA 25/26"/>
    <n v="3200"/>
    <n v="0"/>
    <n v="3200"/>
    <n v="96000"/>
    <m/>
    <s v="CLAUDIA"/>
    <s v="34571485972"/>
    <n v="30"/>
    <n v="0"/>
  </r>
  <r>
    <d v="2025-06-24T15:32:54"/>
    <n v="238"/>
    <x v="80"/>
    <d v="2025-06-24T00:00:00"/>
    <d v="2026-04-30T00:00:00"/>
    <x v="13"/>
    <x v="0"/>
    <s v="510200"/>
    <x v="6"/>
    <x v="0"/>
    <s v="LT"/>
    <n v="67"/>
    <s v="5221"/>
    <s v="SAFRA 25/26"/>
    <n v="2000"/>
    <n v="0"/>
    <n v="2000"/>
    <n v="134000"/>
    <m/>
    <s v="CLAUDIA"/>
    <s v="34571485972"/>
    <n v="67"/>
    <n v="0"/>
  </r>
  <r>
    <d v="2025-10-21T17:11:45"/>
    <n v="373"/>
    <x v="80"/>
    <d v="2025-10-21T00:00:00"/>
    <d v="2026-04-30T00:00:00"/>
    <x v="13"/>
    <x v="2"/>
    <s v="510200"/>
    <x v="10"/>
    <x v="1"/>
    <s v="LT"/>
    <n v="295"/>
    <s v="246"/>
    <s v="SAFRA 25/26"/>
    <n v="30"/>
    <n v="0"/>
    <n v="30"/>
    <n v="8850"/>
    <m/>
    <s v="CLAUDIA"/>
    <s v="34571485972"/>
    <n v="295"/>
    <n v="0"/>
  </r>
  <r>
    <d v="2025-10-21T17:11:45"/>
    <n v="373"/>
    <x v="80"/>
    <d v="2025-10-21T00:00:00"/>
    <d v="2026-04-30T00:00:00"/>
    <x v="13"/>
    <x v="2"/>
    <s v="510200"/>
    <x v="11"/>
    <x v="1"/>
    <s v="LT"/>
    <n v="310"/>
    <s v="246"/>
    <s v="SAFRA 25/26"/>
    <n v="36"/>
    <n v="0"/>
    <n v="36"/>
    <n v="11160"/>
    <m/>
    <s v="CLAUDIA"/>
    <s v="34571485972"/>
    <n v="310"/>
    <n v="0"/>
  </r>
  <r>
    <d v="2025-11-21T14:25:50"/>
    <n v="418"/>
    <x v="80"/>
    <d v="2025-11-21T00:00:00"/>
    <d v="2026-04-30T00:00:00"/>
    <x v="13"/>
    <x v="0"/>
    <s v="510200"/>
    <x v="82"/>
    <x v="2"/>
    <s v="KG"/>
    <n v="30"/>
    <s v="98"/>
    <s v="SAFRA 25/26"/>
    <n v="6800"/>
    <n v="0"/>
    <n v="6800"/>
    <n v="204000"/>
    <m/>
    <s v="CLAUDIA"/>
    <s v="34571485972"/>
    <n v="30"/>
    <n v="0"/>
  </r>
  <r>
    <d v="2025-12-05T09:19:39"/>
    <n v="445"/>
    <x v="80"/>
    <d v="2025-12-05T00:00:00"/>
    <d v="2026-04-30T00:00:00"/>
    <x v="13"/>
    <x v="0"/>
    <s v="510200"/>
    <x v="6"/>
    <x v="0"/>
    <s v="LT"/>
    <n v="67"/>
    <s v="456"/>
    <s v="SAFRA 25/26"/>
    <n v="630"/>
    <n v="0"/>
    <n v="630"/>
    <n v="42210"/>
    <m/>
    <s v="CLAUDIA"/>
    <s v="34571485972"/>
    <n v="67"/>
    <n v="0"/>
  </r>
  <r>
    <d v="2025-12-20T11:03:45"/>
    <n v="462"/>
    <x v="80"/>
    <d v="2025-12-20T00:00:00"/>
    <d v="2026-08-30T00:00:00"/>
    <x v="13"/>
    <x v="2"/>
    <s v="510200"/>
    <x v="23"/>
    <x v="1"/>
    <s v="KG"/>
    <n v="370"/>
    <s v="418"/>
    <s v="SAFRINHA 2026"/>
    <n v="500"/>
    <n v="0"/>
    <n v="500"/>
    <n v="185000"/>
    <m/>
    <s v="CLAUDIA"/>
    <s v="34571485972"/>
    <n v="370"/>
    <n v="0"/>
  </r>
  <r>
    <d v="2025-12-30T11:14:31"/>
    <n v="474"/>
    <x v="80"/>
    <d v="2025-12-30T00:00:00"/>
    <d v="2026-08-30T00:00:00"/>
    <x v="13"/>
    <x v="0"/>
    <s v="510200"/>
    <x v="6"/>
    <x v="0"/>
    <s v="LT"/>
    <n v="67"/>
    <s v="422"/>
    <s v="SAFRINHA 2026"/>
    <n v="1100"/>
    <n v="0"/>
    <n v="1100"/>
    <n v="73700"/>
    <m/>
    <s v="CLAUDIA"/>
    <s v="34571485972"/>
    <n v="67"/>
    <n v="0"/>
  </r>
  <r>
    <d v="2026-01-19T10:12:40"/>
    <n v="507"/>
    <x v="80"/>
    <d v="2026-01-19T00:00:00"/>
    <d v="2026-04-30T00:00:00"/>
    <x v="13"/>
    <x v="0"/>
    <s v="510200"/>
    <x v="7"/>
    <x v="0"/>
    <s v="LT"/>
    <n v="67"/>
    <s v="425"/>
    <s v="SAFRA 25/26"/>
    <n v="35"/>
    <n v="0"/>
    <n v="35"/>
    <n v="2345"/>
    <m/>
    <s v="CLAUDIA"/>
    <s v="34571485972"/>
    <n v="67"/>
    <n v="0"/>
  </r>
  <r>
    <d v="2026-02-09T09:50:39"/>
    <n v="535"/>
    <x v="80"/>
    <d v="2026-02-09T00:00:00"/>
    <d v="2026-08-30T00:00:00"/>
    <x v="13"/>
    <x v="2"/>
    <s v="510200"/>
    <x v="9"/>
    <x v="1"/>
    <s v="LT"/>
    <n v="46.5"/>
    <s v="5241"/>
    <s v="SAFRINHA 2026"/>
    <n v="420"/>
    <n v="0"/>
    <n v="420"/>
    <n v="19530"/>
    <m/>
    <s v="CLAUDIA"/>
    <s v="34571485972"/>
    <n v="46.5"/>
    <n v="0"/>
  </r>
  <r>
    <d v="2025-09-04T08:17:52"/>
    <n v="4010"/>
    <x v="81"/>
    <d v="2025-09-01T00:00:00"/>
    <d v="2026-05-30T00:00:00"/>
    <x v="3"/>
    <x v="1"/>
    <s v="510200"/>
    <x v="25"/>
    <x v="1"/>
    <s v="KG"/>
    <n v="490"/>
    <s v="4410"/>
    <s v="SAFRA 25/26"/>
    <n v="290"/>
    <n v="0"/>
    <n v="290"/>
    <n v="142100"/>
    <m/>
    <s v="SORRISO"/>
    <s v="84117508172"/>
    <n v="490"/>
    <n v="0"/>
  </r>
  <r>
    <d v="2025-09-04T08:17:52"/>
    <n v="4010"/>
    <x v="81"/>
    <d v="2025-09-01T00:00:00"/>
    <d v="2026-05-30T00:00:00"/>
    <x v="3"/>
    <x v="1"/>
    <s v="510200"/>
    <x v="9"/>
    <x v="1"/>
    <s v="LT"/>
    <n v="43.2"/>
    <s v="4410"/>
    <s v="SAFRA 25/26"/>
    <n v="660"/>
    <n v="0"/>
    <n v="660"/>
    <n v="28512.000000000004"/>
    <m/>
    <s v="SORRISO"/>
    <s v="84117508172"/>
    <n v="43.2"/>
    <n v="0"/>
  </r>
  <r>
    <d v="2025-09-04T08:17:52"/>
    <n v="4010"/>
    <x v="81"/>
    <d v="2025-09-01T00:00:00"/>
    <d v="2026-05-30T00:00:00"/>
    <x v="3"/>
    <x v="1"/>
    <s v="510200"/>
    <x v="13"/>
    <x v="1"/>
    <s v="LT"/>
    <n v="38"/>
    <s v="4410"/>
    <s v="SAFRA 25/26"/>
    <n v="990"/>
    <n v="0"/>
    <n v="990"/>
    <n v="37620"/>
    <m/>
    <s v="SORRISO"/>
    <s v="84117508172"/>
    <n v="38"/>
    <n v="0"/>
  </r>
  <r>
    <d v="2025-09-04T08:17:52"/>
    <n v="4010"/>
    <x v="81"/>
    <d v="2025-09-01T00:00:00"/>
    <d v="2026-05-30T00:00:00"/>
    <x v="3"/>
    <x v="1"/>
    <s v="510200"/>
    <x v="10"/>
    <x v="1"/>
    <s v="LT"/>
    <n v="290"/>
    <s v="4410"/>
    <s v="SAFRA 25/26"/>
    <n v="40"/>
    <n v="0"/>
    <n v="40"/>
    <n v="11600"/>
    <m/>
    <s v="SORRISO"/>
    <s v="84117508172"/>
    <n v="290"/>
    <n v="0"/>
  </r>
  <r>
    <d v="2025-09-04T08:17:52"/>
    <n v="4010"/>
    <x v="81"/>
    <d v="2025-09-01T00:00:00"/>
    <d v="2026-05-30T00:00:00"/>
    <x v="3"/>
    <x v="1"/>
    <s v="510200"/>
    <x v="11"/>
    <x v="1"/>
    <s v="LT"/>
    <n v="290"/>
    <s v="4410"/>
    <s v="SAFRA 25/26"/>
    <n v="330"/>
    <n v="0"/>
    <n v="330"/>
    <n v="95700"/>
    <m/>
    <s v="SORRISO"/>
    <s v="84117508172"/>
    <n v="290"/>
    <n v="0"/>
  </r>
  <r>
    <d v="2025-10-09T09:07:29"/>
    <n v="4135"/>
    <x v="81"/>
    <d v="2025-10-09T00:00:00"/>
    <d v="2026-05-30T00:00:00"/>
    <x v="3"/>
    <x v="1"/>
    <s v="510200"/>
    <x v="25"/>
    <x v="1"/>
    <s v="KG"/>
    <n v="490"/>
    <s v="5646"/>
    <s v="SAFRA 25/26"/>
    <n v="40"/>
    <n v="0"/>
    <n v="40"/>
    <n v="19600"/>
    <m/>
    <s v="SORRISO"/>
    <s v="84117508172"/>
    <n v="490"/>
    <n v="0"/>
  </r>
  <r>
    <d v="2025-12-19T09:01:29"/>
    <n v="4369"/>
    <x v="82"/>
    <d v="2025-12-17T00:00:00"/>
    <d v="2025-12-17T00:00:00"/>
    <x v="3"/>
    <x v="0"/>
    <s v="510200"/>
    <x v="3"/>
    <x v="0"/>
    <s v="LT"/>
    <n v="23"/>
    <s v="5905"/>
    <s v="SAFRINHA 2026"/>
    <n v="20"/>
    <n v="0"/>
    <n v="20"/>
    <n v="460"/>
    <m/>
    <s v="ITANHANGA"/>
    <s v="96806222153"/>
    <n v="23"/>
    <n v="0"/>
  </r>
  <r>
    <d v="2025-12-19T09:01:29"/>
    <n v="4369"/>
    <x v="82"/>
    <d v="2025-12-17T00:00:00"/>
    <d v="2025-12-17T00:00:00"/>
    <x v="3"/>
    <x v="0"/>
    <s v="510200"/>
    <x v="69"/>
    <x v="2"/>
    <s v="LT"/>
    <n v="10.4"/>
    <s v="5905"/>
    <s v="SAFRINHA 2026"/>
    <n v="75"/>
    <n v="0"/>
    <n v="75"/>
    <n v="780"/>
    <m/>
    <s v="ITANHANGA"/>
    <s v="96806222153"/>
    <n v="10.4"/>
    <n v="0"/>
  </r>
  <r>
    <d v="2025-12-19T09:01:29"/>
    <n v="4369"/>
    <x v="82"/>
    <d v="2025-12-17T00:00:00"/>
    <d v="2025-12-17T00:00:00"/>
    <x v="3"/>
    <x v="0"/>
    <s v="510200"/>
    <x v="46"/>
    <x v="0"/>
    <s v="LT"/>
    <n v="18"/>
    <s v="5905"/>
    <s v="SAFRINHA 2026"/>
    <n v="20"/>
    <n v="0"/>
    <n v="20"/>
    <n v="360"/>
    <m/>
    <s v="ITANHANGA"/>
    <s v="96806222153"/>
    <n v="18"/>
    <n v="0"/>
  </r>
  <r>
    <d v="2025-08-01T09:48:19"/>
    <n v="3952"/>
    <x v="83"/>
    <d v="2025-08-01T00:00:00"/>
    <d v="2026-03-30T00:00:00"/>
    <x v="7"/>
    <x v="0"/>
    <s v="510200"/>
    <x v="6"/>
    <x v="0"/>
    <s v="LT"/>
    <n v="65"/>
    <s v="5442"/>
    <s v="SAFRA 25/26"/>
    <n v="340"/>
    <n v="0"/>
    <n v="340"/>
    <n v="22100"/>
    <m/>
    <s v="SORRISO"/>
    <s v="55504280168"/>
    <n v="65"/>
    <n v="0"/>
  </r>
  <r>
    <d v="2025-08-01T09:48:19"/>
    <n v="3952"/>
    <x v="83"/>
    <d v="2025-08-01T00:00:00"/>
    <d v="2026-03-30T00:00:00"/>
    <x v="7"/>
    <x v="0"/>
    <s v="510200"/>
    <x v="7"/>
    <x v="0"/>
    <s v="LT"/>
    <n v="65"/>
    <s v="5442"/>
    <s v="SAFRA 25/26"/>
    <n v="150"/>
    <n v="0"/>
    <n v="150"/>
    <n v="9750"/>
    <m/>
    <s v="SORRISO"/>
    <s v="55504280168"/>
    <n v="65"/>
    <n v="0"/>
  </r>
  <r>
    <d v="2025-08-25T10:43:58"/>
    <n v="3996"/>
    <x v="84"/>
    <d v="2025-08-25T00:00:00"/>
    <d v="2026-03-30T00:00:00"/>
    <x v="3"/>
    <x v="0"/>
    <s v="510200"/>
    <x v="72"/>
    <x v="2"/>
    <s v="KG"/>
    <n v="330"/>
    <s v="5555"/>
    <s v="SAFRA 25/26"/>
    <n v="121"/>
    <n v="0"/>
    <n v="121"/>
    <n v="39930"/>
    <m/>
    <s v="NOVA UBIRATA"/>
    <s v="79901069149"/>
    <n v="330"/>
    <n v="0"/>
  </r>
  <r>
    <d v="2025-08-25T10:43:58"/>
    <n v="3996"/>
    <x v="84"/>
    <d v="2025-08-25T00:00:00"/>
    <d v="2026-03-30T00:00:00"/>
    <x v="3"/>
    <x v="0"/>
    <s v="510200"/>
    <x v="29"/>
    <x v="2"/>
    <s v="LT"/>
    <n v="11"/>
    <s v="5555"/>
    <s v="SAFRA 25/26"/>
    <n v="1950"/>
    <n v="0"/>
    <n v="1950"/>
    <n v="21450"/>
    <m/>
    <s v="NOVA UBIRATA"/>
    <s v="79901069149"/>
    <n v="11"/>
    <n v="0"/>
  </r>
  <r>
    <d v="2025-08-25T10:43:58"/>
    <n v="3996"/>
    <x v="84"/>
    <d v="2025-08-25T00:00:00"/>
    <d v="2026-03-30T00:00:00"/>
    <x v="3"/>
    <x v="0"/>
    <s v="510200"/>
    <x v="71"/>
    <x v="2"/>
    <s v="LT"/>
    <n v="18.780609999999999"/>
    <s v="5555"/>
    <s v="SAFRA 25/26"/>
    <n v="910"/>
    <n v="0"/>
    <n v="910"/>
    <n v="17090.355100000001"/>
    <m/>
    <s v="NOVA UBIRATA"/>
    <s v="79901069149"/>
    <n v="18.780609999999999"/>
    <n v="0"/>
  </r>
  <r>
    <d v="2025-08-25T10:43:58"/>
    <n v="3996"/>
    <x v="84"/>
    <d v="2025-08-25T00:00:00"/>
    <d v="2026-03-30T00:00:00"/>
    <x v="3"/>
    <x v="0"/>
    <s v="510200"/>
    <x v="70"/>
    <x v="2"/>
    <s v="LT"/>
    <n v="35"/>
    <s v="5555"/>
    <s v="SAFRA 25/26"/>
    <n v="200"/>
    <n v="0"/>
    <n v="200"/>
    <n v="7000"/>
    <m/>
    <s v="NOVA UBIRATA"/>
    <s v="79901069149"/>
    <n v="35"/>
    <n v="0"/>
  </r>
  <r>
    <d v="2025-09-17T10:59:32"/>
    <n v="4048"/>
    <x v="85"/>
    <d v="2025-09-17T00:00:00"/>
    <d v="2026-04-30T00:00:00"/>
    <x v="3"/>
    <x v="1"/>
    <s v="510200"/>
    <x v="9"/>
    <x v="1"/>
    <s v="LT"/>
    <n v="38"/>
    <s v="5620"/>
    <s v="SAFRA 25/26"/>
    <n v="81"/>
    <n v="0"/>
    <n v="81"/>
    <n v="3078"/>
    <m/>
    <s v="NOVA MUTUM"/>
    <s v="66762014100"/>
    <n v="38"/>
    <n v="0"/>
  </r>
  <r>
    <d v="2025-09-17T11:00:26"/>
    <n v="4050"/>
    <x v="85"/>
    <d v="2025-09-17T00:00:00"/>
    <d v="2026-04-30T00:00:00"/>
    <x v="3"/>
    <x v="1"/>
    <s v="510200"/>
    <x v="9"/>
    <x v="1"/>
    <s v="LT"/>
    <n v="38"/>
    <s v="5619"/>
    <s v="SAFRA 25/26"/>
    <n v="81"/>
    <n v="0"/>
    <n v="81"/>
    <n v="3078"/>
    <m/>
    <s v="SAO JOSE DO RIO CLARO"/>
    <s v="66762014100"/>
    <n v="38"/>
    <n v="0"/>
  </r>
  <r>
    <d v="2026-01-13T11:06:44"/>
    <n v="4437"/>
    <x v="85"/>
    <d v="2026-01-13T00:00:00"/>
    <d v="2026-08-30T00:00:00"/>
    <x v="3"/>
    <x v="1"/>
    <s v="510200"/>
    <x v="9"/>
    <x v="1"/>
    <s v="LT"/>
    <n v="38"/>
    <s v="5985"/>
    <s v="SAFRINHA 2026"/>
    <n v="162"/>
    <n v="0"/>
    <n v="162"/>
    <n v="6156"/>
    <m/>
    <s v="SAO JOSE DO RIO CLARO"/>
    <s v="66762014100"/>
    <n v="38"/>
    <n v="0"/>
  </r>
  <r>
    <d v="2025-09-01T14:40:37"/>
    <n v="4005"/>
    <x v="86"/>
    <d v="2025-09-01T00:00:00"/>
    <d v="2025-09-01T00:00:00"/>
    <x v="3"/>
    <x v="0"/>
    <s v="510200"/>
    <x v="83"/>
    <x v="2"/>
    <s v="LT"/>
    <n v="40"/>
    <s v="5562"/>
    <s v="SAFRA 25/26"/>
    <n v="50"/>
    <n v="0"/>
    <n v="50"/>
    <n v="2000"/>
    <m/>
    <s v="NOVA UBIRATA"/>
    <s v="99739070191"/>
    <n v="40"/>
    <n v="0"/>
  </r>
  <r>
    <d v="2025-10-07T17:36:59"/>
    <n v="4133"/>
    <x v="86"/>
    <d v="2025-10-07T00:00:00"/>
    <d v="2026-03-30T00:00:00"/>
    <x v="9"/>
    <x v="0"/>
    <s v="510200"/>
    <x v="84"/>
    <x v="2"/>
    <s v="LT"/>
    <n v="95"/>
    <s v="5643"/>
    <s v="SAFRA 25/26"/>
    <n v="255"/>
    <n v="0"/>
    <n v="255"/>
    <n v="24225"/>
    <m/>
    <s v="NOVA UBIRATA"/>
    <s v="99739070191"/>
    <n v="95"/>
    <n v="0"/>
  </r>
  <r>
    <d v="2025-10-07T17:36:59"/>
    <n v="4133"/>
    <x v="86"/>
    <d v="2025-10-07T00:00:00"/>
    <d v="2026-03-30T00:00:00"/>
    <x v="9"/>
    <x v="0"/>
    <s v="510200"/>
    <x v="85"/>
    <x v="2"/>
    <s v="LT"/>
    <n v="95"/>
    <s v="5643"/>
    <s v="SAFRA 25/26"/>
    <n v="45"/>
    <n v="0"/>
    <n v="45"/>
    <n v="4275"/>
    <m/>
    <s v="NOVA UBIRATA"/>
    <s v="99739070191"/>
    <n v="95"/>
    <n v="0"/>
  </r>
  <r>
    <d v="2025-11-25T08:11:24"/>
    <n v="4297"/>
    <x v="86"/>
    <d v="2025-11-25T00:00:00"/>
    <d v="2026-03-30T00:00:00"/>
    <x v="9"/>
    <x v="0"/>
    <s v="510200"/>
    <x v="84"/>
    <x v="2"/>
    <s v="LT"/>
    <n v="95"/>
    <s v="5826"/>
    <s v="SAFRA 25/26"/>
    <n v="156"/>
    <n v="0"/>
    <n v="156"/>
    <n v="14820"/>
    <m/>
    <s v="NOVA UBIRATA"/>
    <s v="99739070191"/>
    <n v="95"/>
    <n v="0"/>
  </r>
  <r>
    <d v="2025-12-04T09:43:42"/>
    <n v="4324"/>
    <x v="86"/>
    <d v="2025-12-04T00:00:00"/>
    <d v="2026-08-30T00:00:00"/>
    <x v="9"/>
    <x v="0"/>
    <s v="510200"/>
    <x v="81"/>
    <x v="2"/>
    <s v="LT"/>
    <n v="19.899999999999999"/>
    <s v="5840"/>
    <s v="SAFRINHA 2026"/>
    <n v="900"/>
    <n v="0"/>
    <n v="900"/>
    <n v="17910"/>
    <m/>
    <s v="NOVA UBIRATA"/>
    <s v="99739070191"/>
    <n v="19.899999999999999"/>
    <n v="0"/>
  </r>
  <r>
    <d v="2025-12-04T09:43:42"/>
    <n v="4324"/>
    <x v="86"/>
    <d v="2025-12-04T00:00:00"/>
    <d v="2026-08-30T00:00:00"/>
    <x v="9"/>
    <x v="0"/>
    <s v="510200"/>
    <x v="80"/>
    <x v="2"/>
    <s v="KG"/>
    <n v="31"/>
    <s v="5840"/>
    <s v="SAFRINHA 2026"/>
    <n v="1000"/>
    <n v="0"/>
    <n v="1000"/>
    <n v="31000"/>
    <m/>
    <s v="NOVA UBIRATA"/>
    <s v="99739070191"/>
    <n v="31"/>
    <n v="0"/>
  </r>
  <r>
    <d v="2025-12-04T09:43:42"/>
    <n v="4324"/>
    <x v="86"/>
    <d v="2025-12-04T00:00:00"/>
    <d v="2026-08-30T00:00:00"/>
    <x v="9"/>
    <x v="0"/>
    <s v="510200"/>
    <x v="84"/>
    <x v="2"/>
    <s v="LT"/>
    <n v="95"/>
    <s v="5840"/>
    <s v="SAFRINHA 2026"/>
    <n v="300"/>
    <n v="0"/>
    <n v="300"/>
    <n v="28500"/>
    <m/>
    <s v="NOVA UBIRATA"/>
    <s v="99739070191"/>
    <n v="95"/>
    <n v="0"/>
  </r>
  <r>
    <d v="2026-01-15T10:09:44"/>
    <n v="4449"/>
    <x v="86"/>
    <d v="2026-01-15T00:00:00"/>
    <d v="2026-08-30T00:00:00"/>
    <x v="9"/>
    <x v="0"/>
    <s v="510200"/>
    <x v="51"/>
    <x v="2"/>
    <s v="KG"/>
    <n v="480"/>
    <s v="6016"/>
    <s v="SAFRINHA 2026"/>
    <n v="20"/>
    <n v="0"/>
    <n v="20"/>
    <n v="9600"/>
    <m/>
    <s v="NOVA UBIRATA"/>
    <s v="99739070191"/>
    <n v="480"/>
    <n v="0"/>
  </r>
  <r>
    <d v="2026-01-27T08:53:38"/>
    <n v="4492"/>
    <x v="86"/>
    <d v="2026-01-27T00:00:00"/>
    <d v="2026-08-30T00:00:00"/>
    <x v="9"/>
    <x v="0"/>
    <s v="510200"/>
    <x v="51"/>
    <x v="2"/>
    <s v="KG"/>
    <n v="480"/>
    <s v="6033"/>
    <s v="SAFRINHA 2026"/>
    <n v="20"/>
    <n v="0"/>
    <n v="20"/>
    <n v="9600"/>
    <m/>
    <s v="NOVA UBIRATA"/>
    <s v="99739070191"/>
    <n v="480"/>
    <n v="0"/>
  </r>
  <r>
    <d v="2026-02-15T09:18:59"/>
    <n v="4565"/>
    <x v="86"/>
    <d v="2026-02-15T00:00:00"/>
    <d v="2026-08-30T00:00:00"/>
    <x v="9"/>
    <x v="0"/>
    <s v="510200"/>
    <x v="51"/>
    <x v="2"/>
    <s v="KG"/>
    <n v="480"/>
    <s v="6081"/>
    <s v="SAFRINHA 2026"/>
    <n v="23"/>
    <n v="0"/>
    <n v="23"/>
    <n v="11040"/>
    <m/>
    <s v="NOVA UBIRATA"/>
    <s v="99739070191"/>
    <n v="480"/>
    <n v="0"/>
  </r>
  <r>
    <d v="2026-02-24T15:49:16"/>
    <n v="4607"/>
    <x v="86"/>
    <d v="2026-02-24T00:00:00"/>
    <d v="2026-08-30T00:00:00"/>
    <x v="9"/>
    <x v="0"/>
    <s v="510200"/>
    <x v="51"/>
    <x v="2"/>
    <s v="KG"/>
    <n v="480"/>
    <s v="6101"/>
    <s v="SAFRINHA 2026"/>
    <n v="30"/>
    <n v="0"/>
    <n v="30"/>
    <n v="14400"/>
    <m/>
    <s v="NOVA UBIRATA"/>
    <s v="99739070191"/>
    <n v="480"/>
    <n v="0"/>
  </r>
  <r>
    <d v="2026-03-03T16:29:59"/>
    <n v="4619"/>
    <x v="86"/>
    <d v="2026-03-03T00:00:00"/>
    <d v="2026-08-30T00:00:00"/>
    <x v="9"/>
    <x v="0"/>
    <s v="510200"/>
    <x v="81"/>
    <x v="2"/>
    <s v="LT"/>
    <n v="19.899999999999999"/>
    <s v="6111"/>
    <s v="SAFRINHA 2026"/>
    <n v="60"/>
    <n v="0"/>
    <n v="60"/>
    <n v="1194"/>
    <m/>
    <s v="NOVA UBIRATA"/>
    <s v="99739070191"/>
    <n v="19.899999999999999"/>
    <n v="0"/>
  </r>
  <r>
    <d v="2025-11-07T08:23:29"/>
    <n v="400"/>
    <x v="87"/>
    <d v="2025-11-06T00:00:00"/>
    <d v="2026-04-30T00:00:00"/>
    <x v="2"/>
    <x v="0"/>
    <s v="510200"/>
    <x v="46"/>
    <x v="0"/>
    <s v="LT"/>
    <n v="16.8"/>
    <s v="152"/>
    <s v="SAFRA 25/26"/>
    <n v="640"/>
    <n v="0"/>
    <n v="640"/>
    <n v="10752"/>
    <m/>
    <s v="VERA"/>
    <s v="69796769115"/>
    <n v="16.8"/>
    <n v="0"/>
  </r>
  <r>
    <d v="2025-12-03T08:44:49"/>
    <n v="441"/>
    <x v="87"/>
    <d v="2025-12-03T00:00:00"/>
    <d v="2026-09-30T00:00:00"/>
    <x v="2"/>
    <x v="0"/>
    <s v="510200"/>
    <x v="45"/>
    <x v="0"/>
    <s v="KG"/>
    <n v="19"/>
    <s v="163"/>
    <s v="SAFRINHA 2026"/>
    <n v="640"/>
    <n v="0"/>
    <n v="640"/>
    <n v="12160"/>
    <m/>
    <s v="VERA"/>
    <s v="69796769115"/>
    <n v="19"/>
    <n v="0"/>
  </r>
  <r>
    <d v="2025-12-03T08:44:49"/>
    <n v="441"/>
    <x v="87"/>
    <d v="2025-12-03T00:00:00"/>
    <d v="2026-09-30T00:00:00"/>
    <x v="2"/>
    <x v="0"/>
    <s v="510200"/>
    <x v="6"/>
    <x v="0"/>
    <s v="LT"/>
    <n v="60"/>
    <s v="163"/>
    <s v="SAFRINHA 2026"/>
    <n v="125"/>
    <n v="0"/>
    <n v="125"/>
    <n v="7500"/>
    <m/>
    <s v="VERA"/>
    <s v="69796769115"/>
    <n v="60"/>
    <n v="0"/>
  </r>
  <r>
    <d v="2025-12-03T08:44:49"/>
    <n v="441"/>
    <x v="87"/>
    <d v="2025-12-03T00:00:00"/>
    <d v="2026-09-30T00:00:00"/>
    <x v="2"/>
    <x v="0"/>
    <s v="510200"/>
    <x v="86"/>
    <x v="2"/>
    <s v="LT"/>
    <n v="17"/>
    <s v="163"/>
    <s v="SAFRINHA 2026"/>
    <n v="940"/>
    <n v="0"/>
    <n v="940"/>
    <n v="15980"/>
    <m/>
    <s v="VERA"/>
    <s v="69796769115"/>
    <n v="17"/>
    <n v="0"/>
  </r>
  <r>
    <d v="2025-12-03T08:44:49"/>
    <n v="441"/>
    <x v="87"/>
    <d v="2025-12-03T00:00:00"/>
    <d v="2026-09-30T00:00:00"/>
    <x v="2"/>
    <x v="0"/>
    <s v="510200"/>
    <x v="3"/>
    <x v="0"/>
    <s v="LT"/>
    <n v="21"/>
    <s v="163"/>
    <s v="SAFRINHA 2026"/>
    <n v="640"/>
    <n v="0"/>
    <n v="640"/>
    <n v="13440"/>
    <m/>
    <s v="VERA"/>
    <s v="69796769115"/>
    <n v="21"/>
    <n v="0"/>
  </r>
  <r>
    <d v="2025-12-03T08:44:49"/>
    <n v="441"/>
    <x v="87"/>
    <d v="2025-12-03T00:00:00"/>
    <d v="2026-09-30T00:00:00"/>
    <x v="2"/>
    <x v="2"/>
    <s v="510200"/>
    <x v="74"/>
    <x v="1"/>
    <s v="LT"/>
    <n v="36"/>
    <s v="163"/>
    <s v="SAFRINHA 2026"/>
    <n v="235"/>
    <n v="0"/>
    <n v="235"/>
    <n v="8460"/>
    <m/>
    <s v="VERA"/>
    <s v="69796769115"/>
    <n v="36"/>
    <n v="0"/>
  </r>
  <r>
    <d v="2025-12-03T08:44:49"/>
    <n v="441"/>
    <x v="87"/>
    <d v="2025-12-03T00:00:00"/>
    <d v="2026-09-30T00:00:00"/>
    <x v="2"/>
    <x v="0"/>
    <s v="510200"/>
    <x v="66"/>
    <x v="2"/>
    <s v="LT"/>
    <n v="160"/>
    <s v="163"/>
    <s v="SAFRINHA 2026"/>
    <n v="65"/>
    <n v="0"/>
    <n v="65"/>
    <n v="10400"/>
    <m/>
    <s v="VERA"/>
    <s v="69796769115"/>
    <n v="160"/>
    <n v="0"/>
  </r>
  <r>
    <d v="2025-12-03T08:44:49"/>
    <n v="441"/>
    <x v="87"/>
    <d v="2025-12-03T00:00:00"/>
    <d v="2026-09-30T00:00:00"/>
    <x v="2"/>
    <x v="2"/>
    <s v="510200"/>
    <x v="20"/>
    <x v="1"/>
    <s v="LT"/>
    <n v="36"/>
    <s v="163"/>
    <s v="SAFRINHA 2026"/>
    <n v="465"/>
    <n v="0"/>
    <n v="465"/>
    <n v="16740"/>
    <m/>
    <s v="VERA"/>
    <s v="69796769115"/>
    <n v="36"/>
    <n v="0"/>
  </r>
  <r>
    <d v="2025-12-03T08:44:49"/>
    <n v="441"/>
    <x v="87"/>
    <d v="2025-12-03T00:00:00"/>
    <d v="2026-09-30T00:00:00"/>
    <x v="2"/>
    <x v="0"/>
    <s v="510200"/>
    <x v="53"/>
    <x v="0"/>
    <s v="LT"/>
    <n v="10.5"/>
    <s v="163"/>
    <s v="SAFRINHA 2026"/>
    <n v="1000"/>
    <n v="0"/>
    <n v="1000"/>
    <n v="10500"/>
    <m/>
    <s v="VERA"/>
    <s v="69796769115"/>
    <n v="10.5"/>
    <n v="0"/>
  </r>
  <r>
    <d v="2025-12-24T10:34:29"/>
    <n v="468"/>
    <x v="87"/>
    <d v="2025-12-24T00:00:00"/>
    <d v="2026-04-30T00:00:00"/>
    <x v="2"/>
    <x v="2"/>
    <s v="510200"/>
    <x v="23"/>
    <x v="1"/>
    <s v="KG"/>
    <n v="360"/>
    <s v="471"/>
    <s v="SAFRA 25/26"/>
    <n v="114"/>
    <n v="0"/>
    <n v="114"/>
    <n v="41040"/>
    <m/>
    <s v="VERA"/>
    <s v="69796769115"/>
    <n v="360"/>
    <n v="0"/>
  </r>
  <r>
    <d v="2025-10-09T09:46:54"/>
    <n v="4138"/>
    <x v="88"/>
    <d v="2025-10-07T00:00:00"/>
    <d v="2026-04-30T00:00:00"/>
    <x v="0"/>
    <x v="0"/>
    <s v="510200"/>
    <x v="6"/>
    <x v="0"/>
    <s v="LT"/>
    <n v="71"/>
    <s v="5255"/>
    <s v="SAFRA 25/26"/>
    <n v="20"/>
    <n v="0"/>
    <n v="20"/>
    <n v="1420"/>
    <m/>
    <s v="NOVA UBIRATA"/>
    <s v="01880153106"/>
    <n v="71"/>
    <n v="0"/>
  </r>
  <r>
    <d v="2025-10-09T09:46:54"/>
    <n v="4138"/>
    <x v="88"/>
    <d v="2025-10-07T00:00:00"/>
    <d v="2026-04-30T00:00:00"/>
    <x v="0"/>
    <x v="0"/>
    <s v="510200"/>
    <x v="7"/>
    <x v="0"/>
    <s v="LT"/>
    <n v="71"/>
    <s v="5255"/>
    <s v="SAFRA 25/26"/>
    <n v="20"/>
    <n v="0"/>
    <n v="20"/>
    <n v="1420"/>
    <m/>
    <s v="NOVA UBIRATA"/>
    <s v="01880153106"/>
    <n v="71"/>
    <n v="0"/>
  </r>
  <r>
    <d v="2026-01-11T11:21:40"/>
    <n v="4426"/>
    <x v="89"/>
    <d v="2026-01-11T00:00:00"/>
    <d v="2026-09-30T00:00:00"/>
    <x v="5"/>
    <x v="1"/>
    <s v="510200"/>
    <x v="10"/>
    <x v="1"/>
    <s v="LT"/>
    <n v="341"/>
    <s v="6006"/>
    <s v="SAFRINHA 2026"/>
    <n v="42"/>
    <n v="0"/>
    <n v="42"/>
    <n v="14322"/>
    <m/>
    <s v="SORRISO"/>
    <s v="87899566134"/>
    <n v="341"/>
    <n v="0"/>
  </r>
  <r>
    <d v="2026-01-11T11:21:40"/>
    <n v="4426"/>
    <x v="89"/>
    <d v="2026-01-11T00:00:00"/>
    <d v="2026-09-30T00:00:00"/>
    <x v="5"/>
    <x v="1"/>
    <s v="510200"/>
    <x v="11"/>
    <x v="1"/>
    <s v="LT"/>
    <n v="341"/>
    <s v="6006"/>
    <s v="SAFRINHA 2026"/>
    <n v="42"/>
    <n v="0"/>
    <n v="42"/>
    <n v="14322"/>
    <m/>
    <s v="SORRISO"/>
    <s v="87899566134"/>
    <n v="341"/>
    <n v="0"/>
  </r>
  <r>
    <d v="2026-01-11T11:21:40"/>
    <n v="4426"/>
    <x v="89"/>
    <d v="2026-01-11T00:00:00"/>
    <d v="2026-09-30T00:00:00"/>
    <x v="5"/>
    <x v="1"/>
    <s v="510200"/>
    <x v="9"/>
    <x v="1"/>
    <s v="LT"/>
    <n v="46"/>
    <s v="6006"/>
    <s v="SAFRINHA 2026"/>
    <n v="210"/>
    <n v="0"/>
    <n v="210"/>
    <n v="9660"/>
    <m/>
    <s v="SORRISO"/>
    <s v="87899566134"/>
    <n v="46"/>
    <n v="0"/>
  </r>
  <r>
    <d v="2026-02-23T15:40:48"/>
    <n v="564"/>
    <x v="90"/>
    <d v="2026-02-23T00:00:00"/>
    <d v="2026-08-30T00:00:00"/>
    <x v="2"/>
    <x v="2"/>
    <s v="610200"/>
    <x v="18"/>
    <x v="1"/>
    <s v="KG"/>
    <n v="230"/>
    <s v="447"/>
    <s v="SAFRINHA 2026"/>
    <n v="16"/>
    <n v="0"/>
    <n v="16"/>
    <n v="3680"/>
    <m/>
    <s v="NOVO PROGRESSO"/>
    <s v="00674597141"/>
    <n v="230"/>
    <n v="0"/>
  </r>
  <r>
    <d v="2026-01-24T07:30:25"/>
    <n v="4485"/>
    <x v="91"/>
    <d v="2026-01-23T00:00:00"/>
    <d v="2026-01-30T00:00:00"/>
    <x v="13"/>
    <x v="0"/>
    <s v="510200"/>
    <x v="21"/>
    <x v="2"/>
    <s v="KG"/>
    <n v="41"/>
    <s v="5234"/>
    <s v="SAFRINHA 2026"/>
    <n v="330"/>
    <n v="0"/>
    <n v="330"/>
    <n v="13530"/>
    <m/>
    <s v="LUCAS DO RIO VERDE"/>
    <s v="02598136993"/>
    <n v="41"/>
    <n v="0"/>
  </r>
  <r>
    <d v="2025-11-28T14:38:22"/>
    <n v="435"/>
    <x v="91"/>
    <d v="2025-11-28T00:00:00"/>
    <d v="2025-12-30T00:00:00"/>
    <x v="13"/>
    <x v="0"/>
    <s v="510200"/>
    <x v="21"/>
    <x v="2"/>
    <s v="KG"/>
    <n v="41"/>
    <s v="415"/>
    <s v="SAFRINHA 2026"/>
    <n v="360"/>
    <n v="0"/>
    <n v="360"/>
    <n v="14760"/>
    <m/>
    <s v="LUCAS DO RIO VERDE"/>
    <s v="02598136993"/>
    <n v="41"/>
    <n v="0"/>
  </r>
  <r>
    <d v="2026-02-19T14:24:34"/>
    <n v="554"/>
    <x v="91"/>
    <d v="2026-02-19T00:00:00"/>
    <d v="2026-02-28T00:00:00"/>
    <x v="13"/>
    <x v="0"/>
    <s v="510200"/>
    <x v="21"/>
    <x v="2"/>
    <s v="KG"/>
    <n v="41"/>
    <s v="384"/>
    <s v="SAFRINHA 2026"/>
    <n v="150"/>
    <n v="0"/>
    <n v="150"/>
    <n v="6150"/>
    <m/>
    <s v="LUCAS DO RIO VERDE"/>
    <s v="02598136993"/>
    <n v="41"/>
    <n v="0"/>
  </r>
  <r>
    <d v="2026-01-15T12:40:58"/>
    <n v="502"/>
    <x v="92"/>
    <d v="2026-01-15T00:00:00"/>
    <d v="2026-01-16T00:00:00"/>
    <x v="10"/>
    <x v="0"/>
    <s v="510200"/>
    <x v="21"/>
    <x v="2"/>
    <s v="KG"/>
    <n v="40"/>
    <s v="6017"/>
    <s v="SAFRINHA 2026"/>
    <n v="150"/>
    <n v="0"/>
    <n v="150"/>
    <n v="6000"/>
    <m/>
    <s v="SINOP"/>
    <s v="03140565135"/>
    <n v="40"/>
    <n v="0"/>
  </r>
  <r>
    <d v="2025-04-24T15:09:13"/>
    <n v="202"/>
    <x v="93"/>
    <d v="2025-04-24T00:00:00"/>
    <d v="2026-04-15T00:00:00"/>
    <x v="1"/>
    <x v="0"/>
    <s v="510200"/>
    <x v="68"/>
    <x v="2"/>
    <s v="LT"/>
    <n v="15"/>
    <s v="5073"/>
    <s v="SAFRA 25/26"/>
    <n v="250"/>
    <n v="0"/>
    <n v="250"/>
    <n v="3750"/>
    <m/>
    <s v="MARCELANDIA"/>
    <s v="05102238183"/>
    <n v="15"/>
    <n v="0"/>
  </r>
  <r>
    <d v="2025-04-24T15:09:13"/>
    <n v="202"/>
    <x v="93"/>
    <d v="2025-04-24T00:00:00"/>
    <d v="2026-04-15T00:00:00"/>
    <x v="1"/>
    <x v="0"/>
    <s v="510200"/>
    <x v="60"/>
    <x v="2"/>
    <s v="LT"/>
    <n v="21.923075999999998"/>
    <s v="5073"/>
    <s v="SAFRA 25/26"/>
    <n v="260"/>
    <n v="0"/>
    <n v="260"/>
    <n v="5699.9997599999997"/>
    <m/>
    <s v="MARCELANDIA"/>
    <s v="05102238183"/>
    <n v="21.923075999999998"/>
    <n v="0"/>
  </r>
  <r>
    <d v="2025-04-24T15:09:13"/>
    <n v="202"/>
    <x v="93"/>
    <d v="2025-04-24T00:00:00"/>
    <d v="2026-04-15T00:00:00"/>
    <x v="1"/>
    <x v="0"/>
    <s v="510200"/>
    <x v="59"/>
    <x v="2"/>
    <s v="KG"/>
    <n v="235"/>
    <s v="5073"/>
    <s v="SAFRA 25/26"/>
    <n v="50"/>
    <n v="0"/>
    <n v="50"/>
    <n v="11750"/>
    <m/>
    <s v="MARCELANDIA"/>
    <s v="05102238183"/>
    <n v="235"/>
    <n v="0"/>
  </r>
  <r>
    <d v="2025-04-24T15:09:13"/>
    <n v="202"/>
    <x v="93"/>
    <d v="2025-04-24T00:00:00"/>
    <d v="2026-04-15T00:00:00"/>
    <x v="1"/>
    <x v="0"/>
    <s v="510200"/>
    <x v="12"/>
    <x v="0"/>
    <s v="LT"/>
    <n v="210"/>
    <s v="5073"/>
    <s v="SAFRA 25/26"/>
    <n v="25"/>
    <n v="0"/>
    <n v="25"/>
    <n v="5250"/>
    <m/>
    <s v="MARCELANDIA"/>
    <s v="05102238183"/>
    <n v="210"/>
    <n v="0"/>
  </r>
  <r>
    <d v="2025-04-24T15:09:13"/>
    <n v="202"/>
    <x v="93"/>
    <d v="2025-04-24T00:00:00"/>
    <d v="2026-04-15T00:00:00"/>
    <x v="1"/>
    <x v="0"/>
    <s v="510200"/>
    <x v="56"/>
    <x v="2"/>
    <s v="KG"/>
    <n v="22"/>
    <s v="5073"/>
    <s v="SAFRA 25/26"/>
    <n v="380"/>
    <n v="0"/>
    <n v="380"/>
    <n v="8360"/>
    <m/>
    <s v="MARCELANDIA"/>
    <s v="05102238183"/>
    <n v="22"/>
    <n v="0"/>
  </r>
  <r>
    <d v="2025-04-24T15:09:13"/>
    <n v="202"/>
    <x v="93"/>
    <d v="2025-04-24T00:00:00"/>
    <d v="2026-04-15T00:00:00"/>
    <x v="1"/>
    <x v="0"/>
    <s v="510200"/>
    <x v="39"/>
    <x v="0"/>
    <s v="LT"/>
    <n v="20"/>
    <s v="5073"/>
    <s v="SAFRA 25/26"/>
    <n v="140"/>
    <n v="0"/>
    <n v="140"/>
    <n v="2800"/>
    <m/>
    <s v="MARCELANDIA"/>
    <s v="05102238183"/>
    <n v="20"/>
    <n v="0"/>
  </r>
  <r>
    <d v="2025-04-24T15:09:13"/>
    <n v="202"/>
    <x v="93"/>
    <d v="2025-04-24T00:00:00"/>
    <d v="2026-04-15T00:00:00"/>
    <x v="1"/>
    <x v="0"/>
    <s v="510200"/>
    <x v="8"/>
    <x v="0"/>
    <s v="KG"/>
    <n v="68"/>
    <s v="5073"/>
    <s v="SAFRA 25/26"/>
    <n v="42"/>
    <n v="0"/>
    <n v="42"/>
    <n v="2856"/>
    <m/>
    <s v="MARCELANDIA"/>
    <s v="05102238183"/>
    <n v="68"/>
    <n v="0"/>
  </r>
  <r>
    <d v="2025-04-24T15:09:13"/>
    <n v="202"/>
    <x v="93"/>
    <d v="2025-04-24T00:00:00"/>
    <d v="2026-04-15T00:00:00"/>
    <x v="1"/>
    <x v="0"/>
    <s v="510200"/>
    <x v="22"/>
    <x v="2"/>
    <s v="KG"/>
    <n v="19"/>
    <s v="5073"/>
    <s v="SAFRA 25/26"/>
    <n v="630"/>
    <n v="0"/>
    <n v="630"/>
    <n v="11970"/>
    <m/>
    <s v="MARCELANDIA"/>
    <s v="05102238183"/>
    <n v="19"/>
    <n v="0"/>
  </r>
  <r>
    <d v="2025-10-07T08:20:57"/>
    <n v="4128"/>
    <x v="94"/>
    <d v="2025-10-07T00:00:00"/>
    <d v="2025-10-08T00:00:00"/>
    <x v="14"/>
    <x v="1"/>
    <s v="510200"/>
    <x v="18"/>
    <x v="1"/>
    <s v="KG"/>
    <n v="195"/>
    <s v="5408"/>
    <s v="SAFRA 25/26"/>
    <n v="6"/>
    <n v="0"/>
    <n v="6"/>
    <n v="1170"/>
    <m/>
    <s v="IPIRANGA DO NORTE"/>
    <s v="27608662972"/>
    <n v="195"/>
    <n v="0"/>
  </r>
  <r>
    <d v="2025-11-04T16:59:02"/>
    <n v="4236"/>
    <x v="95"/>
    <d v="2025-11-04T00:00:00"/>
    <d v="2026-03-30T00:00:00"/>
    <x v="7"/>
    <x v="0"/>
    <s v="510200"/>
    <x v="7"/>
    <x v="0"/>
    <s v="LT"/>
    <n v="60"/>
    <s v="5586"/>
    <s v="SAFRA 25/26"/>
    <n v="20"/>
    <n v="0"/>
    <n v="20"/>
    <n v="1200"/>
    <m/>
    <s v="ITAUBA"/>
    <s v="59499583149"/>
    <n v="60"/>
    <n v="0"/>
  </r>
  <r>
    <d v="2025-11-04T16:59:02"/>
    <n v="4236"/>
    <x v="95"/>
    <d v="2025-11-04T00:00:00"/>
    <d v="2026-03-30T00:00:00"/>
    <x v="7"/>
    <x v="0"/>
    <s v="510200"/>
    <x v="6"/>
    <x v="0"/>
    <s v="LT"/>
    <n v="60"/>
    <s v="5586"/>
    <s v="SAFRA 25/26"/>
    <n v="180"/>
    <n v="0"/>
    <n v="180"/>
    <n v="10800"/>
    <m/>
    <s v="ITAUBA"/>
    <s v="59499583149"/>
    <n v="60"/>
    <n v="0"/>
  </r>
  <r>
    <d v="2025-11-17T07:31:12"/>
    <n v="4274"/>
    <x v="95"/>
    <d v="2025-11-17T00:00:00"/>
    <d v="2026-03-30T00:00:00"/>
    <x v="7"/>
    <x v="0"/>
    <s v="510200"/>
    <x v="7"/>
    <x v="0"/>
    <s v="LT"/>
    <n v="60"/>
    <s v="5588"/>
    <s v="SAFRA 25/26"/>
    <n v="40"/>
    <n v="0"/>
    <n v="40"/>
    <n v="2400"/>
    <m/>
    <s v="SANTA CARMEM"/>
    <s v="59499583149"/>
    <n v="60"/>
    <n v="0"/>
  </r>
  <r>
    <d v="2025-11-17T07:31:12"/>
    <n v="4274"/>
    <x v="95"/>
    <d v="2025-11-17T00:00:00"/>
    <d v="2026-03-30T00:00:00"/>
    <x v="7"/>
    <x v="0"/>
    <s v="510200"/>
    <x v="31"/>
    <x v="0"/>
    <s v="LT"/>
    <n v="180"/>
    <s v="5588"/>
    <s v="SAFRA 25/26"/>
    <n v="2"/>
    <n v="0"/>
    <n v="2"/>
    <n v="360"/>
    <m/>
    <s v="SANTA CARMEM"/>
    <s v="59499583149"/>
    <n v="180"/>
    <n v="0"/>
  </r>
  <r>
    <d v="2025-11-24T14:47:59"/>
    <n v="4296"/>
    <x v="95"/>
    <d v="2025-11-24T00:00:00"/>
    <d v="2026-03-30T00:00:00"/>
    <x v="7"/>
    <x v="1"/>
    <s v="510200"/>
    <x v="23"/>
    <x v="1"/>
    <s v="KG"/>
    <n v="380"/>
    <s v="5593"/>
    <s v="SAFRA 25/26"/>
    <n v="10"/>
    <n v="0"/>
    <n v="10"/>
    <n v="3800"/>
    <m/>
    <s v="SANTA CARMEM"/>
    <s v="59499583149"/>
    <n v="380"/>
    <n v="0"/>
  </r>
  <r>
    <d v="2025-12-15T10:32:18"/>
    <n v="4355"/>
    <x v="95"/>
    <d v="2025-12-15T00:00:00"/>
    <d v="2025-12-30T00:00:00"/>
    <x v="7"/>
    <x v="0"/>
    <s v="510200"/>
    <x v="7"/>
    <x v="0"/>
    <s v="LT"/>
    <n v="60"/>
    <s v="5877"/>
    <s v="SAFRINHA 2026"/>
    <n v="465"/>
    <n v="0"/>
    <n v="465"/>
    <n v="27900"/>
    <m/>
    <s v="SANTA CARMEM"/>
    <s v="59499583149"/>
    <n v="60"/>
    <n v="0"/>
  </r>
  <r>
    <d v="2025-12-15T10:32:18"/>
    <n v="4355"/>
    <x v="95"/>
    <d v="2025-12-15T00:00:00"/>
    <d v="2025-12-30T00:00:00"/>
    <x v="7"/>
    <x v="0"/>
    <s v="510200"/>
    <x v="6"/>
    <x v="0"/>
    <s v="LT"/>
    <n v="60"/>
    <s v="5877"/>
    <s v="SAFRINHA 2026"/>
    <n v="690"/>
    <n v="0"/>
    <n v="690"/>
    <n v="41400"/>
    <m/>
    <s v="SANTA CARMEM"/>
    <s v="59499583149"/>
    <n v="60"/>
    <n v="0"/>
  </r>
  <r>
    <d v="2025-12-30T10:27:23"/>
    <n v="4393"/>
    <x v="95"/>
    <d v="2025-12-30T00:00:00"/>
    <d v="2025-12-30T00:00:00"/>
    <x v="7"/>
    <x v="0"/>
    <s v="510200"/>
    <x v="6"/>
    <x v="0"/>
    <s v="LT"/>
    <n v="60"/>
    <s v="5876"/>
    <s v="SAFRINHA 2026"/>
    <n v="450"/>
    <n v="0"/>
    <n v="450"/>
    <n v="27000"/>
    <m/>
    <s v="ITAUBA"/>
    <s v="59499583149"/>
    <n v="60"/>
    <n v="0"/>
  </r>
  <r>
    <d v="2025-12-30T10:27:23"/>
    <n v="4393"/>
    <x v="95"/>
    <d v="2025-12-30T00:00:00"/>
    <d v="2025-12-30T00:00:00"/>
    <x v="7"/>
    <x v="0"/>
    <s v="510200"/>
    <x v="7"/>
    <x v="0"/>
    <s v="LT"/>
    <n v="60"/>
    <s v="5876"/>
    <s v="SAFRINHA 2026"/>
    <n v="295"/>
    <n v="0"/>
    <n v="295"/>
    <n v="17700"/>
    <m/>
    <s v="ITAUBA"/>
    <s v="59499583149"/>
    <n v="60"/>
    <n v="0"/>
  </r>
  <r>
    <d v="2026-01-17T08:06:52"/>
    <n v="4454"/>
    <x v="95"/>
    <d v="2026-01-17T00:00:00"/>
    <d v="2026-03-30T00:00:00"/>
    <x v="7"/>
    <x v="0"/>
    <s v="510200"/>
    <x v="19"/>
    <x v="0"/>
    <s v="LT"/>
    <n v="900"/>
    <s v="5883"/>
    <s v="SAFRINHA 2026"/>
    <n v="2"/>
    <n v="0"/>
    <n v="2"/>
    <n v="1800"/>
    <m/>
    <s v="SANTA CARMEM"/>
    <s v="59499583149"/>
    <n v="900"/>
    <n v="0"/>
  </r>
  <r>
    <d v="2026-01-17T08:06:52"/>
    <n v="4454"/>
    <x v="95"/>
    <d v="2026-01-17T00:00:00"/>
    <d v="2026-03-30T00:00:00"/>
    <x v="7"/>
    <x v="1"/>
    <s v="510200"/>
    <x v="18"/>
    <x v="1"/>
    <s v="KG"/>
    <n v="200"/>
    <s v="5883"/>
    <s v="SAFRINHA 2026"/>
    <n v="5"/>
    <n v="0"/>
    <n v="5"/>
    <n v="1000"/>
    <m/>
    <s v="SANTA CARMEM"/>
    <s v="59499583149"/>
    <n v="200"/>
    <n v="0"/>
  </r>
  <r>
    <d v="2026-01-17T08:06:52"/>
    <n v="4454"/>
    <x v="95"/>
    <d v="2026-01-17T00:00:00"/>
    <d v="2026-03-30T00:00:00"/>
    <x v="7"/>
    <x v="1"/>
    <s v="510200"/>
    <x v="9"/>
    <x v="1"/>
    <s v="LT"/>
    <n v="58"/>
    <s v="5883"/>
    <s v="SAFRINHA 2026"/>
    <n v="6"/>
    <n v="0"/>
    <n v="6"/>
    <n v="348"/>
    <m/>
    <s v="SANTA CARMEM"/>
    <s v="59499583149"/>
    <n v="58"/>
    <n v="0"/>
  </r>
  <r>
    <d v="2026-01-17T08:06:52"/>
    <n v="4454"/>
    <x v="95"/>
    <d v="2026-01-17T00:00:00"/>
    <d v="2026-03-30T00:00:00"/>
    <x v="7"/>
    <x v="1"/>
    <s v="510200"/>
    <x v="10"/>
    <x v="1"/>
    <s v="LT"/>
    <n v="360"/>
    <s v="5883"/>
    <s v="SAFRINHA 2026"/>
    <n v="2"/>
    <n v="0"/>
    <n v="2"/>
    <n v="720"/>
    <m/>
    <s v="SANTA CARMEM"/>
    <s v="59499583149"/>
    <n v="360"/>
    <n v="0"/>
  </r>
  <r>
    <d v="2026-01-17T08:06:52"/>
    <n v="4454"/>
    <x v="95"/>
    <d v="2026-01-17T00:00:00"/>
    <d v="2026-03-30T00:00:00"/>
    <x v="7"/>
    <x v="1"/>
    <s v="510200"/>
    <x v="11"/>
    <x v="1"/>
    <s v="LT"/>
    <n v="380"/>
    <s v="5883"/>
    <s v="SAFRINHA 2026"/>
    <n v="2"/>
    <n v="0"/>
    <n v="2"/>
    <n v="760"/>
    <m/>
    <s v="SANTA CARMEM"/>
    <s v="59499583149"/>
    <n v="380"/>
    <n v="0"/>
  </r>
  <r>
    <d v="2026-02-10T08:44:47"/>
    <n v="4549"/>
    <x v="95"/>
    <d v="2026-02-06T00:00:00"/>
    <d v="2026-03-30T00:00:00"/>
    <x v="7"/>
    <x v="1"/>
    <s v="510200"/>
    <x v="20"/>
    <x v="1"/>
    <s v="LT"/>
    <n v="45"/>
    <s v="5890"/>
    <s v="SAFRINHA 2026"/>
    <n v="50"/>
    <n v="0"/>
    <n v="50"/>
    <n v="2250"/>
    <m/>
    <s v="SANTA CARMEM"/>
    <s v="59499583149"/>
    <n v="45"/>
    <n v="0"/>
  </r>
  <r>
    <d v="2026-02-20T13:45:05"/>
    <n v="4591"/>
    <x v="95"/>
    <d v="2026-02-20T00:00:00"/>
    <d v="2026-03-30T00:00:00"/>
    <x v="7"/>
    <x v="0"/>
    <s v="510200"/>
    <x v="7"/>
    <x v="0"/>
    <s v="LT"/>
    <n v="60"/>
    <s v="6097"/>
    <s v="SAFRINHA 2026"/>
    <n v="40"/>
    <n v="0"/>
    <n v="40"/>
    <n v="2400"/>
    <m/>
    <s v="SANTA CARMEM"/>
    <s v="59499583149"/>
    <n v="60"/>
    <n v="0"/>
  </r>
  <r>
    <d v="2025-08-19T08:38:54"/>
    <n v="267"/>
    <x v="96"/>
    <d v="2025-08-19T00:00:00"/>
    <d v="2025-08-30T00:00:00"/>
    <x v="2"/>
    <x v="2"/>
    <s v="510200"/>
    <x v="13"/>
    <x v="1"/>
    <s v="LT"/>
    <n v="38.5"/>
    <s v="5138"/>
    <s v="SAFRA 25/26"/>
    <n v="702"/>
    <n v="0"/>
    <n v="702"/>
    <n v="27027"/>
    <m/>
    <s v="SINOP"/>
    <s v="47413255120"/>
    <n v="38.5"/>
    <n v="0"/>
  </r>
  <r>
    <d v="2025-12-15T13:40:28"/>
    <n v="4357"/>
    <x v="97"/>
    <d v="2025-12-15T00:00:00"/>
    <d v="2026-03-30T00:00:00"/>
    <x v="3"/>
    <x v="0"/>
    <s v="510200"/>
    <x v="24"/>
    <x v="2"/>
    <s v="LT"/>
    <n v="58.9"/>
    <s v="5901"/>
    <s v="SAFRA 25/26"/>
    <n v="1000"/>
    <n v="0"/>
    <n v="1000"/>
    <n v="58900"/>
    <m/>
    <s v="SORRISO"/>
    <s v="73501867034"/>
    <n v="58.9"/>
    <n v="0"/>
  </r>
  <r>
    <d v="2025-12-15T10:04:36"/>
    <n v="4353"/>
    <x v="98"/>
    <d v="2025-12-15T00:00:00"/>
    <d v="2026-04-30T00:00:00"/>
    <x v="5"/>
    <x v="0"/>
    <s v="510200"/>
    <x v="3"/>
    <x v="0"/>
    <s v="LT"/>
    <n v="21"/>
    <s v="5789"/>
    <s v="SAFRA 25/26"/>
    <n v="60"/>
    <n v="0"/>
    <n v="60"/>
    <n v="1260"/>
    <m/>
    <s v="PARANATINGA"/>
    <s v="77977572915"/>
    <n v="21"/>
    <n v="0"/>
  </r>
  <r>
    <d v="2025-12-15T10:04:36"/>
    <n v="4353"/>
    <x v="98"/>
    <d v="2025-12-15T00:00:00"/>
    <d v="2026-04-30T00:00:00"/>
    <x v="5"/>
    <x v="0"/>
    <s v="510200"/>
    <x v="2"/>
    <x v="0"/>
    <s v="KG"/>
    <n v="20"/>
    <s v="5789"/>
    <s v="SAFRA 25/26"/>
    <n v="90"/>
    <n v="0"/>
    <n v="90"/>
    <n v="1800"/>
    <m/>
    <s v="PARANATINGA"/>
    <s v="77977572915"/>
    <n v="20"/>
    <n v="0"/>
  </r>
  <r>
    <d v="2025-12-15T10:04:36"/>
    <n v="4353"/>
    <x v="98"/>
    <d v="2025-12-15T00:00:00"/>
    <d v="2026-04-30T00:00:00"/>
    <x v="5"/>
    <x v="0"/>
    <s v="510200"/>
    <x v="46"/>
    <x v="0"/>
    <s v="LT"/>
    <n v="16"/>
    <s v="5789"/>
    <s v="SAFRA 25/26"/>
    <n v="60"/>
    <n v="0"/>
    <n v="60"/>
    <n v="960"/>
    <m/>
    <s v="PARANATINGA"/>
    <s v="77977572915"/>
    <n v="16"/>
    <n v="0"/>
  </r>
  <r>
    <d v="2025-12-15T10:04:36"/>
    <n v="4353"/>
    <x v="98"/>
    <d v="2025-12-15T00:00:00"/>
    <d v="2026-04-30T00:00:00"/>
    <x v="5"/>
    <x v="0"/>
    <s v="510200"/>
    <x v="5"/>
    <x v="0"/>
    <s v="KG"/>
    <n v="23"/>
    <s v="5789"/>
    <s v="SAFRA 25/26"/>
    <n v="60"/>
    <n v="0"/>
    <n v="60"/>
    <n v="1380"/>
    <m/>
    <s v="PARANATINGA"/>
    <s v="77977572915"/>
    <n v="23"/>
    <n v="0"/>
  </r>
  <r>
    <d v="2025-12-15T10:04:36"/>
    <n v="4353"/>
    <x v="98"/>
    <d v="2025-12-15T00:00:00"/>
    <d v="2026-04-30T00:00:00"/>
    <x v="5"/>
    <x v="0"/>
    <s v="510200"/>
    <x v="1"/>
    <x v="0"/>
    <s v="LT"/>
    <n v="150"/>
    <s v="5789"/>
    <s v="SAFRA 25/26"/>
    <n v="20"/>
    <n v="0"/>
    <n v="20"/>
    <n v="3000"/>
    <m/>
    <s v="PARANATINGA"/>
    <s v="77977572915"/>
    <n v="150"/>
    <n v="0"/>
  </r>
  <r>
    <d v="2025-12-15T10:04:36"/>
    <n v="4353"/>
    <x v="98"/>
    <d v="2025-12-15T00:00:00"/>
    <d v="2026-04-30T00:00:00"/>
    <x v="5"/>
    <x v="0"/>
    <s v="510200"/>
    <x v="87"/>
    <x v="2"/>
    <s v="LT"/>
    <n v="20"/>
    <s v="5789"/>
    <s v="SAFRA 25/26"/>
    <n v="25"/>
    <n v="0"/>
    <n v="25"/>
    <n v="500"/>
    <m/>
    <s v="PARANATINGA"/>
    <s v="77977572915"/>
    <n v="20"/>
    <n v="0"/>
  </r>
  <r>
    <d v="2025-12-16T07:25:50"/>
    <n v="4358"/>
    <x v="98"/>
    <d v="2025-12-15T00:00:00"/>
    <d v="2026-04-30T00:00:00"/>
    <x v="5"/>
    <x v="0"/>
    <s v="510200"/>
    <x v="1"/>
    <x v="0"/>
    <s v="LT"/>
    <n v="150"/>
    <s v="5791"/>
    <s v="SAFRA 25/26"/>
    <n v="400"/>
    <n v="0"/>
    <n v="400"/>
    <n v="60000"/>
    <m/>
    <s v="PARANATINGA"/>
    <s v="77977572915"/>
    <n v="150"/>
    <n v="0"/>
  </r>
  <r>
    <d v="2025-12-16T07:25:50"/>
    <n v="4358"/>
    <x v="98"/>
    <d v="2025-12-15T00:00:00"/>
    <d v="2026-04-30T00:00:00"/>
    <x v="5"/>
    <x v="0"/>
    <s v="510200"/>
    <x v="2"/>
    <x v="0"/>
    <s v="KG"/>
    <n v="20"/>
    <s v="5791"/>
    <s v="SAFRA 25/26"/>
    <n v="1000"/>
    <n v="0"/>
    <n v="1000"/>
    <n v="20000"/>
    <m/>
    <s v="PARANATINGA"/>
    <s v="77977572915"/>
    <n v="20"/>
    <n v="0"/>
  </r>
  <r>
    <d v="2026-01-03T08:17:40"/>
    <n v="4402"/>
    <x v="98"/>
    <d v="2026-01-02T00:00:00"/>
    <d v="2026-04-30T00:00:00"/>
    <x v="5"/>
    <x v="0"/>
    <s v="510200"/>
    <x v="6"/>
    <x v="0"/>
    <s v="LT"/>
    <n v="71"/>
    <s v="5798"/>
    <s v="SAFRA 25/26"/>
    <n v="60"/>
    <n v="0"/>
    <n v="60"/>
    <n v="4260"/>
    <m/>
    <s v="PARANATINGA"/>
    <s v="77977572915"/>
    <n v="71"/>
    <n v="0"/>
  </r>
  <r>
    <d v="2026-01-26T13:50:21"/>
    <n v="4487"/>
    <x v="98"/>
    <d v="2026-01-08T00:00:00"/>
    <d v="2026-09-30T00:00:00"/>
    <x v="5"/>
    <x v="1"/>
    <s v="510200"/>
    <x v="11"/>
    <x v="1"/>
    <s v="LT"/>
    <n v="341"/>
    <s v="5953"/>
    <s v="SAFRINHA 2026"/>
    <n v="31"/>
    <n v="0"/>
    <n v="31"/>
    <n v="10571"/>
    <m/>
    <s v="PARANATINGA"/>
    <s v="77977572915"/>
    <n v="341"/>
    <n v="0"/>
  </r>
  <r>
    <d v="2026-01-26T13:50:21"/>
    <n v="4487"/>
    <x v="98"/>
    <d v="2026-01-08T00:00:00"/>
    <d v="2026-09-30T00:00:00"/>
    <x v="5"/>
    <x v="1"/>
    <s v="510200"/>
    <x v="10"/>
    <x v="1"/>
    <s v="LT"/>
    <n v="341"/>
    <s v="5953"/>
    <s v="SAFRINHA 2026"/>
    <n v="31"/>
    <n v="0"/>
    <n v="31"/>
    <n v="10571"/>
    <m/>
    <s v="PARANATINGA"/>
    <s v="77977572915"/>
    <n v="341"/>
    <n v="0"/>
  </r>
  <r>
    <d v="2026-01-26T13:54:17"/>
    <n v="4488"/>
    <x v="98"/>
    <d v="2026-01-24T00:00:00"/>
    <d v="2026-08-30T00:00:00"/>
    <x v="5"/>
    <x v="1"/>
    <s v="510200"/>
    <x v="9"/>
    <x v="1"/>
    <s v="LT"/>
    <n v="47"/>
    <s v="6030"/>
    <s v="SAFRINHA 2026"/>
    <n v="21"/>
    <n v="0"/>
    <n v="21"/>
    <n v="987"/>
    <m/>
    <s v="PARANATINGA"/>
    <s v="77977572915"/>
    <n v="47"/>
    <n v="0"/>
  </r>
  <r>
    <d v="2026-02-24T11:16:11"/>
    <n v="4604"/>
    <x v="98"/>
    <d v="2026-02-24T00:00:00"/>
    <d v="2026-08-30T00:00:00"/>
    <x v="5"/>
    <x v="1"/>
    <s v="510200"/>
    <x v="10"/>
    <x v="1"/>
    <s v="LT"/>
    <n v="341"/>
    <s v="5970"/>
    <s v="SAFRINHA 2026"/>
    <n v="30"/>
    <n v="0"/>
    <n v="30"/>
    <n v="10230"/>
    <m/>
    <s v="PARANATINGA"/>
    <s v="77977572915"/>
    <n v="341"/>
    <n v="0"/>
  </r>
  <r>
    <d v="2026-02-24T11:16:11"/>
    <n v="4604"/>
    <x v="98"/>
    <d v="2026-02-24T00:00:00"/>
    <d v="2026-08-30T00:00:00"/>
    <x v="5"/>
    <x v="1"/>
    <s v="510200"/>
    <x v="11"/>
    <x v="1"/>
    <s v="LT"/>
    <n v="341"/>
    <s v="5970"/>
    <s v="SAFRINHA 2026"/>
    <n v="30"/>
    <n v="0"/>
    <n v="30"/>
    <n v="10230"/>
    <m/>
    <s v="PARANATINGA"/>
    <s v="77977572915"/>
    <n v="341"/>
    <n v="0"/>
  </r>
  <r>
    <d v="2026-03-07T09:02:06"/>
    <n v="4645"/>
    <x v="98"/>
    <d v="2026-03-07T00:00:00"/>
    <d v="2026-08-30T00:00:00"/>
    <x v="5"/>
    <x v="0"/>
    <s v="510200"/>
    <x v="12"/>
    <x v="0"/>
    <s v="LT"/>
    <n v="235"/>
    <s v="6121"/>
    <s v="SAFRINHA 2026"/>
    <n v="15"/>
    <n v="0"/>
    <n v="15"/>
    <n v="3525"/>
    <m/>
    <s v="PARANATINGA"/>
    <s v="77977572915"/>
    <n v="235"/>
    <n v="0"/>
  </r>
  <r>
    <d v="2025-10-08T15:23:55"/>
    <n v="333"/>
    <x v="99"/>
    <d v="2025-10-07T00:00:00"/>
    <d v="2026-03-30T00:00:00"/>
    <x v="2"/>
    <x v="0"/>
    <s v="610200"/>
    <x v="30"/>
    <x v="2"/>
    <s v="LT"/>
    <n v="180"/>
    <m/>
    <s v="SAFRA 25/26"/>
    <n v="12"/>
    <n v="0"/>
    <n v="12"/>
    <n v="2160"/>
    <m/>
    <s v="ALTAMIRA"/>
    <s v="12110642807"/>
    <n v="180"/>
    <n v="0"/>
  </r>
  <r>
    <d v="2025-11-11T08:45:16"/>
    <n v="409"/>
    <x v="99"/>
    <d v="2025-11-11T00:00:00"/>
    <d v="2026-04-30T00:00:00"/>
    <x v="2"/>
    <x v="0"/>
    <s v="610200"/>
    <x v="16"/>
    <x v="2"/>
    <s v="KG"/>
    <n v="100"/>
    <s v="96"/>
    <s v="SAFRA 25/26"/>
    <n v="20"/>
    <n v="0"/>
    <n v="20"/>
    <n v="2000"/>
    <m/>
    <s v="ALTAMIRA"/>
    <s v="12110642807"/>
    <n v="100"/>
    <n v="0"/>
  </r>
  <r>
    <d v="2025-11-11T08:45:16"/>
    <n v="409"/>
    <x v="99"/>
    <d v="2025-11-11T00:00:00"/>
    <d v="2026-04-30T00:00:00"/>
    <x v="2"/>
    <x v="0"/>
    <s v="610200"/>
    <x v="88"/>
    <x v="0"/>
    <s v="LT"/>
    <n v="100"/>
    <s v="96"/>
    <s v="SAFRA 25/26"/>
    <n v="5"/>
    <n v="0"/>
    <n v="5"/>
    <n v="500"/>
    <m/>
    <s v="ALTAMIRA"/>
    <s v="12110642807"/>
    <n v="100"/>
    <n v="0"/>
  </r>
  <r>
    <d v="2025-11-11T08:45:16"/>
    <n v="409"/>
    <x v="99"/>
    <d v="2025-11-11T00:00:00"/>
    <d v="2026-04-30T00:00:00"/>
    <x v="2"/>
    <x v="0"/>
    <s v="610200"/>
    <x v="89"/>
    <x v="2"/>
    <s v="LT"/>
    <n v="100"/>
    <s v="96"/>
    <s v="SAFRA 25/26"/>
    <n v="20"/>
    <n v="0"/>
    <n v="20"/>
    <n v="2000"/>
    <m/>
    <s v="ALTAMIRA"/>
    <s v="12110642807"/>
    <n v="100"/>
    <n v="0"/>
  </r>
  <r>
    <d v="2026-01-14T07:29:57"/>
    <n v="498"/>
    <x v="99"/>
    <d v="2026-01-14T00:00:00"/>
    <d v="2026-08-30T00:00:00"/>
    <x v="2"/>
    <x v="0"/>
    <s v="610200"/>
    <x v="31"/>
    <x v="0"/>
    <s v="LT"/>
    <n v="185"/>
    <s v="136"/>
    <s v="SAFRINHA 2026"/>
    <n v="12"/>
    <n v="0"/>
    <n v="12"/>
    <n v="2220"/>
    <m/>
    <s v="ALTAMIRA"/>
    <s v="12110642807"/>
    <n v="185"/>
    <n v="0"/>
  </r>
  <r>
    <d v="2025-11-27T16:59:17"/>
    <n v="432"/>
    <x v="100"/>
    <d v="2025-11-26T00:00:00"/>
    <d v="2026-08-30T00:00:00"/>
    <x v="10"/>
    <x v="0"/>
    <s v="510200"/>
    <x v="26"/>
    <x v="2"/>
    <s v="TON"/>
    <n v="1400"/>
    <s v="427"/>
    <s v="SAFRINHA 2026"/>
    <n v="13"/>
    <n v="0"/>
    <n v="13"/>
    <n v="18200"/>
    <m/>
    <s v="COLIDER"/>
    <s v="80956939104"/>
    <n v="1400"/>
    <n v="0"/>
  </r>
  <r>
    <d v="2025-11-27T16:59:17"/>
    <n v="432"/>
    <x v="100"/>
    <d v="2025-11-26T00:00:00"/>
    <d v="2026-08-30T00:00:00"/>
    <x v="10"/>
    <x v="0"/>
    <s v="510200"/>
    <x v="90"/>
    <x v="2"/>
    <s v="TON"/>
    <n v="1400"/>
    <s v="427"/>
    <s v="SAFRINHA 2026"/>
    <n v="3"/>
    <n v="0"/>
    <n v="3"/>
    <n v="4200"/>
    <m/>
    <s v="COLIDER"/>
    <s v="80956939104"/>
    <n v="1400"/>
    <n v="0"/>
  </r>
  <r>
    <d v="2025-11-27T16:59:17"/>
    <n v="432"/>
    <x v="100"/>
    <d v="2025-11-26T00:00:00"/>
    <d v="2026-08-30T00:00:00"/>
    <x v="10"/>
    <x v="0"/>
    <s v="510200"/>
    <x v="91"/>
    <x v="2"/>
    <s v="TON"/>
    <n v="1400"/>
    <s v="427"/>
    <s v="SAFRINHA 2026"/>
    <n v="2"/>
    <n v="0"/>
    <n v="2"/>
    <n v="2800"/>
    <m/>
    <s v="COLIDER"/>
    <s v="80956939104"/>
    <n v="1400"/>
    <n v="0"/>
  </r>
  <r>
    <d v="2025-11-27T16:59:17"/>
    <n v="432"/>
    <x v="100"/>
    <d v="2025-11-26T00:00:00"/>
    <d v="2026-08-30T00:00:00"/>
    <x v="10"/>
    <x v="0"/>
    <s v="510200"/>
    <x v="77"/>
    <x v="2"/>
    <s v="TON"/>
    <n v="1400"/>
    <s v="427"/>
    <s v="SAFRINHA 2026"/>
    <n v="1"/>
    <n v="0"/>
    <n v="1"/>
    <n v="1400"/>
    <m/>
    <s v="COLIDER"/>
    <s v="80956939104"/>
    <n v="1400"/>
    <n v="0"/>
  </r>
  <r>
    <d v="2025-08-04T07:55:53"/>
    <n v="3956"/>
    <x v="101"/>
    <d v="2025-08-04T00:00:00"/>
    <d v="2026-03-30T00:00:00"/>
    <x v="7"/>
    <x v="0"/>
    <s v="510200"/>
    <x v="7"/>
    <x v="0"/>
    <s v="LT"/>
    <n v="73"/>
    <s v="5443"/>
    <s v="SAFRA 25/26"/>
    <n v="80"/>
    <n v="0"/>
    <n v="80"/>
    <n v="5840"/>
    <m/>
    <s v="SORRISO"/>
    <s v="69404070904"/>
    <n v="73"/>
    <n v="0"/>
  </r>
  <r>
    <d v="2025-08-04T07:55:53"/>
    <n v="3956"/>
    <x v="101"/>
    <d v="2025-08-04T00:00:00"/>
    <d v="2026-03-30T00:00:00"/>
    <x v="7"/>
    <x v="0"/>
    <s v="510200"/>
    <x v="6"/>
    <x v="0"/>
    <s v="LT"/>
    <n v="73"/>
    <s v="5443"/>
    <s v="SAFRA 25/26"/>
    <n v="140"/>
    <n v="0"/>
    <n v="140"/>
    <n v="10220"/>
    <m/>
    <s v="SORRISO"/>
    <s v="69404070904"/>
    <n v="73"/>
    <n v="0"/>
  </r>
  <r>
    <d v="2025-08-04T07:55:53"/>
    <n v="3956"/>
    <x v="101"/>
    <d v="2025-08-04T00:00:00"/>
    <d v="2026-03-30T00:00:00"/>
    <x v="7"/>
    <x v="0"/>
    <s v="510200"/>
    <x v="92"/>
    <x v="0"/>
    <s v="LT"/>
    <n v="73"/>
    <s v="5443"/>
    <s v="SAFRA 25/26"/>
    <n v="40"/>
    <n v="0"/>
    <n v="40"/>
    <n v="2920"/>
    <m/>
    <s v="SORRISO"/>
    <s v="69404070904"/>
    <n v="73"/>
    <n v="0"/>
  </r>
  <r>
    <d v="2025-08-04T08:17:21"/>
    <n v="3957"/>
    <x v="101"/>
    <d v="2025-08-04T00:00:00"/>
    <d v="2026-03-30T00:00:00"/>
    <x v="7"/>
    <x v="0"/>
    <s v="510200"/>
    <x v="12"/>
    <x v="0"/>
    <s v="LT"/>
    <n v="245"/>
    <s v="5437"/>
    <s v="SAFRA 25/26"/>
    <n v="50"/>
    <n v="0"/>
    <n v="50"/>
    <n v="12250"/>
    <m/>
    <s v="SORRISO"/>
    <s v="69404070904"/>
    <n v="245"/>
    <n v="0"/>
  </r>
  <r>
    <d v="2025-08-04T08:17:21"/>
    <n v="3957"/>
    <x v="101"/>
    <d v="2025-08-04T00:00:00"/>
    <d v="2026-03-30T00:00:00"/>
    <x v="7"/>
    <x v="1"/>
    <s v="510200"/>
    <x v="9"/>
    <x v="1"/>
    <s v="LT"/>
    <n v="52"/>
    <s v="5437"/>
    <s v="SAFRA 25/26"/>
    <n v="51"/>
    <n v="0"/>
    <n v="51"/>
    <n v="2652"/>
    <m/>
    <s v="SORRISO"/>
    <s v="69404070904"/>
    <n v="52"/>
    <n v="0"/>
  </r>
  <r>
    <d v="2025-08-04T08:17:21"/>
    <n v="3957"/>
    <x v="101"/>
    <d v="2025-08-04T00:00:00"/>
    <d v="2026-03-30T00:00:00"/>
    <x v="7"/>
    <x v="1"/>
    <s v="510200"/>
    <x v="10"/>
    <x v="1"/>
    <s v="LT"/>
    <n v="355"/>
    <s v="5437"/>
    <s v="SAFRA 25/26"/>
    <n v="40"/>
    <n v="0"/>
    <n v="40"/>
    <n v="14200"/>
    <m/>
    <s v="SORRISO"/>
    <s v="69404070904"/>
    <n v="355"/>
    <n v="0"/>
  </r>
  <r>
    <d v="2025-08-04T08:17:21"/>
    <n v="3957"/>
    <x v="101"/>
    <d v="2025-08-04T00:00:00"/>
    <d v="2026-03-30T00:00:00"/>
    <x v="7"/>
    <x v="1"/>
    <s v="510200"/>
    <x v="11"/>
    <x v="1"/>
    <s v="LT"/>
    <n v="365"/>
    <s v="5437"/>
    <s v="SAFRA 25/26"/>
    <n v="40"/>
    <n v="0"/>
    <n v="40"/>
    <n v="14600"/>
    <m/>
    <s v="SORRISO"/>
    <s v="69404070904"/>
    <n v="365"/>
    <n v="0"/>
  </r>
  <r>
    <d v="2025-08-04T08:17:21"/>
    <n v="3957"/>
    <x v="101"/>
    <d v="2025-08-04T00:00:00"/>
    <d v="2026-03-30T00:00:00"/>
    <x v="7"/>
    <x v="1"/>
    <s v="510200"/>
    <x v="14"/>
    <x v="1"/>
    <s v="KG"/>
    <n v="400"/>
    <s v="5437"/>
    <s v="SAFRA 25/26"/>
    <n v="40"/>
    <n v="0"/>
    <n v="40"/>
    <n v="16000"/>
    <m/>
    <s v="SORRISO"/>
    <s v="69404070904"/>
    <n v="400"/>
    <n v="0"/>
  </r>
  <r>
    <d v="2025-08-04T08:17:21"/>
    <n v="3957"/>
    <x v="101"/>
    <d v="2025-08-04T00:00:00"/>
    <d v="2026-03-30T00:00:00"/>
    <x v="7"/>
    <x v="1"/>
    <s v="510200"/>
    <x v="13"/>
    <x v="1"/>
    <s v="LT"/>
    <n v="45"/>
    <s v="5437"/>
    <s v="SAFRA 25/26"/>
    <n v="114"/>
    <n v="0"/>
    <n v="114"/>
    <n v="5130"/>
    <m/>
    <s v="SORRISO"/>
    <s v="69404070904"/>
    <n v="45"/>
    <n v="0"/>
  </r>
  <r>
    <d v="2025-08-04T08:28:01"/>
    <n v="3958"/>
    <x v="101"/>
    <d v="2025-08-04T00:00:00"/>
    <d v="2026-03-30T00:00:00"/>
    <x v="7"/>
    <x v="0"/>
    <s v="510200"/>
    <x v="1"/>
    <x v="0"/>
    <s v="LT"/>
    <n v="165"/>
    <s v="5438"/>
    <s v="SAFRA 25/26"/>
    <n v="80"/>
    <n v="0"/>
    <n v="80"/>
    <n v="13200"/>
    <m/>
    <s v="SORRISO"/>
    <s v="69404070904"/>
    <n v="165"/>
    <n v="0"/>
  </r>
  <r>
    <d v="2025-08-04T08:28:01"/>
    <n v="3958"/>
    <x v="101"/>
    <d v="2025-08-04T00:00:00"/>
    <d v="2026-03-30T00:00:00"/>
    <x v="7"/>
    <x v="0"/>
    <s v="510200"/>
    <x v="8"/>
    <x v="0"/>
    <s v="KG"/>
    <n v="90"/>
    <s v="5438"/>
    <s v="SAFRA 25/26"/>
    <n v="81"/>
    <n v="0"/>
    <n v="81"/>
    <n v="7290"/>
    <m/>
    <s v="SORRISO"/>
    <s v="69404070904"/>
    <n v="90"/>
    <n v="0"/>
  </r>
  <r>
    <d v="2025-08-04T08:28:01"/>
    <n v="3958"/>
    <x v="101"/>
    <d v="2025-08-04T00:00:00"/>
    <d v="2026-03-30T00:00:00"/>
    <x v="7"/>
    <x v="0"/>
    <s v="510200"/>
    <x v="46"/>
    <x v="0"/>
    <s v="LT"/>
    <n v="18"/>
    <s v="5438"/>
    <s v="SAFRA 25/26"/>
    <n v="500"/>
    <n v="0"/>
    <n v="500"/>
    <n v="9000"/>
    <m/>
    <s v="SORRISO"/>
    <s v="69404070904"/>
    <n v="18"/>
    <n v="0"/>
  </r>
  <r>
    <d v="2025-08-04T08:28:01"/>
    <n v="3958"/>
    <x v="101"/>
    <d v="2025-08-04T00:00:00"/>
    <d v="2026-03-30T00:00:00"/>
    <x v="7"/>
    <x v="0"/>
    <s v="510200"/>
    <x v="3"/>
    <x v="0"/>
    <s v="LT"/>
    <n v="24"/>
    <s v="5438"/>
    <s v="SAFRA 25/26"/>
    <n v="500"/>
    <n v="0"/>
    <n v="500"/>
    <n v="12000"/>
    <m/>
    <s v="SORRISO"/>
    <s v="69404070904"/>
    <n v="24"/>
    <n v="0"/>
  </r>
  <r>
    <d v="2025-08-04T08:28:01"/>
    <n v="3958"/>
    <x v="101"/>
    <d v="2025-08-04T00:00:00"/>
    <d v="2026-03-30T00:00:00"/>
    <x v="7"/>
    <x v="0"/>
    <s v="510200"/>
    <x v="2"/>
    <x v="0"/>
    <s v="KG"/>
    <n v="23"/>
    <s v="5438"/>
    <s v="SAFRA 25/26"/>
    <n v="500"/>
    <n v="0"/>
    <n v="500"/>
    <n v="11500"/>
    <m/>
    <s v="SORRISO"/>
    <s v="69404070904"/>
    <n v="23"/>
    <n v="0"/>
  </r>
  <r>
    <d v="2025-08-04T08:28:01"/>
    <n v="3958"/>
    <x v="101"/>
    <d v="2025-08-04T00:00:00"/>
    <d v="2026-03-30T00:00:00"/>
    <x v="7"/>
    <x v="0"/>
    <s v="510200"/>
    <x v="5"/>
    <x v="0"/>
    <s v="KG"/>
    <n v="25"/>
    <s v="5438"/>
    <s v="SAFRA 25/26"/>
    <n v="500"/>
    <n v="0"/>
    <n v="500"/>
    <n v="12500"/>
    <m/>
    <s v="SORRISO"/>
    <s v="69404070904"/>
    <n v="25"/>
    <n v="0"/>
  </r>
  <r>
    <d v="2025-08-04T08:28:01"/>
    <n v="3958"/>
    <x v="101"/>
    <d v="2025-08-04T00:00:00"/>
    <d v="2026-03-30T00:00:00"/>
    <x v="7"/>
    <x v="0"/>
    <s v="510200"/>
    <x v="4"/>
    <x v="0"/>
    <s v="KG"/>
    <n v="25"/>
    <s v="5438"/>
    <s v="SAFRA 25/26"/>
    <n v="1000"/>
    <n v="0"/>
    <n v="1000"/>
    <n v="25000"/>
    <m/>
    <s v="SORRISO"/>
    <s v="69404070904"/>
    <n v="25"/>
    <n v="0"/>
  </r>
  <r>
    <d v="2025-08-04T08:28:01"/>
    <n v="3958"/>
    <x v="101"/>
    <d v="2025-08-04T00:00:00"/>
    <d v="2026-03-30T00:00:00"/>
    <x v="7"/>
    <x v="0"/>
    <s v="510200"/>
    <x v="0"/>
    <x v="0"/>
    <s v="LT"/>
    <n v="17"/>
    <s v="5438"/>
    <s v="SAFRA 25/26"/>
    <n v="500"/>
    <n v="0"/>
    <n v="500"/>
    <n v="8500"/>
    <m/>
    <s v="SORRISO"/>
    <s v="69404070904"/>
    <n v="17"/>
    <n v="0"/>
  </r>
  <r>
    <d v="2025-12-11T10:41:04"/>
    <n v="4344"/>
    <x v="101"/>
    <d v="2025-12-11T00:00:00"/>
    <d v="2026-03-30T00:00:00"/>
    <x v="7"/>
    <x v="0"/>
    <s v="510200"/>
    <x v="84"/>
    <x v="2"/>
    <s v="LT"/>
    <n v="98"/>
    <s v="5598"/>
    <s v="SAFRA 25/26"/>
    <n v="60"/>
    <n v="0"/>
    <n v="60"/>
    <n v="5880"/>
    <m/>
    <s v="SORRISO"/>
    <s v="69404070904"/>
    <n v="98"/>
    <n v="0"/>
  </r>
  <r>
    <d v="2025-12-11T10:41:04"/>
    <n v="4344"/>
    <x v="101"/>
    <d v="2025-12-11T00:00:00"/>
    <d v="2026-03-30T00:00:00"/>
    <x v="7"/>
    <x v="1"/>
    <s v="510200"/>
    <x v="23"/>
    <x v="1"/>
    <s v="KG"/>
    <n v="380"/>
    <s v="5598"/>
    <s v="SAFRA 25/26"/>
    <n v="30"/>
    <n v="0"/>
    <n v="30"/>
    <n v="11400"/>
    <m/>
    <s v="SORRISO"/>
    <s v="69404070904"/>
    <n v="380"/>
    <n v="0"/>
  </r>
  <r>
    <d v="2026-01-07T14:11:29"/>
    <n v="4416"/>
    <x v="101"/>
    <d v="2026-01-07T00:00:00"/>
    <d v="2026-08-30T00:00:00"/>
    <x v="7"/>
    <x v="1"/>
    <s v="510200"/>
    <x v="11"/>
    <x v="1"/>
    <s v="LT"/>
    <n v="365"/>
    <s v="5879"/>
    <s v="SAFRINHA 2026"/>
    <n v="25"/>
    <n v="0"/>
    <n v="25"/>
    <n v="9125"/>
    <m/>
    <s v="SORRISO"/>
    <s v="69404070904"/>
    <n v="365"/>
    <n v="0"/>
  </r>
  <r>
    <d v="2026-01-07T14:11:29"/>
    <n v="4416"/>
    <x v="101"/>
    <d v="2026-01-07T00:00:00"/>
    <d v="2026-08-30T00:00:00"/>
    <x v="7"/>
    <x v="1"/>
    <s v="510200"/>
    <x v="10"/>
    <x v="1"/>
    <s v="LT"/>
    <n v="355"/>
    <s v="5879"/>
    <s v="SAFRINHA 2026"/>
    <n v="25"/>
    <n v="0"/>
    <n v="25"/>
    <n v="8875"/>
    <m/>
    <s v="SORRISO"/>
    <s v="69404070904"/>
    <n v="355"/>
    <n v="0"/>
  </r>
  <r>
    <d v="2026-01-07T14:11:29"/>
    <n v="4416"/>
    <x v="101"/>
    <d v="2026-01-07T00:00:00"/>
    <d v="2026-08-30T00:00:00"/>
    <x v="7"/>
    <x v="1"/>
    <s v="510200"/>
    <x v="9"/>
    <x v="1"/>
    <s v="LT"/>
    <n v="52"/>
    <s v="5879"/>
    <s v="SAFRINHA 2026"/>
    <n v="102"/>
    <n v="0"/>
    <n v="102"/>
    <n v="5304"/>
    <m/>
    <s v="SORRISO"/>
    <s v="69404070904"/>
    <n v="52"/>
    <n v="0"/>
  </r>
  <r>
    <d v="2026-01-07T14:11:29"/>
    <n v="4416"/>
    <x v="101"/>
    <d v="2026-01-07T00:00:00"/>
    <d v="2026-08-30T00:00:00"/>
    <x v="7"/>
    <x v="1"/>
    <s v="510200"/>
    <x v="14"/>
    <x v="1"/>
    <s v="KG"/>
    <n v="400"/>
    <s v="5879"/>
    <s v="SAFRINHA 2026"/>
    <n v="25"/>
    <n v="0"/>
    <n v="25"/>
    <n v="10000"/>
    <m/>
    <s v="SORRISO"/>
    <s v="69404070904"/>
    <n v="400"/>
    <n v="0"/>
  </r>
  <r>
    <d v="2026-01-09T11:35:41"/>
    <n v="4419"/>
    <x v="101"/>
    <d v="2026-01-09T00:00:00"/>
    <d v="2026-08-30T00:00:00"/>
    <x v="7"/>
    <x v="0"/>
    <s v="510200"/>
    <x v="2"/>
    <x v="0"/>
    <s v="KG"/>
    <n v="23"/>
    <s v="5880"/>
    <s v="SAFRINHA 2026"/>
    <n v="500"/>
    <n v="0"/>
    <n v="500"/>
    <n v="11500"/>
    <m/>
    <s v="SORRISO"/>
    <s v="69404070904"/>
    <n v="23"/>
    <n v="0"/>
  </r>
  <r>
    <d v="2026-01-09T11:35:41"/>
    <n v="4419"/>
    <x v="101"/>
    <d v="2026-01-09T00:00:00"/>
    <d v="2026-08-30T00:00:00"/>
    <x v="7"/>
    <x v="0"/>
    <s v="510200"/>
    <x v="12"/>
    <x v="0"/>
    <s v="LT"/>
    <n v="245"/>
    <s v="5880"/>
    <s v="SAFRINHA 2026"/>
    <n v="50"/>
    <n v="0"/>
    <n v="50"/>
    <n v="12250"/>
    <m/>
    <s v="SORRISO"/>
    <s v="69404070904"/>
    <n v="245"/>
    <n v="0"/>
  </r>
  <r>
    <d v="2026-01-09T11:35:41"/>
    <n v="4419"/>
    <x v="101"/>
    <d v="2026-01-09T00:00:00"/>
    <d v="2026-08-30T00:00:00"/>
    <x v="7"/>
    <x v="0"/>
    <s v="510200"/>
    <x v="4"/>
    <x v="0"/>
    <s v="KG"/>
    <n v="25"/>
    <s v="5880"/>
    <s v="SAFRINHA 2026"/>
    <n v="360"/>
    <n v="0"/>
    <n v="360"/>
    <n v="9000"/>
    <m/>
    <s v="SORRISO"/>
    <s v="69404070904"/>
    <n v="25"/>
    <n v="0"/>
  </r>
  <r>
    <d v="2026-01-09T11:35:41"/>
    <n v="4419"/>
    <x v="101"/>
    <d v="2026-01-09T00:00:00"/>
    <d v="2026-08-30T00:00:00"/>
    <x v="7"/>
    <x v="0"/>
    <s v="510200"/>
    <x v="3"/>
    <x v="0"/>
    <s v="LT"/>
    <n v="24"/>
    <s v="5880"/>
    <s v="SAFRINHA 2026"/>
    <n v="500"/>
    <n v="0"/>
    <n v="500"/>
    <n v="12000"/>
    <m/>
    <s v="SORRISO"/>
    <s v="69404070904"/>
    <n v="24"/>
    <n v="0"/>
  </r>
  <r>
    <d v="2026-01-09T11:35:41"/>
    <n v="4419"/>
    <x v="101"/>
    <d v="2026-01-09T00:00:00"/>
    <d v="2026-08-30T00:00:00"/>
    <x v="7"/>
    <x v="0"/>
    <s v="510200"/>
    <x v="1"/>
    <x v="0"/>
    <s v="LT"/>
    <n v="165"/>
    <s v="5880"/>
    <s v="SAFRINHA 2026"/>
    <n v="80"/>
    <n v="0"/>
    <n v="80"/>
    <n v="13200"/>
    <m/>
    <s v="SORRISO"/>
    <s v="69404070904"/>
    <n v="165"/>
    <n v="0"/>
  </r>
  <r>
    <d v="2025-09-16T11:50:05"/>
    <n v="298"/>
    <x v="102"/>
    <d v="2025-09-16T00:00:00"/>
    <d v="2026-03-30T00:00:00"/>
    <x v="2"/>
    <x v="0"/>
    <s v="610200"/>
    <x v="24"/>
    <x v="2"/>
    <s v="LT"/>
    <n v="58"/>
    <s v="103"/>
    <s v="SAFRA 25/26"/>
    <n v="100"/>
    <n v="0"/>
    <n v="100"/>
    <n v="5800"/>
    <m/>
    <m/>
    <s v="42722513000237"/>
    <n v="58"/>
    <n v="0"/>
  </r>
  <r>
    <d v="2025-09-16T11:50:05"/>
    <n v="298"/>
    <x v="102"/>
    <d v="2025-09-16T00:00:00"/>
    <d v="2026-03-30T00:00:00"/>
    <x v="2"/>
    <x v="0"/>
    <s v="610200"/>
    <x v="22"/>
    <x v="2"/>
    <s v="KG"/>
    <n v="15"/>
    <s v="103"/>
    <s v="SAFRA 25/26"/>
    <n v="2790"/>
    <n v="0"/>
    <n v="2790"/>
    <n v="41850"/>
    <m/>
    <m/>
    <s v="42722513000237"/>
    <n v="15"/>
    <n v="0"/>
  </r>
  <r>
    <d v="2025-09-16T11:50:05"/>
    <n v="298"/>
    <x v="102"/>
    <d v="2025-09-16T00:00:00"/>
    <d v="2026-03-30T00:00:00"/>
    <x v="2"/>
    <x v="0"/>
    <s v="610200"/>
    <x v="93"/>
    <x v="2"/>
    <s v="KG"/>
    <n v="26.25"/>
    <s v="103"/>
    <s v="SAFRA 25/26"/>
    <n v="520"/>
    <n v="0"/>
    <n v="520"/>
    <n v="13650"/>
    <m/>
    <m/>
    <s v="42722513000237"/>
    <n v="26.25"/>
    <n v="0"/>
  </r>
  <r>
    <d v="2025-09-16T11:50:05"/>
    <n v="298"/>
    <x v="102"/>
    <d v="2025-09-16T00:00:00"/>
    <d v="2026-03-30T00:00:00"/>
    <x v="2"/>
    <x v="0"/>
    <s v="610200"/>
    <x v="1"/>
    <x v="0"/>
    <s v="LT"/>
    <n v="110"/>
    <s v="103"/>
    <s v="SAFRA 25/26"/>
    <n v="60"/>
    <n v="0"/>
    <n v="60"/>
    <n v="6600"/>
    <m/>
    <m/>
    <s v="42722513000237"/>
    <n v="110"/>
    <n v="0"/>
  </r>
  <r>
    <d v="2025-09-16T11:50:05"/>
    <n v="298"/>
    <x v="102"/>
    <d v="2025-09-16T00:00:00"/>
    <d v="2026-03-30T00:00:00"/>
    <x v="2"/>
    <x v="0"/>
    <s v="610200"/>
    <x v="66"/>
    <x v="2"/>
    <s v="LT"/>
    <n v="115"/>
    <s v="103"/>
    <s v="SAFRA 25/26"/>
    <n v="200"/>
    <n v="0"/>
    <n v="200"/>
    <n v="23000"/>
    <m/>
    <m/>
    <s v="42722513000237"/>
    <n v="115"/>
    <n v="0"/>
  </r>
  <r>
    <d v="2025-09-16T11:50:05"/>
    <n v="298"/>
    <x v="102"/>
    <d v="2025-09-16T00:00:00"/>
    <d v="2026-03-30T00:00:00"/>
    <x v="2"/>
    <x v="2"/>
    <s v="610200"/>
    <x v="13"/>
    <x v="1"/>
    <s v="LT"/>
    <n v="40"/>
    <s v="103"/>
    <s v="SAFRA 25/26"/>
    <n v="324"/>
    <n v="0"/>
    <n v="324"/>
    <n v="12960"/>
    <m/>
    <m/>
    <s v="42722513000237"/>
    <n v="40"/>
    <n v="0"/>
  </r>
  <r>
    <d v="2025-09-16T11:50:05"/>
    <n v="298"/>
    <x v="102"/>
    <d v="2025-09-16T00:00:00"/>
    <d v="2026-03-30T00:00:00"/>
    <x v="2"/>
    <x v="2"/>
    <s v="610200"/>
    <x v="9"/>
    <x v="1"/>
    <s v="LT"/>
    <n v="42"/>
    <s v="103"/>
    <s v="SAFRA 25/26"/>
    <n v="180"/>
    <n v="0"/>
    <n v="180"/>
    <n v="7560"/>
    <m/>
    <m/>
    <s v="42722513000237"/>
    <n v="42"/>
    <n v="0"/>
  </r>
  <r>
    <d v="2025-09-16T11:50:05"/>
    <n v="298"/>
    <x v="102"/>
    <d v="2025-09-16T00:00:00"/>
    <d v="2026-03-30T00:00:00"/>
    <x v="2"/>
    <x v="2"/>
    <s v="610200"/>
    <x v="18"/>
    <x v="1"/>
    <s v="KG"/>
    <n v="180"/>
    <s v="103"/>
    <s v="SAFRA 25/26"/>
    <n v="170"/>
    <n v="0"/>
    <n v="170"/>
    <n v="30600"/>
    <m/>
    <m/>
    <s v="42722513000237"/>
    <n v="180"/>
    <n v="0"/>
  </r>
  <r>
    <d v="2025-09-16T11:50:05"/>
    <n v="298"/>
    <x v="102"/>
    <d v="2025-09-16T00:00:00"/>
    <d v="2026-03-30T00:00:00"/>
    <x v="2"/>
    <x v="0"/>
    <s v="610200"/>
    <x v="15"/>
    <x v="2"/>
    <s v="LT"/>
    <n v="120"/>
    <s v="103"/>
    <s v="SAFRA 25/26"/>
    <n v="24"/>
    <n v="0"/>
    <n v="24"/>
    <n v="2880"/>
    <m/>
    <m/>
    <s v="42722513000237"/>
    <n v="120"/>
    <n v="0"/>
  </r>
  <r>
    <d v="2025-09-16T12:51:15"/>
    <n v="299"/>
    <x v="102"/>
    <d v="2025-09-16T00:00:00"/>
    <d v="2026-03-30T00:00:00"/>
    <x v="2"/>
    <x v="0"/>
    <s v="610200"/>
    <x v="1"/>
    <x v="0"/>
    <s v="LT"/>
    <n v="110"/>
    <s v="105"/>
    <s v="SAFRA 25/26"/>
    <n v="20"/>
    <n v="0"/>
    <n v="20"/>
    <n v="2200"/>
    <m/>
    <m/>
    <s v="42722513000237"/>
    <n v="110"/>
    <n v="0"/>
  </r>
  <r>
    <d v="2025-09-16T12:51:15"/>
    <n v="299"/>
    <x v="102"/>
    <d v="2025-09-16T00:00:00"/>
    <d v="2026-03-30T00:00:00"/>
    <x v="2"/>
    <x v="2"/>
    <s v="610200"/>
    <x v="9"/>
    <x v="1"/>
    <s v="LT"/>
    <n v="42"/>
    <s v="105"/>
    <s v="SAFRA 25/26"/>
    <n v="15"/>
    <n v="0"/>
    <n v="15"/>
    <n v="630"/>
    <m/>
    <m/>
    <s v="42722513000237"/>
    <n v="42"/>
    <n v="0"/>
  </r>
  <r>
    <d v="2025-09-16T12:51:15"/>
    <n v="299"/>
    <x v="102"/>
    <d v="2025-09-16T00:00:00"/>
    <d v="2026-03-30T00:00:00"/>
    <x v="2"/>
    <x v="0"/>
    <s v="610200"/>
    <x v="93"/>
    <x v="2"/>
    <s v="KG"/>
    <n v="26.25"/>
    <s v="105"/>
    <s v="SAFRA 25/26"/>
    <n v="22.4"/>
    <n v="0"/>
    <n v="22.4"/>
    <n v="588"/>
    <m/>
    <m/>
    <s v="42722513000237"/>
    <n v="26.25"/>
    <n v="0"/>
  </r>
  <r>
    <d v="2025-09-16T12:51:15"/>
    <n v="299"/>
    <x v="102"/>
    <d v="2025-09-16T00:00:00"/>
    <d v="2026-03-30T00:00:00"/>
    <x v="2"/>
    <x v="2"/>
    <s v="610200"/>
    <x v="13"/>
    <x v="1"/>
    <s v="LT"/>
    <n v="40"/>
    <s v="105"/>
    <s v="SAFRA 25/26"/>
    <n v="15"/>
    <n v="0"/>
    <n v="15"/>
    <n v="600"/>
    <m/>
    <m/>
    <s v="42722513000237"/>
    <n v="40"/>
    <n v="0"/>
  </r>
  <r>
    <d v="2025-09-19T10:41:51"/>
    <n v="305"/>
    <x v="102"/>
    <d v="2025-09-19T00:00:00"/>
    <d v="2026-03-30T00:00:00"/>
    <x v="2"/>
    <x v="2"/>
    <s v="610200"/>
    <x v="18"/>
    <x v="1"/>
    <s v="KG"/>
    <n v="180"/>
    <m/>
    <s v="SAFRA 25/26"/>
    <n v="40"/>
    <n v="0"/>
    <n v="40"/>
    <n v="7200"/>
    <m/>
    <m/>
    <s v="42722513000237"/>
    <n v="180"/>
    <n v="0"/>
  </r>
  <r>
    <d v="2025-09-19T10:41:51"/>
    <n v="305"/>
    <x v="102"/>
    <d v="2025-09-19T00:00:00"/>
    <d v="2026-03-30T00:00:00"/>
    <x v="2"/>
    <x v="0"/>
    <s v="610200"/>
    <x v="93"/>
    <x v="2"/>
    <s v="KG"/>
    <n v="26.25"/>
    <m/>
    <s v="SAFRA 25/26"/>
    <n v="48"/>
    <n v="0"/>
    <n v="48"/>
    <n v="1260"/>
    <m/>
    <m/>
    <s v="42722513000237"/>
    <n v="26.25"/>
    <n v="0"/>
  </r>
  <r>
    <d v="2025-09-19T10:41:51"/>
    <n v="305"/>
    <x v="102"/>
    <d v="2025-09-19T00:00:00"/>
    <d v="2026-03-30T00:00:00"/>
    <x v="2"/>
    <x v="0"/>
    <s v="610200"/>
    <x v="22"/>
    <x v="2"/>
    <s v="KG"/>
    <n v="15"/>
    <m/>
    <s v="SAFRA 25/26"/>
    <n v="1000"/>
    <n v="0"/>
    <n v="1000"/>
    <n v="15000"/>
    <m/>
    <m/>
    <s v="42722513000237"/>
    <n v="15"/>
    <n v="0"/>
  </r>
  <r>
    <d v="2025-05-07T14:00:16"/>
    <n v="3832"/>
    <x v="103"/>
    <d v="2025-05-07T00:00:00"/>
    <d v="2026-03-30T00:00:00"/>
    <x v="7"/>
    <x v="1"/>
    <s v="510200"/>
    <x v="9"/>
    <x v="1"/>
    <s v="LT"/>
    <n v="42"/>
    <s v="5044"/>
    <s v="SAFRA 25/26"/>
    <n v="258"/>
    <n v="0"/>
    <n v="258"/>
    <n v="10836"/>
    <m/>
    <s v="SANTA CARMEM"/>
    <s v="00206558007"/>
    <n v="42"/>
    <n v="0"/>
  </r>
  <r>
    <d v="2025-05-07T14:00:16"/>
    <n v="3832"/>
    <x v="103"/>
    <d v="2025-05-07T00:00:00"/>
    <d v="2026-03-30T00:00:00"/>
    <x v="7"/>
    <x v="0"/>
    <s v="510200"/>
    <x v="6"/>
    <x v="0"/>
    <s v="LT"/>
    <n v="69"/>
    <s v="5044"/>
    <s v="SAFRA 25/26"/>
    <n v="200"/>
    <n v="0"/>
    <n v="200"/>
    <n v="13800"/>
    <m/>
    <s v="SANTA CARMEM"/>
    <s v="00206558007"/>
    <n v="69"/>
    <n v="0"/>
  </r>
  <r>
    <d v="2025-05-07T14:00:16"/>
    <n v="3832"/>
    <x v="103"/>
    <d v="2025-05-07T00:00:00"/>
    <d v="2026-03-30T00:00:00"/>
    <x v="7"/>
    <x v="1"/>
    <s v="510200"/>
    <x v="11"/>
    <x v="1"/>
    <s v="LT"/>
    <n v="296"/>
    <s v="5044"/>
    <s v="SAFRA 25/26"/>
    <n v="132"/>
    <n v="0"/>
    <n v="132"/>
    <n v="39072"/>
    <m/>
    <s v="SANTA CARMEM"/>
    <s v="00206558007"/>
    <n v="296"/>
    <n v="0"/>
  </r>
  <r>
    <d v="2025-05-07T14:00:16"/>
    <n v="3832"/>
    <x v="103"/>
    <d v="2025-05-07T00:00:00"/>
    <d v="2026-03-30T00:00:00"/>
    <x v="7"/>
    <x v="1"/>
    <s v="510200"/>
    <x v="10"/>
    <x v="1"/>
    <s v="LT"/>
    <n v="287"/>
    <s v="5044"/>
    <s v="SAFRA 25/26"/>
    <n v="132"/>
    <n v="0"/>
    <n v="132"/>
    <n v="37884"/>
    <m/>
    <s v="SANTA CARMEM"/>
    <s v="00206558007"/>
    <n v="287"/>
    <n v="0"/>
  </r>
  <r>
    <d v="2025-05-07T14:00:16"/>
    <n v="3832"/>
    <x v="103"/>
    <d v="2025-05-07T00:00:00"/>
    <d v="2026-03-30T00:00:00"/>
    <x v="7"/>
    <x v="0"/>
    <s v="510200"/>
    <x v="24"/>
    <x v="2"/>
    <s v="LT"/>
    <n v="69"/>
    <s v="5044"/>
    <s v="SAFRA 25/26"/>
    <n v="400"/>
    <n v="0"/>
    <n v="400"/>
    <n v="27600"/>
    <m/>
    <s v="SANTA CARMEM"/>
    <s v="00206558007"/>
    <n v="69"/>
    <n v="0"/>
  </r>
  <r>
    <d v="2025-05-07T14:00:16"/>
    <n v="3832"/>
    <x v="103"/>
    <d v="2025-05-07T00:00:00"/>
    <d v="2026-03-30T00:00:00"/>
    <x v="7"/>
    <x v="1"/>
    <s v="510200"/>
    <x v="18"/>
    <x v="1"/>
    <s v="KG"/>
    <n v="180"/>
    <s v="5044"/>
    <s v="SAFRA 25/26"/>
    <n v="260"/>
    <n v="0"/>
    <n v="260"/>
    <n v="46800"/>
    <m/>
    <s v="SANTA CARMEM"/>
    <s v="00206558007"/>
    <n v="180"/>
    <n v="0"/>
  </r>
  <r>
    <d v="2025-05-07T14:00:16"/>
    <n v="3832"/>
    <x v="103"/>
    <d v="2025-05-07T00:00:00"/>
    <d v="2026-03-30T00:00:00"/>
    <x v="7"/>
    <x v="1"/>
    <s v="510200"/>
    <x v="13"/>
    <x v="1"/>
    <s v="LT"/>
    <n v="43"/>
    <s v="5044"/>
    <s v="SAFRA 25/26"/>
    <n v="516"/>
    <n v="0"/>
    <n v="516"/>
    <n v="22188"/>
    <m/>
    <s v="SANTA CARMEM"/>
    <s v="00206558007"/>
    <n v="43"/>
    <n v="0"/>
  </r>
  <r>
    <d v="2025-05-07T14:00:16"/>
    <n v="3832"/>
    <x v="103"/>
    <d v="2025-05-07T00:00:00"/>
    <d v="2026-03-30T00:00:00"/>
    <x v="7"/>
    <x v="0"/>
    <s v="510200"/>
    <x v="63"/>
    <x v="2"/>
    <s v="LT"/>
    <n v="69"/>
    <s v="5044"/>
    <s v="SAFRA 25/26"/>
    <n v="800"/>
    <n v="0"/>
    <n v="800"/>
    <n v="55200"/>
    <m/>
    <s v="SANTA CARMEM"/>
    <s v="00206558007"/>
    <n v="69"/>
    <n v="0"/>
  </r>
  <r>
    <d v="2025-05-07T14:00:16"/>
    <n v="3832"/>
    <x v="103"/>
    <d v="2025-05-07T00:00:00"/>
    <d v="2026-03-30T00:00:00"/>
    <x v="7"/>
    <x v="0"/>
    <s v="510200"/>
    <x v="7"/>
    <x v="0"/>
    <s v="LT"/>
    <n v="69"/>
    <s v="5044"/>
    <s v="SAFRA 25/26"/>
    <n v="100"/>
    <n v="0"/>
    <n v="100"/>
    <n v="6900"/>
    <m/>
    <s v="SANTA CARMEM"/>
    <s v="00206558007"/>
    <n v="69"/>
    <n v="0"/>
  </r>
  <r>
    <d v="2025-09-01T08:55:47"/>
    <n v="4004"/>
    <x v="103"/>
    <d v="2025-09-01T00:00:00"/>
    <d v="2026-03-30T00:00:00"/>
    <x v="7"/>
    <x v="1"/>
    <s v="510200"/>
    <x v="10"/>
    <x v="1"/>
    <s v="LT"/>
    <n v="290"/>
    <s v="5449"/>
    <s v="SAFRA 25/26"/>
    <n v="73"/>
    <n v="0"/>
    <n v="73"/>
    <n v="21170"/>
    <m/>
    <s v="SANTA CARMEM"/>
    <s v="00206558007"/>
    <n v="290"/>
    <n v="0"/>
  </r>
  <r>
    <d v="2025-09-01T08:55:47"/>
    <n v="4004"/>
    <x v="103"/>
    <d v="2025-09-01T00:00:00"/>
    <d v="2026-03-30T00:00:00"/>
    <x v="7"/>
    <x v="1"/>
    <s v="510200"/>
    <x v="11"/>
    <x v="1"/>
    <s v="LT"/>
    <n v="296"/>
    <s v="5449"/>
    <s v="SAFRA 25/26"/>
    <n v="73"/>
    <n v="0"/>
    <n v="73"/>
    <n v="21608"/>
    <m/>
    <s v="SANTA CARMEM"/>
    <s v="00206558007"/>
    <n v="296"/>
    <n v="0"/>
  </r>
  <r>
    <d v="2025-10-14T07:48:25"/>
    <n v="4157"/>
    <x v="103"/>
    <d v="2025-10-14T00:00:00"/>
    <d v="2026-03-30T00:00:00"/>
    <x v="7"/>
    <x v="0"/>
    <s v="510200"/>
    <x v="15"/>
    <x v="2"/>
    <s v="LT"/>
    <n v="140"/>
    <s v="5584"/>
    <s v="SAFRA 25/26"/>
    <n v="11"/>
    <n v="0"/>
    <n v="11"/>
    <n v="1540"/>
    <m/>
    <s v="SANTA CARMEM"/>
    <s v="00206558007"/>
    <n v="140"/>
    <n v="0"/>
  </r>
  <r>
    <d v="2025-10-14T07:48:25"/>
    <n v="4157"/>
    <x v="103"/>
    <d v="2025-10-14T00:00:00"/>
    <d v="2026-03-30T00:00:00"/>
    <x v="7"/>
    <x v="0"/>
    <s v="510200"/>
    <x v="89"/>
    <x v="2"/>
    <s v="LT"/>
    <n v="110"/>
    <s v="5584"/>
    <s v="SAFRA 25/26"/>
    <n v="20"/>
    <n v="0"/>
    <n v="20"/>
    <n v="2200"/>
    <m/>
    <s v="SANTA CARMEM"/>
    <s v="00206558007"/>
    <n v="110"/>
    <n v="0"/>
  </r>
  <r>
    <d v="2025-10-17T14:30:31"/>
    <n v="4175"/>
    <x v="103"/>
    <d v="2025-10-17T00:00:00"/>
    <d v="2026-03-30T00:00:00"/>
    <x v="7"/>
    <x v="1"/>
    <s v="510200"/>
    <x v="18"/>
    <x v="1"/>
    <s v="KG"/>
    <n v="180"/>
    <s v="5693"/>
    <s v="SAFRA 25/26"/>
    <n v="15"/>
    <n v="0"/>
    <n v="15"/>
    <n v="2700"/>
    <m/>
    <s v="SANTA CARMEM"/>
    <s v="00206558007"/>
    <n v="180"/>
    <n v="0"/>
  </r>
  <r>
    <d v="2025-11-24T13:43:50"/>
    <n v="4295"/>
    <x v="103"/>
    <d v="2025-11-24T00:00:00"/>
    <d v="2026-03-30T00:00:00"/>
    <x v="7"/>
    <x v="0"/>
    <s v="510200"/>
    <x v="31"/>
    <x v="0"/>
    <s v="LT"/>
    <n v="200"/>
    <s v="5594"/>
    <s v="SAFRA 25/26"/>
    <n v="12"/>
    <n v="0"/>
    <n v="12"/>
    <n v="2400"/>
    <m/>
    <s v="SANTA CARMEM"/>
    <s v="00206558007"/>
    <n v="200"/>
    <n v="0"/>
  </r>
  <r>
    <d v="2025-12-03T07:59:54"/>
    <n v="4316"/>
    <x v="103"/>
    <d v="2025-12-02T00:00:00"/>
    <d v="2026-08-30T00:00:00"/>
    <x v="7"/>
    <x v="0"/>
    <s v="510200"/>
    <x v="1"/>
    <x v="0"/>
    <s v="LT"/>
    <n v="160"/>
    <s v="5596"/>
    <s v="SAFRINHA 2026"/>
    <n v="820"/>
    <n v="0"/>
    <n v="820"/>
    <n v="131200"/>
    <m/>
    <s v="SANTA CARMEM"/>
    <s v="00206558007"/>
    <n v="160"/>
    <n v="0"/>
  </r>
  <r>
    <d v="2025-12-03T07:59:54"/>
    <n v="4316"/>
    <x v="103"/>
    <d v="2025-12-02T00:00:00"/>
    <d v="2026-08-30T00:00:00"/>
    <x v="7"/>
    <x v="0"/>
    <s v="510200"/>
    <x v="6"/>
    <x v="0"/>
    <s v="LT"/>
    <n v="65"/>
    <s v="5596"/>
    <s v="SAFRINHA 2026"/>
    <n v="600"/>
    <n v="0"/>
    <n v="600"/>
    <n v="39000"/>
    <m/>
    <s v="SANTA CARMEM"/>
    <s v="00206558007"/>
    <n v="65"/>
    <n v="0"/>
  </r>
  <r>
    <d v="2025-12-03T07:59:54"/>
    <n v="4316"/>
    <x v="103"/>
    <d v="2025-12-02T00:00:00"/>
    <d v="2026-08-30T00:00:00"/>
    <x v="7"/>
    <x v="0"/>
    <s v="510200"/>
    <x v="7"/>
    <x v="0"/>
    <s v="LT"/>
    <n v="65"/>
    <s v="5596"/>
    <s v="SAFRINHA 2026"/>
    <n v="400"/>
    <n v="0"/>
    <n v="400"/>
    <n v="26000"/>
    <m/>
    <s v="SANTA CARMEM"/>
    <s v="00206558007"/>
    <n v="65"/>
    <n v="0"/>
  </r>
  <r>
    <d v="2025-12-03T07:59:54"/>
    <n v="4316"/>
    <x v="103"/>
    <d v="2025-12-02T00:00:00"/>
    <d v="2026-08-30T00:00:00"/>
    <x v="7"/>
    <x v="0"/>
    <s v="510200"/>
    <x v="2"/>
    <x v="0"/>
    <s v="KG"/>
    <n v="20"/>
    <s v="5596"/>
    <s v="SAFRINHA 2026"/>
    <n v="5490"/>
    <n v="0"/>
    <n v="5490"/>
    <n v="109800"/>
    <m/>
    <s v="SANTA CARMEM"/>
    <s v="00206558007"/>
    <n v="20"/>
    <n v="0"/>
  </r>
  <r>
    <d v="2025-12-03T07:59:54"/>
    <n v="4316"/>
    <x v="103"/>
    <d v="2025-12-02T00:00:00"/>
    <d v="2026-08-30T00:00:00"/>
    <x v="7"/>
    <x v="0"/>
    <s v="510200"/>
    <x v="84"/>
    <x v="2"/>
    <s v="LT"/>
    <n v="98"/>
    <s v="5596"/>
    <s v="SAFRINHA 2026"/>
    <n v="404"/>
    <n v="0"/>
    <n v="404"/>
    <n v="39592"/>
    <m/>
    <s v="SANTA CARMEM"/>
    <s v="00206558007"/>
    <n v="98"/>
    <n v="0"/>
  </r>
  <r>
    <d v="2025-12-03T07:59:54"/>
    <n v="4316"/>
    <x v="103"/>
    <d v="2025-12-02T00:00:00"/>
    <d v="2026-08-30T00:00:00"/>
    <x v="7"/>
    <x v="1"/>
    <s v="510200"/>
    <x v="9"/>
    <x v="1"/>
    <s v="LT"/>
    <n v="52"/>
    <s v="5596"/>
    <s v="SAFRINHA 2026"/>
    <n v="213"/>
    <n v="0"/>
    <n v="213"/>
    <n v="11076"/>
    <m/>
    <s v="SANTA CARMEM"/>
    <s v="00206558007"/>
    <n v="52"/>
    <n v="0"/>
  </r>
  <r>
    <d v="2025-12-30T10:57:08"/>
    <n v="4394"/>
    <x v="103"/>
    <d v="2025-12-18T00:00:00"/>
    <d v="2026-08-30T00:00:00"/>
    <x v="7"/>
    <x v="1"/>
    <s v="510200"/>
    <x v="18"/>
    <x v="1"/>
    <s v="KG"/>
    <n v="180.5"/>
    <s v="5600"/>
    <s v="SAFRINHA 2026"/>
    <n v="258"/>
    <n v="0"/>
    <n v="258"/>
    <n v="46569"/>
    <m/>
    <s v="SANTA CARMEM"/>
    <s v="00206558007"/>
    <n v="180.5"/>
    <n v="0"/>
  </r>
  <r>
    <d v="2025-12-30T10:57:08"/>
    <n v="4394"/>
    <x v="103"/>
    <d v="2025-12-18T00:00:00"/>
    <d v="2026-08-30T00:00:00"/>
    <x v="7"/>
    <x v="0"/>
    <s v="510200"/>
    <x v="19"/>
    <x v="0"/>
    <s v="LT"/>
    <n v="880"/>
    <s v="5600"/>
    <s v="SAFRINHA 2026"/>
    <n v="25"/>
    <n v="0"/>
    <n v="25"/>
    <n v="22000"/>
    <m/>
    <s v="SANTA CARMEM"/>
    <s v="00206558007"/>
    <n v="880"/>
    <n v="0"/>
  </r>
  <r>
    <d v="2025-12-30T10:57:08"/>
    <n v="4394"/>
    <x v="103"/>
    <d v="2025-12-18T00:00:00"/>
    <d v="2026-08-30T00:00:00"/>
    <x v="7"/>
    <x v="1"/>
    <s v="510200"/>
    <x v="9"/>
    <x v="1"/>
    <s v="LT"/>
    <n v="52"/>
    <s v="5600"/>
    <s v="SAFRINHA 2026"/>
    <n v="147"/>
    <n v="0"/>
    <n v="147"/>
    <n v="7644"/>
    <m/>
    <s v="SANTA CARMEM"/>
    <s v="00206558007"/>
    <n v="52"/>
    <n v="0"/>
  </r>
  <r>
    <d v="2025-12-30T10:57:08"/>
    <n v="4394"/>
    <x v="103"/>
    <d v="2025-12-18T00:00:00"/>
    <d v="2026-08-30T00:00:00"/>
    <x v="7"/>
    <x v="1"/>
    <s v="510200"/>
    <x v="11"/>
    <x v="1"/>
    <s v="LT"/>
    <n v="310"/>
    <s v="5600"/>
    <s v="SAFRINHA 2026"/>
    <n v="73"/>
    <n v="0"/>
    <n v="73"/>
    <n v="22630"/>
    <m/>
    <s v="SANTA CARMEM"/>
    <s v="00206558007"/>
    <n v="310"/>
    <n v="0"/>
  </r>
  <r>
    <d v="2025-12-30T10:57:08"/>
    <n v="4394"/>
    <x v="103"/>
    <d v="2025-12-18T00:00:00"/>
    <d v="2026-08-30T00:00:00"/>
    <x v="7"/>
    <x v="1"/>
    <s v="510200"/>
    <x v="10"/>
    <x v="1"/>
    <s v="LT"/>
    <n v="310"/>
    <s v="5600"/>
    <s v="SAFRINHA 2026"/>
    <n v="73"/>
    <n v="0"/>
    <n v="73"/>
    <n v="22630"/>
    <m/>
    <s v="SANTA CARMEM"/>
    <s v="00206558007"/>
    <n v="310"/>
    <n v="0"/>
  </r>
  <r>
    <d v="2025-12-30T10:57:08"/>
    <n v="4394"/>
    <x v="103"/>
    <d v="2025-12-18T00:00:00"/>
    <d v="2026-08-30T00:00:00"/>
    <x v="7"/>
    <x v="1"/>
    <s v="510200"/>
    <x v="14"/>
    <x v="1"/>
    <s v="KG"/>
    <n v="370"/>
    <s v="5600"/>
    <s v="SAFRINHA 2026"/>
    <n v="73"/>
    <n v="0"/>
    <n v="73"/>
    <n v="27010"/>
    <m/>
    <s v="SANTA CARMEM"/>
    <s v="00206558007"/>
    <n v="370"/>
    <n v="0"/>
  </r>
  <r>
    <d v="2026-01-06T14:02:25"/>
    <n v="4410"/>
    <x v="103"/>
    <d v="2026-01-06T00:00:00"/>
    <d v="2026-08-30T00:00:00"/>
    <x v="7"/>
    <x v="0"/>
    <s v="510200"/>
    <x v="89"/>
    <x v="2"/>
    <s v="LT"/>
    <n v="110"/>
    <s v="5870"/>
    <s v="SAFRINHA 2026"/>
    <n v="15"/>
    <n v="0"/>
    <n v="15"/>
    <n v="1650"/>
    <m/>
    <s v="SANTA CARMEM"/>
    <s v="00206558007"/>
    <n v="110"/>
    <n v="0"/>
  </r>
  <r>
    <d v="2026-01-06T14:02:25"/>
    <n v="4410"/>
    <x v="103"/>
    <d v="2026-01-06T00:00:00"/>
    <d v="2026-08-30T00:00:00"/>
    <x v="7"/>
    <x v="0"/>
    <s v="510200"/>
    <x v="31"/>
    <x v="0"/>
    <s v="LT"/>
    <n v="200"/>
    <s v="5870"/>
    <s v="SAFRINHA 2026"/>
    <n v="24"/>
    <n v="0"/>
    <n v="24"/>
    <n v="4800"/>
    <m/>
    <s v="SANTA CARMEM"/>
    <s v="00206558007"/>
    <n v="200"/>
    <n v="0"/>
  </r>
  <r>
    <d v="2026-01-21T09:09:43"/>
    <n v="4473"/>
    <x v="103"/>
    <d v="2026-01-21T00:00:00"/>
    <d v="2026-08-30T00:00:00"/>
    <x v="7"/>
    <x v="0"/>
    <s v="510200"/>
    <x v="89"/>
    <x v="2"/>
    <s v="LT"/>
    <n v="110"/>
    <s v="6024"/>
    <s v="SAFRINHA 2026"/>
    <n v="20"/>
    <n v="0"/>
    <n v="20"/>
    <n v="2200"/>
    <m/>
    <s v="SANTA CARMEM"/>
    <s v="00206558007"/>
    <n v="110"/>
    <n v="0"/>
  </r>
  <r>
    <d v="2026-01-21T09:09:43"/>
    <n v="4473"/>
    <x v="103"/>
    <d v="2026-01-21T00:00:00"/>
    <d v="2026-08-30T00:00:00"/>
    <x v="7"/>
    <x v="0"/>
    <s v="510200"/>
    <x v="31"/>
    <x v="0"/>
    <s v="LT"/>
    <n v="200"/>
    <s v="6024"/>
    <s v="SAFRINHA 2026"/>
    <n v="12"/>
    <n v="0"/>
    <n v="12"/>
    <n v="2400"/>
    <m/>
    <s v="SANTA CARMEM"/>
    <s v="00206558007"/>
    <n v="200"/>
    <n v="0"/>
  </r>
  <r>
    <d v="2026-02-12T11:08:06"/>
    <n v="4557"/>
    <x v="103"/>
    <d v="2026-02-12T00:00:00"/>
    <d v="2026-08-30T00:00:00"/>
    <x v="7"/>
    <x v="1"/>
    <s v="510200"/>
    <x v="18"/>
    <x v="1"/>
    <s v="KG"/>
    <n v="180.5"/>
    <s v="5891"/>
    <s v="SAFRINHA 2026"/>
    <n v="20"/>
    <n v="0"/>
    <n v="20"/>
    <n v="3610"/>
    <m/>
    <s v="SANTA CARMEM"/>
    <s v="00206558007"/>
    <n v="180.5"/>
    <n v="0"/>
  </r>
  <r>
    <d v="2025-05-19T08:41:00"/>
    <n v="3848"/>
    <x v="104"/>
    <d v="2025-05-09T00:00:00"/>
    <d v="2026-04-30T00:00:00"/>
    <x v="6"/>
    <x v="0"/>
    <s v="510200"/>
    <x v="63"/>
    <x v="2"/>
    <s v="LT"/>
    <n v="68"/>
    <s v="4498"/>
    <s v="SAFRA 25/26"/>
    <n v="500"/>
    <n v="0"/>
    <n v="500"/>
    <n v="34000"/>
    <m/>
    <s v="IPIRANGA DO NORTE"/>
    <s v="05680256100"/>
    <n v="68"/>
    <n v="0"/>
  </r>
  <r>
    <d v="2025-09-01T07:58:47"/>
    <n v="278"/>
    <x v="105"/>
    <d v="2025-09-01T00:00:00"/>
    <d v="2026-04-30T00:00:00"/>
    <x v="2"/>
    <x v="2"/>
    <s v="610200"/>
    <x v="18"/>
    <x v="1"/>
    <s v="KG"/>
    <n v="230"/>
    <s v="5144"/>
    <s v="SAFRA 25/26"/>
    <n v="52"/>
    <n v="0"/>
    <n v="52"/>
    <n v="11960"/>
    <m/>
    <s v="NOVO PROGRESSO"/>
    <s v="00033827109"/>
    <n v="230"/>
    <n v="0"/>
  </r>
  <r>
    <d v="2025-12-23T14:53:50"/>
    <n v="466"/>
    <x v="105"/>
    <d v="2025-12-23T00:00:00"/>
    <d v="2026-08-30T00:00:00"/>
    <x v="2"/>
    <x v="0"/>
    <s v="610200"/>
    <x v="2"/>
    <x v="0"/>
    <s v="KG"/>
    <n v="23"/>
    <s v="170"/>
    <s v="SAFRINHA 2026"/>
    <n v="200"/>
    <n v="0"/>
    <n v="200"/>
    <n v="4600"/>
    <m/>
    <s v="NOVO PROGRESSO"/>
    <s v="00033827109"/>
    <n v="23"/>
    <n v="0"/>
  </r>
  <r>
    <d v="2025-12-23T14:53:50"/>
    <n v="466"/>
    <x v="105"/>
    <d v="2025-12-23T00:00:00"/>
    <d v="2026-08-30T00:00:00"/>
    <x v="2"/>
    <x v="2"/>
    <s v="610200"/>
    <x v="9"/>
    <x v="1"/>
    <s v="LT"/>
    <n v="60"/>
    <s v="170"/>
    <s v="SAFRINHA 2026"/>
    <n v="21"/>
    <n v="0"/>
    <n v="21"/>
    <n v="1260"/>
    <m/>
    <s v="NOVO PROGRESSO"/>
    <s v="00033827109"/>
    <n v="60"/>
    <n v="0"/>
  </r>
  <r>
    <d v="2025-12-23T14:53:50"/>
    <n v="466"/>
    <x v="105"/>
    <d v="2025-12-23T00:00:00"/>
    <d v="2026-08-30T00:00:00"/>
    <x v="2"/>
    <x v="2"/>
    <s v="610200"/>
    <x v="18"/>
    <x v="1"/>
    <s v="KG"/>
    <n v="230"/>
    <s v="170"/>
    <s v="SAFRINHA 2026"/>
    <n v="32"/>
    <n v="0"/>
    <n v="32"/>
    <n v="7360"/>
    <m/>
    <s v="NOVO PROGRESSO"/>
    <s v="00033827109"/>
    <n v="230"/>
    <n v="0"/>
  </r>
  <r>
    <d v="2025-10-06T16:02:51"/>
    <n v="4127"/>
    <x v="106"/>
    <d v="2025-10-06T00:00:00"/>
    <d v="2025-10-06T00:00:00"/>
    <x v="3"/>
    <x v="0"/>
    <s v="510200"/>
    <x v="21"/>
    <x v="2"/>
    <s v="KG"/>
    <n v="36"/>
    <s v="5642"/>
    <s v="SAFRA 25/26"/>
    <n v="105"/>
    <n v="0"/>
    <n v="105"/>
    <n v="3780"/>
    <m/>
    <s v="JUARA"/>
    <s v="93546505034"/>
    <n v="36"/>
    <n v="0"/>
  </r>
  <r>
    <d v="2025-05-26T13:41:54"/>
    <n v="225"/>
    <x v="107"/>
    <d v="2025-05-26T00:00:00"/>
    <d v="2026-04-30T00:00:00"/>
    <x v="2"/>
    <x v="0"/>
    <s v="510200"/>
    <x v="94"/>
    <x v="2"/>
    <s v="LT"/>
    <n v="184"/>
    <s v="5162"/>
    <s v="SAFRA 25/26"/>
    <n v="400"/>
    <n v="0"/>
    <n v="400"/>
    <n v="73600"/>
    <m/>
    <s v="VERA"/>
    <s v="05435338166"/>
    <n v="184"/>
    <n v="0"/>
  </r>
  <r>
    <d v="2026-01-07T07:23:48"/>
    <n v="479"/>
    <x v="107"/>
    <d v="2026-01-07T00:00:00"/>
    <d v="2026-08-30T00:00:00"/>
    <x v="2"/>
    <x v="2"/>
    <s v="510200"/>
    <x v="11"/>
    <x v="1"/>
    <s v="LT"/>
    <n v="320"/>
    <s v="175"/>
    <s v="SAFRINHA 2026"/>
    <n v="75"/>
    <n v="0"/>
    <n v="75"/>
    <n v="24000"/>
    <m/>
    <s v="VERA"/>
    <s v="05435338166"/>
    <n v="320"/>
    <n v="0"/>
  </r>
  <r>
    <d v="2026-01-07T07:23:48"/>
    <n v="479"/>
    <x v="107"/>
    <d v="2026-01-07T00:00:00"/>
    <d v="2026-08-30T00:00:00"/>
    <x v="2"/>
    <x v="2"/>
    <s v="510200"/>
    <x v="23"/>
    <x v="1"/>
    <s v="KG"/>
    <n v="346"/>
    <s v="175"/>
    <s v="SAFRINHA 2026"/>
    <n v="60"/>
    <n v="0"/>
    <n v="60"/>
    <n v="20760"/>
    <m/>
    <s v="VERA"/>
    <s v="05435338166"/>
    <n v="346"/>
    <n v="0"/>
  </r>
  <r>
    <d v="2026-01-07T07:23:48"/>
    <n v="479"/>
    <x v="107"/>
    <d v="2026-01-07T00:00:00"/>
    <d v="2026-08-30T00:00:00"/>
    <x v="2"/>
    <x v="0"/>
    <s v="510200"/>
    <x v="50"/>
    <x v="2"/>
    <s v="LT"/>
    <n v="410"/>
    <s v="175"/>
    <s v="SAFRINHA 2026"/>
    <n v="35"/>
    <n v="0"/>
    <n v="35"/>
    <n v="14350"/>
    <m/>
    <s v="VERA"/>
    <s v="05435338166"/>
    <n v="410"/>
    <n v="0"/>
  </r>
  <r>
    <d v="2026-01-07T07:23:48"/>
    <n v="479"/>
    <x v="107"/>
    <d v="2026-01-07T00:00:00"/>
    <d v="2026-08-30T00:00:00"/>
    <x v="2"/>
    <x v="2"/>
    <s v="510200"/>
    <x v="10"/>
    <x v="1"/>
    <s v="LT"/>
    <n v="320"/>
    <s v="175"/>
    <s v="SAFRINHA 2026"/>
    <n v="75"/>
    <n v="0"/>
    <n v="75"/>
    <n v="24000"/>
    <m/>
    <s v="VERA"/>
    <s v="05435338166"/>
    <n v="320"/>
    <n v="0"/>
  </r>
  <r>
    <d v="2026-01-10T11:46:21"/>
    <n v="492"/>
    <x v="107"/>
    <d v="2026-01-10T00:00:00"/>
    <d v="2026-08-30T00:00:00"/>
    <x v="2"/>
    <x v="2"/>
    <s v="510200"/>
    <x v="23"/>
    <x v="1"/>
    <s v="KG"/>
    <n v="346"/>
    <s v="475"/>
    <s v="SAFRINHA 2026"/>
    <n v="33"/>
    <n v="0"/>
    <n v="33"/>
    <n v="11418"/>
    <m/>
    <s v="VERA"/>
    <s v="05435338166"/>
    <n v="346"/>
    <n v="0"/>
  </r>
  <r>
    <d v="2026-01-15T08:45:06"/>
    <n v="501"/>
    <x v="107"/>
    <d v="2026-01-15T00:00:00"/>
    <d v="2026-08-30T00:00:00"/>
    <x v="2"/>
    <x v="2"/>
    <s v="510200"/>
    <x v="11"/>
    <x v="1"/>
    <s v="LT"/>
    <n v="320"/>
    <s v="137"/>
    <s v="SAFRINHA 2026"/>
    <n v="6"/>
    <n v="0"/>
    <n v="6"/>
    <n v="1920"/>
    <m/>
    <s v="VERA"/>
    <s v="05435338166"/>
    <n v="320"/>
    <n v="0"/>
  </r>
  <r>
    <d v="2026-01-15T08:45:06"/>
    <n v="501"/>
    <x v="107"/>
    <d v="2026-01-15T00:00:00"/>
    <d v="2026-08-30T00:00:00"/>
    <x v="2"/>
    <x v="2"/>
    <s v="510200"/>
    <x v="10"/>
    <x v="1"/>
    <s v="LT"/>
    <n v="320"/>
    <s v="137"/>
    <s v="SAFRINHA 2026"/>
    <n v="6"/>
    <n v="0"/>
    <n v="6"/>
    <n v="1920"/>
    <m/>
    <s v="VERA"/>
    <s v="05435338166"/>
    <n v="320"/>
    <n v="0"/>
  </r>
  <r>
    <d v="2026-01-15T08:45:06"/>
    <n v="501"/>
    <x v="107"/>
    <d v="2026-01-15T00:00:00"/>
    <d v="2026-08-30T00:00:00"/>
    <x v="2"/>
    <x v="2"/>
    <s v="510200"/>
    <x v="9"/>
    <x v="1"/>
    <s v="LT"/>
    <n v="50"/>
    <s v="137"/>
    <s v="SAFRINHA 2026"/>
    <n v="243"/>
    <n v="0"/>
    <n v="243"/>
    <n v="12150"/>
    <m/>
    <s v="VERA"/>
    <s v="05435338166"/>
    <n v="50"/>
    <n v="0"/>
  </r>
  <r>
    <d v="2025-09-05T14:02:32"/>
    <n v="284"/>
    <x v="108"/>
    <d v="2025-09-05T00:00:00"/>
    <d v="2026-04-30T00:00:00"/>
    <x v="13"/>
    <x v="2"/>
    <s v="510200"/>
    <x v="14"/>
    <x v="1"/>
    <s v="KG"/>
    <n v="390"/>
    <s v="41"/>
    <s v="SAFRA 25/26"/>
    <n v="100"/>
    <n v="0"/>
    <n v="100"/>
    <n v="39000"/>
    <m/>
    <s v="MARCELANDIA"/>
    <s v="03427195139"/>
    <n v="390"/>
    <n v="0"/>
  </r>
  <r>
    <d v="2025-10-16T14:35:07"/>
    <n v="356"/>
    <x v="108"/>
    <d v="2025-10-16T00:00:00"/>
    <d v="2026-04-30T00:00:00"/>
    <x v="13"/>
    <x v="0"/>
    <s v="510200"/>
    <x v="16"/>
    <x v="2"/>
    <s v="KG"/>
    <n v="80"/>
    <s v="0242"/>
    <s v="SAFRA 25/26"/>
    <n v="8"/>
    <n v="0"/>
    <n v="8"/>
    <n v="640"/>
    <m/>
    <s v="MARCELANDIA"/>
    <s v="03427195139"/>
    <n v="80"/>
    <n v="0"/>
  </r>
  <r>
    <d v="2025-10-16T14:35:07"/>
    <n v="356"/>
    <x v="108"/>
    <d v="2025-10-16T00:00:00"/>
    <d v="2026-04-30T00:00:00"/>
    <x v="13"/>
    <x v="0"/>
    <s v="510200"/>
    <x v="89"/>
    <x v="2"/>
    <s v="LT"/>
    <n v="1680"/>
    <s v="0242"/>
    <s v="SAFRA 25/26"/>
    <n v="10"/>
    <n v="0"/>
    <n v="10"/>
    <n v="16800"/>
    <m/>
    <s v="MARCELANDIA"/>
    <s v="03427195139"/>
    <n v="1680"/>
    <n v="0"/>
  </r>
  <r>
    <d v="2025-10-27T09:53:00"/>
    <n v="386"/>
    <x v="108"/>
    <d v="2025-10-27T00:00:00"/>
    <d v="2026-08-30T00:00:00"/>
    <x v="13"/>
    <x v="0"/>
    <s v="510200"/>
    <x v="19"/>
    <x v="0"/>
    <s v="LT"/>
    <n v="1000"/>
    <s v="404"/>
    <s v="SAFRINHA 2026"/>
    <n v="5"/>
    <n v="0"/>
    <n v="5"/>
    <n v="5000"/>
    <m/>
    <s v="MARCELANDIA"/>
    <s v="03427195139"/>
    <n v="1000"/>
    <n v="0"/>
  </r>
  <r>
    <d v="2025-10-27T09:53:00"/>
    <n v="386"/>
    <x v="108"/>
    <d v="2025-10-27T00:00:00"/>
    <d v="2026-08-30T00:00:00"/>
    <x v="13"/>
    <x v="2"/>
    <s v="510200"/>
    <x v="9"/>
    <x v="1"/>
    <s v="LT"/>
    <n v="53"/>
    <s v="404"/>
    <s v="SAFRINHA 2026"/>
    <n v="180"/>
    <n v="0"/>
    <n v="180"/>
    <n v="9540"/>
    <m/>
    <s v="MARCELANDIA"/>
    <s v="03427195139"/>
    <n v="53"/>
    <n v="0"/>
  </r>
  <r>
    <d v="2025-10-27T09:53:00"/>
    <n v="386"/>
    <x v="108"/>
    <d v="2025-10-27T00:00:00"/>
    <d v="2026-08-30T00:00:00"/>
    <x v="13"/>
    <x v="2"/>
    <s v="510200"/>
    <x v="18"/>
    <x v="1"/>
    <s v="KG"/>
    <n v="195"/>
    <s v="404"/>
    <s v="SAFRINHA 2026"/>
    <n v="140"/>
    <n v="0"/>
    <n v="140"/>
    <n v="27300"/>
    <m/>
    <s v="MARCELANDIA"/>
    <s v="03427195139"/>
    <n v="195"/>
    <n v="0"/>
  </r>
  <r>
    <d v="2025-10-27T09:53:00"/>
    <n v="386"/>
    <x v="108"/>
    <d v="2025-10-27T00:00:00"/>
    <d v="2026-08-30T00:00:00"/>
    <x v="13"/>
    <x v="2"/>
    <s v="510200"/>
    <x v="11"/>
    <x v="1"/>
    <s v="LT"/>
    <n v="345"/>
    <s v="404"/>
    <s v="SAFRINHA 2026"/>
    <n v="70"/>
    <n v="0"/>
    <n v="70"/>
    <n v="24150"/>
    <m/>
    <s v="MARCELANDIA"/>
    <s v="03427195139"/>
    <n v="345"/>
    <n v="0"/>
  </r>
  <r>
    <d v="2025-10-27T09:53:00"/>
    <n v="386"/>
    <x v="108"/>
    <d v="2025-10-27T00:00:00"/>
    <d v="2026-08-30T00:00:00"/>
    <x v="13"/>
    <x v="2"/>
    <s v="510200"/>
    <x v="10"/>
    <x v="1"/>
    <s v="LT"/>
    <n v="345"/>
    <s v="404"/>
    <s v="SAFRINHA 2026"/>
    <n v="35"/>
    <n v="0"/>
    <n v="35"/>
    <n v="12075"/>
    <m/>
    <s v="MARCELANDIA"/>
    <s v="03427195139"/>
    <n v="345"/>
    <n v="0"/>
  </r>
  <r>
    <d v="2025-10-27T09:53:00"/>
    <n v="386"/>
    <x v="108"/>
    <d v="2025-10-27T00:00:00"/>
    <d v="2026-08-30T00:00:00"/>
    <x v="13"/>
    <x v="0"/>
    <s v="510200"/>
    <x v="12"/>
    <x v="0"/>
    <s v="LT"/>
    <n v="235"/>
    <s v="404"/>
    <s v="SAFRINHA 2026"/>
    <n v="20"/>
    <n v="0"/>
    <n v="20"/>
    <n v="4700"/>
    <m/>
    <s v="MARCELANDIA"/>
    <s v="03427195139"/>
    <n v="235"/>
    <n v="0"/>
  </r>
  <r>
    <d v="2026-01-26T15:32:23"/>
    <n v="515"/>
    <x v="108"/>
    <d v="2026-01-26T00:00:00"/>
    <d v="2026-08-30T00:00:00"/>
    <x v="13"/>
    <x v="2"/>
    <s v="510200"/>
    <x v="11"/>
    <x v="1"/>
    <s v="LT"/>
    <n v="345"/>
    <s v="5236"/>
    <s v="SAFRINHA 2026"/>
    <n v="12"/>
    <n v="0"/>
    <n v="12"/>
    <n v="4140"/>
    <m/>
    <s v="MARCELANDIA"/>
    <s v="03427195139"/>
    <n v="345"/>
    <n v="0"/>
  </r>
  <r>
    <d v="2026-01-26T15:32:23"/>
    <n v="515"/>
    <x v="108"/>
    <d v="2026-01-26T00:00:00"/>
    <d v="2026-08-30T00:00:00"/>
    <x v="13"/>
    <x v="2"/>
    <s v="510200"/>
    <x v="10"/>
    <x v="1"/>
    <s v="LT"/>
    <n v="345"/>
    <s v="5236"/>
    <s v="SAFRINHA 2026"/>
    <n v="12"/>
    <n v="0"/>
    <n v="12"/>
    <n v="4140"/>
    <m/>
    <s v="MARCELANDIA"/>
    <s v="03427195139"/>
    <n v="345"/>
    <n v="0"/>
  </r>
  <r>
    <d v="2026-02-02T18:36:08"/>
    <n v="524"/>
    <x v="108"/>
    <d v="2026-02-02T00:00:00"/>
    <d v="2026-08-30T00:00:00"/>
    <x v="13"/>
    <x v="2"/>
    <s v="510200"/>
    <x v="11"/>
    <x v="1"/>
    <s v="LT"/>
    <n v="345"/>
    <s v="378"/>
    <s v="SAFRINHA 2026"/>
    <n v="12"/>
    <n v="0"/>
    <n v="12"/>
    <n v="4140"/>
    <m/>
    <s v="MARCELANDIA"/>
    <s v="03427195139"/>
    <n v="345"/>
    <n v="0"/>
  </r>
  <r>
    <d v="2026-02-02T18:36:08"/>
    <n v="524"/>
    <x v="108"/>
    <d v="2026-02-02T00:00:00"/>
    <d v="2026-08-30T00:00:00"/>
    <x v="13"/>
    <x v="2"/>
    <s v="510200"/>
    <x v="10"/>
    <x v="1"/>
    <s v="LT"/>
    <n v="345"/>
    <s v="378"/>
    <s v="SAFRINHA 2026"/>
    <n v="12"/>
    <n v="0"/>
    <n v="12"/>
    <n v="4140"/>
    <m/>
    <s v="MARCELANDIA"/>
    <s v="03427195139"/>
    <n v="345"/>
    <n v="0"/>
  </r>
  <r>
    <d v="2025-08-25T14:09:59"/>
    <n v="3999"/>
    <x v="109"/>
    <d v="2025-08-25T00:00:00"/>
    <d v="2026-03-30T00:00:00"/>
    <x v="7"/>
    <x v="1"/>
    <s v="510200"/>
    <x v="11"/>
    <x v="1"/>
    <s v="LT"/>
    <n v="350"/>
    <s v="5446"/>
    <s v="SAFRA 25/26"/>
    <n v="8"/>
    <n v="0"/>
    <n v="8"/>
    <n v="2800"/>
    <m/>
    <s v="SORRISO"/>
    <s v="57226210991"/>
    <n v="350"/>
    <n v="0"/>
  </r>
  <r>
    <d v="2025-08-25T14:09:59"/>
    <n v="3999"/>
    <x v="109"/>
    <d v="2025-08-25T00:00:00"/>
    <d v="2026-03-30T00:00:00"/>
    <x v="7"/>
    <x v="1"/>
    <s v="510200"/>
    <x v="10"/>
    <x v="1"/>
    <s v="LT"/>
    <n v="350"/>
    <s v="5446"/>
    <s v="SAFRA 25/26"/>
    <n v="8"/>
    <n v="0"/>
    <n v="8"/>
    <n v="2800"/>
    <m/>
    <s v="SORRISO"/>
    <s v="57226210991"/>
    <n v="350"/>
    <n v="0"/>
  </r>
  <r>
    <d v="2025-08-25T14:09:59"/>
    <n v="3999"/>
    <x v="109"/>
    <d v="2025-08-25T00:00:00"/>
    <d v="2026-03-30T00:00:00"/>
    <x v="7"/>
    <x v="1"/>
    <s v="510200"/>
    <x v="9"/>
    <x v="1"/>
    <s v="LT"/>
    <n v="48"/>
    <s v="5446"/>
    <s v="SAFRA 25/26"/>
    <n v="6"/>
    <n v="0"/>
    <n v="6"/>
    <n v="288"/>
    <m/>
    <s v="SORRISO"/>
    <s v="57226210991"/>
    <n v="48"/>
    <n v="0"/>
  </r>
  <r>
    <d v="2025-08-25T14:09:59"/>
    <n v="3999"/>
    <x v="109"/>
    <d v="2025-08-25T00:00:00"/>
    <d v="2026-03-30T00:00:00"/>
    <x v="7"/>
    <x v="1"/>
    <s v="510200"/>
    <x v="13"/>
    <x v="1"/>
    <s v="LT"/>
    <n v="50"/>
    <s v="5446"/>
    <s v="SAFRA 25/26"/>
    <n v="9"/>
    <n v="0"/>
    <n v="9"/>
    <n v="450"/>
    <m/>
    <s v="SORRISO"/>
    <s v="57226210991"/>
    <n v="50"/>
    <n v="0"/>
  </r>
  <r>
    <d v="2025-08-25T14:09:59"/>
    <n v="3999"/>
    <x v="109"/>
    <d v="2025-08-25T00:00:00"/>
    <d v="2026-03-30T00:00:00"/>
    <x v="7"/>
    <x v="1"/>
    <s v="510200"/>
    <x v="18"/>
    <x v="1"/>
    <s v="KG"/>
    <n v="200"/>
    <s v="5446"/>
    <s v="SAFRA 25/26"/>
    <n v="15"/>
    <n v="0"/>
    <n v="15"/>
    <n v="3000"/>
    <m/>
    <s v="SORRISO"/>
    <s v="57226210991"/>
    <n v="200"/>
    <n v="0"/>
  </r>
  <r>
    <d v="2025-09-29T07:36:14"/>
    <n v="4100"/>
    <x v="109"/>
    <d v="2025-09-26T00:00:00"/>
    <d v="2026-03-30T00:00:00"/>
    <x v="7"/>
    <x v="1"/>
    <s v="510200"/>
    <x v="13"/>
    <x v="1"/>
    <s v="LT"/>
    <n v="50"/>
    <s v="5634"/>
    <s v="SAFRA 25/26"/>
    <n v="3"/>
    <n v="0"/>
    <n v="3"/>
    <n v="150"/>
    <m/>
    <s v="SORRISO"/>
    <s v="57226210991"/>
    <n v="50"/>
    <n v="0"/>
  </r>
  <r>
    <d v="2025-09-29T07:36:14"/>
    <n v="4100"/>
    <x v="109"/>
    <d v="2025-09-26T00:00:00"/>
    <d v="2026-03-30T00:00:00"/>
    <x v="7"/>
    <x v="1"/>
    <s v="510200"/>
    <x v="18"/>
    <x v="1"/>
    <s v="KG"/>
    <n v="200"/>
    <s v="5634"/>
    <s v="SAFRA 25/26"/>
    <n v="3"/>
    <n v="0"/>
    <n v="3"/>
    <n v="600"/>
    <m/>
    <s v="SORRISO"/>
    <s v="57226210991"/>
    <n v="200"/>
    <n v="0"/>
  </r>
  <r>
    <d v="2025-09-29T07:36:14"/>
    <n v="4100"/>
    <x v="109"/>
    <d v="2025-09-26T00:00:00"/>
    <d v="2026-03-30T00:00:00"/>
    <x v="7"/>
    <x v="1"/>
    <s v="510200"/>
    <x v="11"/>
    <x v="1"/>
    <s v="LT"/>
    <n v="350"/>
    <s v="5634"/>
    <s v="SAFRA 25/26"/>
    <n v="1"/>
    <n v="0"/>
    <n v="1"/>
    <n v="350"/>
    <m/>
    <s v="SORRISO"/>
    <s v="57226210991"/>
    <n v="350"/>
    <n v="0"/>
  </r>
  <r>
    <d v="2025-10-10T15:04:05"/>
    <n v="339"/>
    <x v="110"/>
    <d v="2025-10-10T00:00:00"/>
    <d v="2026-03-30T00:00:00"/>
    <x v="2"/>
    <x v="2"/>
    <s v="510200"/>
    <x v="18"/>
    <x v="1"/>
    <s v="KG"/>
    <n v="175"/>
    <s v="82"/>
    <s v="SAFRA 25/26"/>
    <n v="35"/>
    <n v="0"/>
    <n v="35"/>
    <n v="6125"/>
    <m/>
    <s v="SANTA CARMEM"/>
    <s v="01562472917"/>
    <n v="175"/>
    <n v="0"/>
  </r>
  <r>
    <d v="2026-01-23T11:55:09"/>
    <n v="4484"/>
    <x v="111"/>
    <d v="2026-01-23T00:00:00"/>
    <d v="2026-02-23T00:00:00"/>
    <x v="3"/>
    <x v="0"/>
    <s v="510200"/>
    <x v="95"/>
    <x v="2"/>
    <s v="LT"/>
    <n v="70"/>
    <s v="6029"/>
    <s v="SAFRINHA 2026"/>
    <n v="10"/>
    <n v="0"/>
    <n v="10"/>
    <n v="700"/>
    <m/>
    <m/>
    <s v="04365017001680"/>
    <n v="70"/>
    <n v="0"/>
  </r>
  <r>
    <d v="2026-01-27T15:30:20"/>
    <n v="4497"/>
    <x v="111"/>
    <d v="2026-01-27T00:00:00"/>
    <d v="2026-02-28T00:00:00"/>
    <x v="3"/>
    <x v="1"/>
    <s v="510200"/>
    <x v="11"/>
    <x v="1"/>
    <s v="LT"/>
    <n v="400"/>
    <s v="6036"/>
    <s v="SAFRINHA 2026"/>
    <n v="2"/>
    <n v="0"/>
    <n v="2"/>
    <n v="800"/>
    <m/>
    <m/>
    <s v="04365017001680"/>
    <n v="400"/>
    <n v="0"/>
  </r>
  <r>
    <d v="2026-01-27T15:30:20"/>
    <n v="4497"/>
    <x v="111"/>
    <d v="2026-01-27T00:00:00"/>
    <d v="2026-02-28T00:00:00"/>
    <x v="3"/>
    <x v="1"/>
    <s v="510200"/>
    <x v="10"/>
    <x v="1"/>
    <s v="LT"/>
    <n v="400"/>
    <s v="6036"/>
    <s v="SAFRINHA 2026"/>
    <n v="2"/>
    <n v="0"/>
    <n v="2"/>
    <n v="800"/>
    <m/>
    <m/>
    <s v="04365017001680"/>
    <n v="400"/>
    <n v="0"/>
  </r>
  <r>
    <d v="2026-02-13T09:51:46"/>
    <n v="4559"/>
    <x v="111"/>
    <d v="2026-02-13T00:00:00"/>
    <d v="2026-03-13T00:00:00"/>
    <x v="3"/>
    <x v="0"/>
    <s v="510200"/>
    <x v="95"/>
    <x v="2"/>
    <s v="LT"/>
    <n v="70"/>
    <s v="6078"/>
    <s v="SAFRINHA 2026"/>
    <n v="15"/>
    <n v="0"/>
    <n v="15"/>
    <n v="1050"/>
    <m/>
    <m/>
    <s v="04365017001680"/>
    <n v="70"/>
    <n v="0"/>
  </r>
  <r>
    <d v="2025-11-24T11:09:27"/>
    <n v="421"/>
    <x v="112"/>
    <d v="2025-11-24T00:00:00"/>
    <d v="2025-11-25T00:00:00"/>
    <x v="10"/>
    <x v="0"/>
    <s v="510200"/>
    <x v="21"/>
    <x v="2"/>
    <s v="KG"/>
    <n v="46"/>
    <s v="426"/>
    <s v="SAFRA 25/26"/>
    <n v="150"/>
    <n v="0"/>
    <n v="150"/>
    <n v="6900"/>
    <m/>
    <s v="JUARA"/>
    <s v="05390457137"/>
    <n v="46"/>
    <n v="0"/>
  </r>
  <r>
    <d v="2026-01-06T14:11:09"/>
    <n v="477"/>
    <x v="112"/>
    <d v="2026-01-06T00:00:00"/>
    <d v="2026-01-07T00:00:00"/>
    <x v="10"/>
    <x v="0"/>
    <s v="510200"/>
    <x v="21"/>
    <x v="2"/>
    <s v="KG"/>
    <n v="46"/>
    <s v="472"/>
    <s v="SAFRINHA 2026"/>
    <n v="150"/>
    <n v="0"/>
    <n v="150"/>
    <n v="6900"/>
    <m/>
    <s v="JUARA"/>
    <s v="05390457137"/>
    <n v="46"/>
    <n v="0"/>
  </r>
  <r>
    <d v="2025-10-02T09:30:26"/>
    <n v="4117"/>
    <x v="113"/>
    <d v="2025-10-01T00:00:00"/>
    <d v="2026-03-30T00:00:00"/>
    <x v="8"/>
    <x v="1"/>
    <s v="510200"/>
    <x v="14"/>
    <x v="1"/>
    <s v="KG"/>
    <n v="360"/>
    <s v="5651"/>
    <s v="SAFRA 25/26"/>
    <n v="180"/>
    <n v="0"/>
    <n v="180"/>
    <n v="64800"/>
    <m/>
    <s v="SORRISO"/>
    <s v="22481826949"/>
    <n v="360"/>
    <n v="0"/>
  </r>
  <r>
    <d v="2025-10-02T09:30:26"/>
    <n v="4117"/>
    <x v="113"/>
    <d v="2025-10-01T00:00:00"/>
    <d v="2026-03-30T00:00:00"/>
    <x v="8"/>
    <x v="1"/>
    <s v="510200"/>
    <x v="9"/>
    <x v="1"/>
    <s v="LT"/>
    <n v="38"/>
    <s v="5651"/>
    <s v="SAFRA 25/26"/>
    <n v="180"/>
    <n v="0"/>
    <n v="180"/>
    <n v="6840"/>
    <m/>
    <s v="SORRISO"/>
    <s v="22481826949"/>
    <n v="38"/>
    <n v="0"/>
  </r>
  <r>
    <d v="2025-10-02T09:30:26"/>
    <n v="4117"/>
    <x v="113"/>
    <d v="2025-10-01T00:00:00"/>
    <d v="2026-03-30T00:00:00"/>
    <x v="8"/>
    <x v="1"/>
    <s v="510200"/>
    <x v="11"/>
    <x v="1"/>
    <s v="LT"/>
    <n v="260"/>
    <s v="5651"/>
    <s v="SAFRA 25/26"/>
    <n v="90"/>
    <n v="0"/>
    <n v="90"/>
    <n v="23400"/>
    <m/>
    <s v="SORRISO"/>
    <s v="22481826949"/>
    <n v="260"/>
    <n v="0"/>
  </r>
  <r>
    <d v="2025-10-02T09:30:26"/>
    <n v="4117"/>
    <x v="113"/>
    <d v="2025-10-01T00:00:00"/>
    <d v="2026-03-30T00:00:00"/>
    <x v="8"/>
    <x v="1"/>
    <s v="510200"/>
    <x v="10"/>
    <x v="1"/>
    <s v="LT"/>
    <n v="260"/>
    <s v="5651"/>
    <s v="SAFRA 25/26"/>
    <n v="90"/>
    <n v="0"/>
    <n v="90"/>
    <n v="23400"/>
    <m/>
    <s v="SORRISO"/>
    <s v="22481826949"/>
    <n v="260"/>
    <n v="0"/>
  </r>
  <r>
    <d v="2025-10-02T09:34:45"/>
    <n v="4119"/>
    <x v="113"/>
    <d v="2025-10-01T00:00:00"/>
    <d v="2026-03-30T00:00:00"/>
    <x v="8"/>
    <x v="1"/>
    <s v="510200"/>
    <x v="10"/>
    <x v="1"/>
    <s v="LT"/>
    <n v="260"/>
    <s v="5653"/>
    <s v="SAFRA 25/26"/>
    <n v="90"/>
    <n v="0"/>
    <n v="90"/>
    <n v="23400"/>
    <m/>
    <s v="TAPURAH"/>
    <s v="22481826949"/>
    <n v="260"/>
    <n v="0"/>
  </r>
  <r>
    <d v="2025-10-02T09:34:45"/>
    <n v="4119"/>
    <x v="113"/>
    <d v="2025-10-01T00:00:00"/>
    <d v="2026-03-30T00:00:00"/>
    <x v="8"/>
    <x v="1"/>
    <s v="510200"/>
    <x v="11"/>
    <x v="1"/>
    <s v="LT"/>
    <n v="260"/>
    <s v="5653"/>
    <s v="SAFRA 25/26"/>
    <n v="90"/>
    <n v="0"/>
    <n v="90"/>
    <n v="23400"/>
    <m/>
    <s v="TAPURAH"/>
    <s v="22481826949"/>
    <n v="260"/>
    <n v="0"/>
  </r>
  <r>
    <d v="2025-10-02T09:34:45"/>
    <n v="4119"/>
    <x v="113"/>
    <d v="2025-10-01T00:00:00"/>
    <d v="2026-03-30T00:00:00"/>
    <x v="8"/>
    <x v="1"/>
    <s v="510200"/>
    <x v="18"/>
    <x v="1"/>
    <s v="KG"/>
    <n v="180"/>
    <s v="5653"/>
    <s v="SAFRA 25/26"/>
    <n v="270"/>
    <n v="0"/>
    <n v="270"/>
    <n v="48600"/>
    <m/>
    <s v="TAPURAH"/>
    <s v="22481826949"/>
    <n v="180"/>
    <n v="0"/>
  </r>
  <r>
    <d v="2025-10-02T09:34:45"/>
    <n v="4119"/>
    <x v="113"/>
    <d v="2025-10-01T00:00:00"/>
    <d v="2026-03-30T00:00:00"/>
    <x v="8"/>
    <x v="1"/>
    <s v="510200"/>
    <x v="9"/>
    <x v="1"/>
    <s v="LT"/>
    <n v="38"/>
    <s v="5653"/>
    <s v="SAFRA 25/26"/>
    <n v="93"/>
    <n v="0"/>
    <n v="93"/>
    <n v="3534"/>
    <m/>
    <s v="TAPURAH"/>
    <s v="22481826949"/>
    <n v="38"/>
    <n v="0"/>
  </r>
  <r>
    <d v="2026-01-20T09:11:07"/>
    <n v="4465"/>
    <x v="114"/>
    <d v="2026-01-20T00:00:00"/>
    <d v="2026-02-02T00:00:00"/>
    <x v="5"/>
    <x v="0"/>
    <s v="510200"/>
    <x v="21"/>
    <x v="2"/>
    <s v="KG"/>
    <n v="45"/>
    <s v="6022"/>
    <s v="SAFRINHA 2026"/>
    <n v="15"/>
    <n v="0"/>
    <n v="15"/>
    <n v="675"/>
    <m/>
    <s v="SORRISO"/>
    <s v="41129806120"/>
    <n v="45"/>
    <n v="0"/>
  </r>
  <r>
    <d v="2025-06-02T07:54:47"/>
    <n v="3870"/>
    <x v="115"/>
    <d v="2025-05-02T00:00:00"/>
    <d v="2026-04-30T00:00:00"/>
    <x v="5"/>
    <x v="0"/>
    <s v="510200"/>
    <x v="26"/>
    <x v="2"/>
    <s v="TON"/>
    <n v="1900"/>
    <s v="5117"/>
    <s v="SAFRA 25/26"/>
    <n v="10"/>
    <n v="0"/>
    <n v="10"/>
    <n v="19000"/>
    <m/>
    <s v="NOVA UBIRATA"/>
    <s v="58109714900"/>
    <n v="1900"/>
    <n v="0"/>
  </r>
  <r>
    <d v="2025-08-01T14:16:17"/>
    <n v="3955"/>
    <x v="115"/>
    <d v="2025-08-01T00:00:00"/>
    <d v="2026-04-30T00:00:00"/>
    <x v="5"/>
    <x v="0"/>
    <s v="510200"/>
    <x v="26"/>
    <x v="2"/>
    <s v="TON"/>
    <n v="1900"/>
    <s v="5505"/>
    <s v="SAFRA 25/26"/>
    <n v="3"/>
    <n v="0"/>
    <n v="3"/>
    <n v="5700"/>
    <m/>
    <s v="NOVA UBIRATA"/>
    <s v="58109714900"/>
    <n v="1900"/>
    <n v="0"/>
  </r>
  <r>
    <d v="2025-12-12T07:50:08"/>
    <n v="4347"/>
    <x v="115"/>
    <d v="2025-12-12T00:00:00"/>
    <d v="2026-09-30T00:00:00"/>
    <x v="5"/>
    <x v="0"/>
    <s v="510200"/>
    <x v="12"/>
    <x v="0"/>
    <s v="LT"/>
    <n v="240"/>
    <s v="5786"/>
    <s v="SAFRINHA 2026"/>
    <n v="5"/>
    <n v="0"/>
    <n v="5"/>
    <n v="1200"/>
    <m/>
    <s v="NOVA UBIRATA"/>
    <s v="58109714900"/>
    <n v="240"/>
    <n v="0"/>
  </r>
  <r>
    <d v="2025-12-12T07:50:08"/>
    <n v="4347"/>
    <x v="115"/>
    <d v="2025-12-12T00:00:00"/>
    <d v="2026-09-30T00:00:00"/>
    <x v="5"/>
    <x v="1"/>
    <s v="510200"/>
    <x v="10"/>
    <x v="1"/>
    <s v="LT"/>
    <n v="342"/>
    <s v="5786"/>
    <s v="SAFRINHA 2026"/>
    <n v="4"/>
    <n v="0"/>
    <n v="4"/>
    <n v="1368"/>
    <m/>
    <s v="NOVA UBIRATA"/>
    <s v="58109714900"/>
    <n v="342"/>
    <n v="0"/>
  </r>
  <r>
    <d v="2025-12-12T07:50:08"/>
    <n v="4347"/>
    <x v="115"/>
    <d v="2025-12-12T00:00:00"/>
    <d v="2026-09-30T00:00:00"/>
    <x v="5"/>
    <x v="1"/>
    <s v="510200"/>
    <x v="9"/>
    <x v="1"/>
    <s v="LT"/>
    <n v="48"/>
    <s v="5786"/>
    <s v="SAFRINHA 2026"/>
    <n v="18"/>
    <n v="0"/>
    <n v="18"/>
    <n v="864"/>
    <m/>
    <s v="NOVA UBIRATA"/>
    <s v="58109714900"/>
    <n v="48"/>
    <n v="0"/>
  </r>
  <r>
    <d v="2025-12-12T07:50:08"/>
    <n v="4347"/>
    <x v="115"/>
    <d v="2025-12-12T00:00:00"/>
    <d v="2026-09-30T00:00:00"/>
    <x v="5"/>
    <x v="0"/>
    <s v="510200"/>
    <x v="31"/>
    <x v="0"/>
    <s v="LT"/>
    <n v="215"/>
    <s v="5786"/>
    <s v="SAFRINHA 2026"/>
    <n v="1"/>
    <n v="0"/>
    <n v="1"/>
    <n v="215"/>
    <m/>
    <s v="NOVA UBIRATA"/>
    <s v="58109714900"/>
    <n v="215"/>
    <n v="0"/>
  </r>
  <r>
    <d v="2025-12-12T07:50:08"/>
    <n v="4347"/>
    <x v="115"/>
    <d v="2025-12-12T00:00:00"/>
    <d v="2026-09-30T00:00:00"/>
    <x v="5"/>
    <x v="1"/>
    <s v="510200"/>
    <x v="14"/>
    <x v="1"/>
    <s v="KG"/>
    <n v="400"/>
    <s v="5786"/>
    <s v="SAFRINHA 2026"/>
    <n v="5"/>
    <n v="0"/>
    <n v="5"/>
    <n v="2000"/>
    <m/>
    <s v="NOVA UBIRATA"/>
    <s v="58109714900"/>
    <n v="400"/>
    <n v="0"/>
  </r>
  <r>
    <d v="2025-12-12T07:50:08"/>
    <n v="4347"/>
    <x v="115"/>
    <d v="2025-12-12T00:00:00"/>
    <d v="2026-09-30T00:00:00"/>
    <x v="5"/>
    <x v="0"/>
    <s v="510200"/>
    <x v="96"/>
    <x v="2"/>
    <s v="SC"/>
    <n v="790"/>
    <s v="5786"/>
    <s v="SAFRINHA 2026"/>
    <n v="5"/>
    <n v="0"/>
    <n v="5"/>
    <n v="3950"/>
    <m/>
    <s v="NOVA UBIRATA"/>
    <s v="58109714900"/>
    <n v="790"/>
    <n v="0"/>
  </r>
  <r>
    <d v="2025-12-12T07:50:08"/>
    <n v="4347"/>
    <x v="115"/>
    <d v="2025-12-12T00:00:00"/>
    <d v="2026-09-30T00:00:00"/>
    <x v="5"/>
    <x v="1"/>
    <s v="510200"/>
    <x v="11"/>
    <x v="1"/>
    <s v="LT"/>
    <n v="342"/>
    <s v="5786"/>
    <s v="SAFRINHA 2026"/>
    <n v="4"/>
    <n v="0"/>
    <n v="4"/>
    <n v="1368"/>
    <m/>
    <s v="NOVA UBIRATA"/>
    <s v="58109714900"/>
    <n v="342"/>
    <n v="0"/>
  </r>
  <r>
    <d v="2025-12-16T08:01:47"/>
    <n v="4359"/>
    <x v="115"/>
    <d v="2025-12-15T00:00:00"/>
    <d v="2026-09-30T00:00:00"/>
    <x v="5"/>
    <x v="0"/>
    <s v="510200"/>
    <x v="6"/>
    <x v="0"/>
    <s v="LT"/>
    <n v="73"/>
    <s v="5792"/>
    <s v="SAFRINHA 2026"/>
    <n v="5"/>
    <n v="0"/>
    <n v="5"/>
    <n v="365"/>
    <m/>
    <s v="NOVA UBIRATA"/>
    <s v="58109714900"/>
    <n v="73"/>
    <n v="0"/>
  </r>
  <r>
    <d v="2026-02-11T13:43:43"/>
    <n v="4554"/>
    <x v="115"/>
    <d v="2026-02-11T00:00:00"/>
    <d v="2026-09-30T00:00:00"/>
    <x v="5"/>
    <x v="0"/>
    <s v="510200"/>
    <x v="2"/>
    <x v="0"/>
    <s v="KG"/>
    <n v="22.5"/>
    <s v="6076"/>
    <s v="SAFRINHA 2026"/>
    <n v="260"/>
    <n v="0"/>
    <n v="260"/>
    <n v="5850"/>
    <m/>
    <s v="NOVA UBIRATA"/>
    <s v="58109714900"/>
    <n v="22.5"/>
    <n v="0"/>
  </r>
  <r>
    <d v="2025-07-16T14:08:12"/>
    <n v="3932"/>
    <x v="116"/>
    <d v="2025-07-16T00:00:00"/>
    <d v="2026-04-30T00:00:00"/>
    <x v="3"/>
    <x v="1"/>
    <s v="510200"/>
    <x v="14"/>
    <x v="1"/>
    <s v="KG"/>
    <n v="310"/>
    <s v="5327"/>
    <s v="SAFRA 25/26"/>
    <n v="40"/>
    <n v="0"/>
    <n v="40"/>
    <n v="12400"/>
    <m/>
    <s v="TESOURO"/>
    <s v="25114417053"/>
    <n v="310"/>
    <n v="0"/>
  </r>
  <r>
    <d v="2025-07-16T14:08:12"/>
    <n v="3932"/>
    <x v="116"/>
    <d v="2025-07-16T00:00:00"/>
    <d v="2026-04-30T00:00:00"/>
    <x v="3"/>
    <x v="1"/>
    <s v="510200"/>
    <x v="17"/>
    <x v="1"/>
    <s v="LT"/>
    <n v="39"/>
    <s v="5327"/>
    <s v="SAFRA 25/26"/>
    <n v="204"/>
    <n v="0"/>
    <n v="204"/>
    <n v="7956"/>
    <m/>
    <s v="TESOURO"/>
    <s v="25114417053"/>
    <n v="39"/>
    <n v="0"/>
  </r>
  <r>
    <d v="2025-07-16T14:08:12"/>
    <n v="3932"/>
    <x v="116"/>
    <d v="2025-07-16T00:00:00"/>
    <d v="2026-04-30T00:00:00"/>
    <x v="3"/>
    <x v="1"/>
    <s v="510200"/>
    <x v="13"/>
    <x v="1"/>
    <s v="LT"/>
    <n v="29"/>
    <s v="5327"/>
    <s v="SAFRA 25/26"/>
    <n v="300"/>
    <n v="0"/>
    <n v="300"/>
    <n v="8700"/>
    <m/>
    <s v="TESOURO"/>
    <s v="25114417053"/>
    <n v="29"/>
    <n v="0"/>
  </r>
  <r>
    <d v="2025-09-23T16:12:31"/>
    <n v="4079"/>
    <x v="116"/>
    <d v="2025-09-23T00:00:00"/>
    <d v="2026-04-30T00:00:00"/>
    <x v="3"/>
    <x v="1"/>
    <s v="512011"/>
    <x v="13"/>
    <x v="1"/>
    <s v="LT"/>
    <n v="29"/>
    <s v="5327"/>
    <s v="SAFRA 25/26"/>
    <n v="3564"/>
    <n v="0"/>
    <n v="3564"/>
    <n v="103356"/>
    <m/>
    <s v="TESOURO"/>
    <s v="25114417053"/>
    <n v="29"/>
    <n v="0"/>
  </r>
  <r>
    <d v="2025-09-23T16:12:31"/>
    <n v="4079"/>
    <x v="116"/>
    <d v="2025-09-23T00:00:00"/>
    <d v="2026-04-30T00:00:00"/>
    <x v="3"/>
    <x v="1"/>
    <s v="512011"/>
    <x v="10"/>
    <x v="1"/>
    <s v="LT"/>
    <n v="248"/>
    <s v="5327"/>
    <s v="SAFRA 25/26"/>
    <n v="24"/>
    <n v="0"/>
    <n v="24"/>
    <n v="5952"/>
    <m/>
    <s v="TESOURO"/>
    <s v="25114417053"/>
    <n v="248"/>
    <n v="0"/>
  </r>
  <r>
    <d v="2025-09-23T16:12:31"/>
    <n v="4079"/>
    <x v="116"/>
    <d v="2025-09-23T00:00:00"/>
    <d v="2026-04-30T00:00:00"/>
    <x v="3"/>
    <x v="1"/>
    <s v="512011"/>
    <x v="11"/>
    <x v="1"/>
    <s v="LT"/>
    <n v="248"/>
    <s v="5327"/>
    <s v="SAFRA 25/26"/>
    <n v="24"/>
    <n v="0"/>
    <n v="24"/>
    <n v="5952"/>
    <m/>
    <s v="TESOURO"/>
    <s v="25114417053"/>
    <n v="248"/>
    <n v="0"/>
  </r>
  <r>
    <d v="2025-09-23T16:12:31"/>
    <n v="4079"/>
    <x v="116"/>
    <d v="2025-09-23T00:00:00"/>
    <d v="2026-04-30T00:00:00"/>
    <x v="3"/>
    <x v="1"/>
    <s v="512011"/>
    <x v="9"/>
    <x v="1"/>
    <s v="LT"/>
    <n v="34"/>
    <s v="5327"/>
    <s v="SAFRA 25/26"/>
    <n v="1092"/>
    <n v="0"/>
    <n v="1092"/>
    <n v="37128"/>
    <m/>
    <s v="TESOURO"/>
    <s v="25114417053"/>
    <n v="34"/>
    <n v="0"/>
  </r>
  <r>
    <d v="2025-09-23T16:12:31"/>
    <n v="4079"/>
    <x v="116"/>
    <d v="2025-09-23T00:00:00"/>
    <d v="2026-04-30T00:00:00"/>
    <x v="3"/>
    <x v="1"/>
    <s v="512011"/>
    <x v="23"/>
    <x v="1"/>
    <s v="KG"/>
    <n v="240"/>
    <s v="5327"/>
    <s v="SAFRA 25/26"/>
    <n v="555"/>
    <n v="0"/>
    <n v="555"/>
    <n v="133200"/>
    <m/>
    <s v="TESOURO"/>
    <s v="25114417053"/>
    <n v="240"/>
    <n v="0"/>
  </r>
  <r>
    <d v="2025-09-23T16:12:31"/>
    <n v="4079"/>
    <x v="116"/>
    <d v="2025-09-23T00:00:00"/>
    <d v="2026-04-30T00:00:00"/>
    <x v="3"/>
    <x v="1"/>
    <s v="512011"/>
    <x v="76"/>
    <x v="1"/>
    <s v="LT"/>
    <n v="48"/>
    <s v="5327"/>
    <s v="SAFRA 25/26"/>
    <n v="300"/>
    <n v="0"/>
    <n v="300"/>
    <n v="14400"/>
    <m/>
    <s v="TESOURO"/>
    <s v="25114417053"/>
    <n v="48"/>
    <n v="0"/>
  </r>
  <r>
    <d v="2025-09-23T16:12:31"/>
    <n v="4079"/>
    <x v="116"/>
    <d v="2025-09-23T00:00:00"/>
    <d v="2026-04-30T00:00:00"/>
    <x v="3"/>
    <x v="1"/>
    <s v="512011"/>
    <x v="14"/>
    <x v="1"/>
    <s v="KG"/>
    <n v="310"/>
    <s v="5327"/>
    <s v="SAFRA 25/26"/>
    <n v="805"/>
    <n v="0"/>
    <n v="805"/>
    <n v="249550"/>
    <m/>
    <s v="TESOURO"/>
    <s v="25114417053"/>
    <n v="310"/>
    <n v="0"/>
  </r>
  <r>
    <d v="2025-08-13T14:03:57"/>
    <n v="264"/>
    <x v="117"/>
    <d v="2025-08-13T00:00:00"/>
    <d v="2025-08-25T00:00:00"/>
    <x v="2"/>
    <x v="0"/>
    <s v="610200"/>
    <x v="32"/>
    <x v="2"/>
    <s v="TON"/>
    <n v="1150"/>
    <s v="5132"/>
    <s v="SAFRA 25/26"/>
    <n v="50"/>
    <n v="0"/>
    <n v="50"/>
    <n v="57500"/>
    <m/>
    <s v="NOVO PROGRESSO"/>
    <s v="05091443908"/>
    <n v="1150"/>
    <n v="0"/>
  </r>
  <r>
    <d v="2025-09-01T08:01:19"/>
    <n v="279"/>
    <x v="117"/>
    <d v="2025-09-01T00:00:00"/>
    <d v="2026-04-30T00:00:00"/>
    <x v="2"/>
    <x v="2"/>
    <s v="610200"/>
    <x v="18"/>
    <x v="1"/>
    <s v="KG"/>
    <n v="179"/>
    <s v="5139"/>
    <s v="SAFRA 25/26"/>
    <n v="195"/>
    <n v="0"/>
    <n v="195"/>
    <n v="34905"/>
    <m/>
    <s v="NOVO PROGRESSO"/>
    <s v="05091443908"/>
    <n v="179"/>
    <n v="0"/>
  </r>
  <r>
    <d v="2025-08-25T14:05:35"/>
    <n v="3998"/>
    <x v="118"/>
    <d v="2025-08-22T00:00:00"/>
    <d v="2026-04-30T00:00:00"/>
    <x v="7"/>
    <x v="1"/>
    <s v="510200"/>
    <x v="13"/>
    <x v="1"/>
    <s v="LT"/>
    <n v="49"/>
    <s v="5445"/>
    <s v="SAFRA 25/26"/>
    <n v="12"/>
    <n v="0"/>
    <n v="12"/>
    <n v="588"/>
    <m/>
    <s v="SORRISO"/>
    <s v="01860905951"/>
    <n v="49"/>
    <n v="0"/>
  </r>
  <r>
    <d v="2025-08-25T14:05:35"/>
    <n v="3998"/>
    <x v="118"/>
    <d v="2025-08-22T00:00:00"/>
    <d v="2026-04-30T00:00:00"/>
    <x v="7"/>
    <x v="0"/>
    <s v="510200"/>
    <x v="12"/>
    <x v="0"/>
    <s v="LT"/>
    <n v="240"/>
    <s v="5445"/>
    <s v="SAFRA 25/26"/>
    <n v="5"/>
    <n v="0"/>
    <n v="5"/>
    <n v="1200"/>
    <m/>
    <s v="SORRISO"/>
    <s v="01860905951"/>
    <n v="240"/>
    <n v="0"/>
  </r>
  <r>
    <d v="2025-08-25T14:05:35"/>
    <n v="3998"/>
    <x v="118"/>
    <d v="2025-08-22T00:00:00"/>
    <d v="2026-04-30T00:00:00"/>
    <x v="7"/>
    <x v="1"/>
    <s v="510200"/>
    <x v="10"/>
    <x v="1"/>
    <s v="LT"/>
    <n v="365"/>
    <s v="5445"/>
    <s v="SAFRA 25/26"/>
    <n v="13"/>
    <n v="0"/>
    <n v="13"/>
    <n v="4745"/>
    <m/>
    <s v="SORRISO"/>
    <s v="01860905951"/>
    <n v="365"/>
    <n v="0"/>
  </r>
  <r>
    <d v="2025-08-25T14:05:35"/>
    <n v="3998"/>
    <x v="118"/>
    <d v="2025-08-22T00:00:00"/>
    <d v="2026-04-30T00:00:00"/>
    <x v="7"/>
    <x v="1"/>
    <s v="510200"/>
    <x v="9"/>
    <x v="1"/>
    <s v="LT"/>
    <n v="48"/>
    <s v="5445"/>
    <s v="SAFRA 25/26"/>
    <n v="12"/>
    <n v="0"/>
    <n v="12"/>
    <n v="576"/>
    <m/>
    <s v="SORRISO"/>
    <s v="01860905951"/>
    <n v="48"/>
    <n v="0"/>
  </r>
  <r>
    <d v="2025-08-25T14:05:35"/>
    <n v="3998"/>
    <x v="118"/>
    <d v="2025-08-22T00:00:00"/>
    <d v="2026-04-30T00:00:00"/>
    <x v="7"/>
    <x v="1"/>
    <s v="510200"/>
    <x v="18"/>
    <x v="1"/>
    <s v="KG"/>
    <n v="200"/>
    <s v="5445"/>
    <s v="SAFRA 25/26"/>
    <n v="39"/>
    <n v="0"/>
    <n v="39"/>
    <n v="7800"/>
    <m/>
    <s v="SORRISO"/>
    <s v="01860905951"/>
    <n v="200"/>
    <n v="0"/>
  </r>
  <r>
    <d v="2025-08-25T14:05:35"/>
    <n v="3998"/>
    <x v="118"/>
    <d v="2025-08-22T00:00:00"/>
    <d v="2026-04-30T00:00:00"/>
    <x v="7"/>
    <x v="1"/>
    <s v="510200"/>
    <x v="11"/>
    <x v="1"/>
    <s v="LT"/>
    <n v="380"/>
    <s v="5445"/>
    <s v="SAFRA 25/26"/>
    <n v="13"/>
    <n v="0"/>
    <n v="13"/>
    <n v="4940"/>
    <m/>
    <s v="SORRISO"/>
    <s v="01860905951"/>
    <n v="380"/>
    <n v="0"/>
  </r>
  <r>
    <d v="2025-09-23T14:56:47"/>
    <n v="4077"/>
    <x v="118"/>
    <d v="2025-09-23T00:00:00"/>
    <d v="2026-03-30T00:00:00"/>
    <x v="7"/>
    <x v="0"/>
    <s v="510200"/>
    <x v="33"/>
    <x v="0"/>
    <s v="LT"/>
    <n v="90"/>
    <s v="5582"/>
    <s v="SAFRA 25/26"/>
    <n v="10"/>
    <n v="0"/>
    <n v="10"/>
    <n v="900"/>
    <m/>
    <s v="SORRISO"/>
    <s v="01860905951"/>
    <n v="90"/>
    <n v="0"/>
  </r>
  <r>
    <d v="2025-09-23T14:56:47"/>
    <n v="4077"/>
    <x v="118"/>
    <d v="2025-09-23T00:00:00"/>
    <d v="2026-03-30T00:00:00"/>
    <x v="7"/>
    <x v="0"/>
    <s v="510200"/>
    <x v="6"/>
    <x v="0"/>
    <s v="LT"/>
    <n v="75"/>
    <s v="5582"/>
    <s v="SAFRA 25/26"/>
    <n v="10"/>
    <n v="0"/>
    <n v="10"/>
    <n v="750"/>
    <m/>
    <s v="SORRISO"/>
    <s v="01860905951"/>
    <n v="75"/>
    <n v="0"/>
  </r>
  <r>
    <d v="2025-09-23T14:56:47"/>
    <n v="4077"/>
    <x v="118"/>
    <d v="2025-09-23T00:00:00"/>
    <d v="2026-03-30T00:00:00"/>
    <x v="7"/>
    <x v="0"/>
    <s v="510200"/>
    <x v="7"/>
    <x v="0"/>
    <s v="LT"/>
    <n v="75"/>
    <s v="5582"/>
    <s v="SAFRA 25/26"/>
    <n v="10"/>
    <n v="0"/>
    <n v="10"/>
    <n v="750"/>
    <m/>
    <s v="SORRISO"/>
    <s v="01860905951"/>
    <n v="75"/>
    <n v="0"/>
  </r>
  <r>
    <d v="2025-10-20T14:05:36"/>
    <n v="4184"/>
    <x v="118"/>
    <d v="2025-10-20T00:00:00"/>
    <d v="2026-03-30T00:00:00"/>
    <x v="7"/>
    <x v="0"/>
    <s v="510200"/>
    <x v="89"/>
    <x v="2"/>
    <s v="LT"/>
    <n v="95"/>
    <s v="5412"/>
    <s v="SAFRA 25/26"/>
    <n v="5"/>
    <n v="0"/>
    <n v="5"/>
    <n v="475"/>
    <m/>
    <s v="SORRISO"/>
    <s v="01860905951"/>
    <n v="95"/>
    <n v="0"/>
  </r>
  <r>
    <d v="2025-10-20T14:05:36"/>
    <n v="4184"/>
    <x v="118"/>
    <d v="2025-10-20T00:00:00"/>
    <d v="2026-03-30T00:00:00"/>
    <x v="7"/>
    <x v="0"/>
    <s v="510200"/>
    <x v="16"/>
    <x v="2"/>
    <s v="KG"/>
    <n v="95"/>
    <s v="5412"/>
    <s v="SAFRA 25/26"/>
    <n v="5"/>
    <n v="0"/>
    <n v="5"/>
    <n v="475"/>
    <m/>
    <s v="SORRISO"/>
    <s v="01860905951"/>
    <n v="95"/>
    <n v="0"/>
  </r>
  <r>
    <d v="2025-11-17T17:05:56"/>
    <n v="4277"/>
    <x v="118"/>
    <d v="2025-11-17T00:00:00"/>
    <d v="2026-03-30T00:00:00"/>
    <x v="7"/>
    <x v="0"/>
    <s v="510200"/>
    <x v="33"/>
    <x v="0"/>
    <s v="LT"/>
    <n v="90"/>
    <s v="5589"/>
    <s v="SAFRA 25/26"/>
    <n v="15"/>
    <n v="0"/>
    <n v="15"/>
    <n v="1350"/>
    <m/>
    <s v="SORRISO"/>
    <s v="01860905951"/>
    <n v="90"/>
    <n v="0"/>
  </r>
  <r>
    <d v="2025-12-15T10:59:57"/>
    <n v="4356"/>
    <x v="118"/>
    <d v="2025-12-15T00:00:00"/>
    <d v="2026-03-30T00:00:00"/>
    <x v="7"/>
    <x v="0"/>
    <s v="510200"/>
    <x v="33"/>
    <x v="0"/>
    <s v="LT"/>
    <n v="90"/>
    <s v="5850"/>
    <s v="SAFRA 25/26"/>
    <n v="10"/>
    <n v="0"/>
    <n v="10"/>
    <n v="900"/>
    <m/>
    <s v="SORRISO"/>
    <s v="01860905951"/>
    <n v="90"/>
    <n v="0"/>
  </r>
  <r>
    <d v="2026-01-09T18:39:44"/>
    <n v="4425"/>
    <x v="118"/>
    <d v="2026-01-09T00:00:00"/>
    <d v="2026-03-30T00:00:00"/>
    <x v="7"/>
    <x v="0"/>
    <s v="510200"/>
    <x v="6"/>
    <x v="0"/>
    <s v="LT"/>
    <n v="75"/>
    <s v="6005"/>
    <s v="SAFRA 25/26"/>
    <n v="5"/>
    <n v="0"/>
    <n v="5"/>
    <n v="375"/>
    <m/>
    <s v="SORRISO"/>
    <s v="01860905951"/>
    <n v="75"/>
    <n v="0"/>
  </r>
  <r>
    <d v="2026-01-09T18:39:44"/>
    <n v="4425"/>
    <x v="118"/>
    <d v="2026-01-09T00:00:00"/>
    <d v="2026-03-30T00:00:00"/>
    <x v="7"/>
    <x v="0"/>
    <s v="510200"/>
    <x v="33"/>
    <x v="0"/>
    <s v="LT"/>
    <n v="90"/>
    <s v="6005"/>
    <s v="SAFRA 25/26"/>
    <n v="5"/>
    <n v="0"/>
    <n v="5"/>
    <n v="450"/>
    <m/>
    <s v="SORRISO"/>
    <s v="01860905951"/>
    <n v="90"/>
    <n v="0"/>
  </r>
  <r>
    <d v="2026-01-16T14:50:48"/>
    <n v="4452"/>
    <x v="118"/>
    <d v="2026-01-13T00:00:00"/>
    <d v="2026-08-30T00:00:00"/>
    <x v="7"/>
    <x v="1"/>
    <s v="510200"/>
    <x v="18"/>
    <x v="1"/>
    <s v="KG"/>
    <n v="200"/>
    <s v="5881"/>
    <s v="SAFRINHA 2026"/>
    <n v="10"/>
    <n v="0"/>
    <n v="10"/>
    <n v="2000"/>
    <m/>
    <s v="SORRISO"/>
    <s v="01860905951"/>
    <n v="200"/>
    <n v="0"/>
  </r>
  <r>
    <d v="2026-01-16T14:50:48"/>
    <n v="4452"/>
    <x v="118"/>
    <d v="2026-01-13T00:00:00"/>
    <d v="2026-08-30T00:00:00"/>
    <x v="7"/>
    <x v="0"/>
    <s v="510200"/>
    <x v="33"/>
    <x v="0"/>
    <s v="LT"/>
    <n v="90"/>
    <s v="5881"/>
    <s v="SAFRINHA 2026"/>
    <n v="20"/>
    <n v="0"/>
    <n v="20"/>
    <n v="1800"/>
    <m/>
    <s v="SORRISO"/>
    <s v="01860905951"/>
    <n v="90"/>
    <n v="0"/>
  </r>
  <r>
    <d v="2026-01-16T14:50:48"/>
    <n v="4452"/>
    <x v="118"/>
    <d v="2026-01-13T00:00:00"/>
    <d v="2026-08-30T00:00:00"/>
    <x v="7"/>
    <x v="0"/>
    <s v="510200"/>
    <x v="6"/>
    <x v="0"/>
    <s v="LT"/>
    <n v="75"/>
    <s v="5881"/>
    <s v="SAFRINHA 2026"/>
    <n v="20"/>
    <n v="0"/>
    <n v="20"/>
    <n v="1500"/>
    <m/>
    <s v="SORRISO"/>
    <s v="01860905951"/>
    <n v="75"/>
    <n v="0"/>
  </r>
  <r>
    <d v="2026-01-16T14:50:48"/>
    <n v="4452"/>
    <x v="118"/>
    <d v="2026-01-13T00:00:00"/>
    <d v="2026-08-30T00:00:00"/>
    <x v="7"/>
    <x v="0"/>
    <s v="510200"/>
    <x v="78"/>
    <x v="0"/>
    <s v="KG"/>
    <n v="32"/>
    <s v="5881"/>
    <s v="SAFRINHA 2026"/>
    <n v="30"/>
    <n v="0"/>
    <n v="30"/>
    <n v="960"/>
    <m/>
    <s v="SORRISO"/>
    <s v="01860905951"/>
    <n v="32"/>
    <n v="0"/>
  </r>
  <r>
    <d v="2026-01-16T14:50:48"/>
    <n v="4452"/>
    <x v="118"/>
    <d v="2026-01-13T00:00:00"/>
    <d v="2026-08-30T00:00:00"/>
    <x v="7"/>
    <x v="0"/>
    <s v="510200"/>
    <x v="2"/>
    <x v="0"/>
    <s v="KG"/>
    <n v="24"/>
    <s v="5881"/>
    <s v="SAFRINHA 2026"/>
    <n v="60"/>
    <n v="0"/>
    <n v="60"/>
    <n v="1440"/>
    <m/>
    <s v="SORRISO"/>
    <s v="01860905951"/>
    <n v="24"/>
    <n v="0"/>
  </r>
  <r>
    <d v="2026-03-06T07:25:45"/>
    <n v="4629"/>
    <x v="118"/>
    <d v="2026-03-06T00:00:00"/>
    <d v="2026-09-30T00:00:00"/>
    <x v="7"/>
    <x v="0"/>
    <s v="510200"/>
    <x v="97"/>
    <x v="2"/>
    <s v="LT"/>
    <n v="97"/>
    <s v="5894"/>
    <s v="SAFRINHA 2026"/>
    <n v="60"/>
    <n v="0"/>
    <n v="60"/>
    <n v="5820"/>
    <m/>
    <s v="SORRISO"/>
    <s v="01860905951"/>
    <n v="97"/>
    <n v="0"/>
  </r>
  <r>
    <d v="2026-03-06T07:30:31"/>
    <n v="4630"/>
    <x v="118"/>
    <d v="2026-03-06T00:00:00"/>
    <d v="2026-09-30T00:00:00"/>
    <x v="7"/>
    <x v="1"/>
    <s v="510200"/>
    <x v="10"/>
    <x v="1"/>
    <s v="LT"/>
    <n v="365"/>
    <s v="5895"/>
    <s v="SAFRINHA 2026"/>
    <n v="2"/>
    <n v="0"/>
    <n v="2"/>
    <n v="730"/>
    <m/>
    <s v="SORRISO"/>
    <s v="01860905951"/>
    <n v="365"/>
    <n v="0"/>
  </r>
  <r>
    <d v="2026-03-06T07:30:31"/>
    <n v="4630"/>
    <x v="118"/>
    <d v="2026-03-06T00:00:00"/>
    <d v="2026-09-30T00:00:00"/>
    <x v="7"/>
    <x v="1"/>
    <s v="510200"/>
    <x v="18"/>
    <x v="1"/>
    <s v="KG"/>
    <n v="200"/>
    <s v="5895"/>
    <s v="SAFRINHA 2026"/>
    <n v="1"/>
    <n v="0"/>
    <n v="1"/>
    <n v="200"/>
    <m/>
    <s v="SORRISO"/>
    <s v="01860905951"/>
    <n v="200"/>
    <n v="0"/>
  </r>
  <r>
    <d v="2026-03-06T07:30:31"/>
    <n v="4630"/>
    <x v="118"/>
    <d v="2026-03-06T00:00:00"/>
    <d v="2026-09-30T00:00:00"/>
    <x v="7"/>
    <x v="1"/>
    <s v="510200"/>
    <x v="11"/>
    <x v="1"/>
    <s v="LT"/>
    <n v="380"/>
    <s v="5895"/>
    <s v="SAFRINHA 2026"/>
    <n v="2"/>
    <n v="0"/>
    <n v="2"/>
    <n v="760"/>
    <m/>
    <s v="SORRISO"/>
    <s v="01860905951"/>
    <n v="380"/>
    <n v="0"/>
  </r>
  <r>
    <d v="2025-10-09T11:02:58"/>
    <n v="4139"/>
    <x v="119"/>
    <d v="2025-10-09T00:00:00"/>
    <d v="2025-10-09T00:00:00"/>
    <x v="3"/>
    <x v="0"/>
    <s v="510200"/>
    <x v="21"/>
    <x v="2"/>
    <s v="KG"/>
    <n v="36"/>
    <s v="5650"/>
    <s v="SAFRA 25/26"/>
    <n v="60"/>
    <n v="0"/>
    <n v="60"/>
    <n v="2160"/>
    <m/>
    <s v="IPIRANGA DO NORTE"/>
    <s v="01451272901"/>
    <n v="36"/>
    <n v="0"/>
  </r>
  <r>
    <d v="2025-10-22T14:52:22"/>
    <n v="4198"/>
    <x v="119"/>
    <d v="2025-10-22T00:00:00"/>
    <d v="2025-10-22T00:00:00"/>
    <x v="3"/>
    <x v="0"/>
    <s v="510200"/>
    <x v="21"/>
    <x v="2"/>
    <s v="KG"/>
    <n v="33.333329999999997"/>
    <s v="5755"/>
    <s v="SAFRA 25/26"/>
    <n v="30"/>
    <n v="0"/>
    <n v="30"/>
    <n v="999.99989999999991"/>
    <m/>
    <s v="NOVA UBIRATA"/>
    <s v="01451272901"/>
    <n v="33.333329999999997"/>
    <n v="0"/>
  </r>
  <r>
    <d v="2025-11-10T14:34:16"/>
    <n v="4253"/>
    <x v="119"/>
    <d v="2025-11-10T00:00:00"/>
    <d v="2025-11-10T00:00:00"/>
    <x v="3"/>
    <x v="0"/>
    <s v="510200"/>
    <x v="21"/>
    <x v="2"/>
    <s v="KG"/>
    <n v="43.333333000000003"/>
    <s v="5806"/>
    <s v="SAFRA 25/26"/>
    <n v="30"/>
    <n v="0"/>
    <n v="30"/>
    <n v="1299.99999"/>
    <m/>
    <s v="NOVA UBIRATA"/>
    <s v="01451272901"/>
    <n v="43.333333000000003"/>
    <n v="0"/>
  </r>
  <r>
    <d v="2026-01-09T08:35:32"/>
    <n v="4417"/>
    <x v="119"/>
    <d v="2026-01-09T00:00:00"/>
    <d v="2026-01-10T00:00:00"/>
    <x v="3"/>
    <x v="0"/>
    <s v="510200"/>
    <x v="21"/>
    <x v="2"/>
    <s v="KG"/>
    <n v="45"/>
    <s v="69002"/>
    <s v="SAFRINHA 2026"/>
    <n v="30"/>
    <n v="0"/>
    <n v="30"/>
    <n v="1350"/>
    <m/>
    <s v="NOVA UBIRATA"/>
    <s v="01451272901"/>
    <n v="45"/>
    <n v="0"/>
  </r>
  <r>
    <d v="2026-01-21T16:21:47"/>
    <n v="4478"/>
    <x v="119"/>
    <d v="2026-01-21T00:00:00"/>
    <d v="2026-01-22T00:00:00"/>
    <x v="3"/>
    <x v="0"/>
    <s v="510200"/>
    <x v="21"/>
    <x v="2"/>
    <s v="KG"/>
    <n v="45"/>
    <s v="6028"/>
    <s v="SAFRINHA 2026"/>
    <n v="105"/>
    <n v="0"/>
    <n v="105"/>
    <n v="4725"/>
    <m/>
    <s v="NOVA UBIRATA"/>
    <s v="01451272901"/>
    <n v="45"/>
    <n v="0"/>
  </r>
  <r>
    <d v="2026-02-09T10:33:36"/>
    <n v="4548"/>
    <x v="119"/>
    <d v="2026-02-09T00:00:00"/>
    <d v="2026-02-10T00:00:00"/>
    <x v="3"/>
    <x v="0"/>
    <s v="510200"/>
    <x v="21"/>
    <x v="2"/>
    <s v="KG"/>
    <n v="45"/>
    <s v="6049"/>
    <s v="SAFRINHA 2026"/>
    <n v="45"/>
    <n v="0"/>
    <n v="45"/>
    <n v="2025"/>
    <m/>
    <s v="NOVA UBIRATA"/>
    <s v="01451272901"/>
    <n v="45"/>
    <n v="0"/>
  </r>
  <r>
    <d v="2026-02-23T14:18:00"/>
    <n v="4601"/>
    <x v="119"/>
    <d v="2026-02-23T00:00:00"/>
    <d v="2026-02-24T00:00:00"/>
    <x v="3"/>
    <x v="0"/>
    <s v="510200"/>
    <x v="21"/>
    <x v="2"/>
    <s v="KG"/>
    <n v="45"/>
    <s v="6099"/>
    <s v="SAFRINHA 2026"/>
    <n v="75"/>
    <n v="0"/>
    <n v="75"/>
    <n v="3375"/>
    <m/>
    <s v="NOVA UBIRATA"/>
    <s v="01451272901"/>
    <n v="45"/>
    <n v="0"/>
  </r>
  <r>
    <d v="2025-04-03T15:52:22"/>
    <n v="3792"/>
    <x v="120"/>
    <d v="2025-04-03T00:00:00"/>
    <d v="2025-05-30T00:00:00"/>
    <x v="3"/>
    <x v="1"/>
    <s v="510200"/>
    <x v="13"/>
    <x v="1"/>
    <s v="LT"/>
    <n v="38"/>
    <s v="5352"/>
    <s v="SAFRA 25/26"/>
    <n v="600"/>
    <n v="0"/>
    <n v="600"/>
    <n v="22800"/>
    <m/>
    <s v="NOVA UBIRATA"/>
    <s v="63703807920"/>
    <n v="38"/>
    <n v="0"/>
  </r>
  <r>
    <d v="2025-09-18T10:15:56"/>
    <n v="4054"/>
    <x v="120"/>
    <d v="2025-09-18T00:00:00"/>
    <d v="2025-11-30T00:00:00"/>
    <x v="3"/>
    <x v="1"/>
    <s v="510200"/>
    <x v="13"/>
    <x v="1"/>
    <s v="LT"/>
    <n v="38"/>
    <s v="5624"/>
    <s v="SAFRA 25/26"/>
    <n v="108"/>
    <n v="0"/>
    <n v="108"/>
    <n v="4104"/>
    <m/>
    <s v="NOVA UBIRATA"/>
    <s v="63703807920"/>
    <n v="38"/>
    <n v="0"/>
  </r>
  <r>
    <d v="2026-02-16T08:58:34"/>
    <n v="4572"/>
    <x v="120"/>
    <d v="2026-02-16T00:00:00"/>
    <d v="2026-04-30T00:00:00"/>
    <x v="0"/>
    <x v="0"/>
    <s v="510200"/>
    <x v="98"/>
    <x v="2"/>
    <s v="LT"/>
    <n v="160"/>
    <s v="6084"/>
    <s v="SAFRINHA 2026"/>
    <n v="10"/>
    <n v="0"/>
    <n v="10"/>
    <n v="1600"/>
    <m/>
    <s v="NOVA UBIRATA"/>
    <s v="63703807920"/>
    <n v="160"/>
    <n v="0"/>
  </r>
  <r>
    <d v="2025-04-14T11:16:55"/>
    <n v="183"/>
    <x v="121"/>
    <d v="2025-04-14T00:00:00"/>
    <d v="2026-04-30T00:00:00"/>
    <x v="2"/>
    <x v="2"/>
    <s v="610200"/>
    <x v="10"/>
    <x v="1"/>
    <s v="LT"/>
    <n v="340"/>
    <s v="4867"/>
    <s v="SAFRA 25/26"/>
    <n v="52"/>
    <n v="0"/>
    <n v="52"/>
    <n v="17680"/>
    <m/>
    <s v="SANTAREM"/>
    <s v="21078963053"/>
    <n v="340"/>
    <n v="0"/>
  </r>
  <r>
    <d v="2025-04-14T11:16:55"/>
    <n v="183"/>
    <x v="121"/>
    <d v="2025-04-14T00:00:00"/>
    <d v="2026-04-30T00:00:00"/>
    <x v="2"/>
    <x v="2"/>
    <s v="610200"/>
    <x v="13"/>
    <x v="1"/>
    <s v="LT"/>
    <n v="50"/>
    <s v="4867"/>
    <s v="SAFRA 25/26"/>
    <n v="207"/>
    <n v="0"/>
    <n v="207"/>
    <n v="10350"/>
    <m/>
    <s v="SANTAREM"/>
    <s v="21078963053"/>
    <n v="50"/>
    <n v="0"/>
  </r>
  <r>
    <d v="2025-04-14T11:16:55"/>
    <n v="183"/>
    <x v="121"/>
    <d v="2025-04-14T00:00:00"/>
    <d v="2026-04-30T00:00:00"/>
    <x v="2"/>
    <x v="2"/>
    <s v="610200"/>
    <x v="11"/>
    <x v="1"/>
    <s v="LT"/>
    <n v="340"/>
    <s v="4867"/>
    <s v="SAFRA 25/26"/>
    <n v="52"/>
    <n v="0"/>
    <n v="52"/>
    <n v="17680"/>
    <m/>
    <s v="SANTAREM"/>
    <s v="21078963053"/>
    <n v="340"/>
    <n v="0"/>
  </r>
  <r>
    <d v="2025-04-14T11:16:55"/>
    <n v="183"/>
    <x v="121"/>
    <d v="2025-04-14T00:00:00"/>
    <d v="2026-04-30T00:00:00"/>
    <x v="2"/>
    <x v="2"/>
    <s v="610200"/>
    <x v="9"/>
    <x v="1"/>
    <s v="LT"/>
    <n v="50"/>
    <s v="4867"/>
    <s v="SAFRA 25/26"/>
    <n v="105"/>
    <n v="0"/>
    <n v="105"/>
    <n v="5250"/>
    <m/>
    <s v="SANTAREM"/>
    <s v="21078963053"/>
    <n v="50"/>
    <n v="0"/>
  </r>
  <r>
    <d v="2025-04-14T11:16:55"/>
    <n v="183"/>
    <x v="121"/>
    <d v="2025-04-14T00:00:00"/>
    <d v="2026-04-30T00:00:00"/>
    <x v="2"/>
    <x v="0"/>
    <s v="610200"/>
    <x v="12"/>
    <x v="0"/>
    <s v="LT"/>
    <n v="200"/>
    <s v="4867"/>
    <s v="SAFRA 25/26"/>
    <n v="105"/>
    <n v="0"/>
    <n v="105"/>
    <n v="21000"/>
    <m/>
    <s v="SANTAREM"/>
    <s v="21078963053"/>
    <n v="200"/>
    <n v="0"/>
  </r>
  <r>
    <d v="2025-04-14T11:16:55"/>
    <n v="183"/>
    <x v="121"/>
    <d v="2025-04-14T00:00:00"/>
    <d v="2026-04-30T00:00:00"/>
    <x v="2"/>
    <x v="2"/>
    <s v="610200"/>
    <x v="18"/>
    <x v="1"/>
    <s v="KG"/>
    <n v="198"/>
    <s v="4867"/>
    <s v="SAFRA 25/26"/>
    <n v="103"/>
    <n v="0"/>
    <n v="103"/>
    <n v="20394"/>
    <m/>
    <s v="SANTAREM"/>
    <s v="21078963053"/>
    <n v="198"/>
    <n v="0"/>
  </r>
  <r>
    <d v="2025-09-19T15:51:54"/>
    <n v="308"/>
    <x v="121"/>
    <d v="2025-09-19T00:00:00"/>
    <d v="2026-04-30T00:00:00"/>
    <x v="2"/>
    <x v="0"/>
    <s v="610200"/>
    <x v="63"/>
    <x v="2"/>
    <s v="LT"/>
    <n v="60"/>
    <s v="112"/>
    <s v="SAFRA 25/26"/>
    <n v="300"/>
    <n v="0"/>
    <n v="300"/>
    <n v="18000"/>
    <m/>
    <s v="SANTAREM"/>
    <s v="21078963053"/>
    <n v="60"/>
    <n v="0"/>
  </r>
  <r>
    <d v="2025-11-13T10:07:57"/>
    <n v="4263"/>
    <x v="122"/>
    <d v="2025-11-13T00:00:00"/>
    <d v="2025-11-14T00:00:00"/>
    <x v="7"/>
    <x v="0"/>
    <s v="510200"/>
    <x v="99"/>
    <x v="2"/>
    <s v="LT"/>
    <n v="30"/>
    <s v="5587"/>
    <s v="SAFRA 25/26"/>
    <n v="60"/>
    <n v="0"/>
    <n v="60"/>
    <n v="1800"/>
    <m/>
    <s v="VERA"/>
    <s v="41145011934"/>
    <n v="30"/>
    <n v="0"/>
  </r>
  <r>
    <d v="2026-02-20T09:34:50"/>
    <n v="4589"/>
    <x v="122"/>
    <d v="2026-02-14T00:00:00"/>
    <d v="2026-02-23T00:00:00"/>
    <x v="7"/>
    <x v="1"/>
    <s v="510200"/>
    <x v="14"/>
    <x v="1"/>
    <s v="KG"/>
    <n v="400"/>
    <s v="5893"/>
    <s v="SAFRINHA 2026"/>
    <n v="21"/>
    <n v="0"/>
    <n v="21"/>
    <n v="8400"/>
    <m/>
    <s v="VERA"/>
    <s v="41145011934"/>
    <n v="400"/>
    <n v="0"/>
  </r>
  <r>
    <d v="2026-02-20T09:34:50"/>
    <n v="4589"/>
    <x v="122"/>
    <d v="2026-02-14T00:00:00"/>
    <d v="2026-02-23T00:00:00"/>
    <x v="7"/>
    <x v="1"/>
    <s v="510200"/>
    <x v="9"/>
    <x v="1"/>
    <s v="LT"/>
    <n v="58"/>
    <s v="5893"/>
    <s v="SAFRINHA 2026"/>
    <n v="63"/>
    <n v="0"/>
    <n v="63"/>
    <n v="3654"/>
    <m/>
    <s v="VERA"/>
    <s v="41145011934"/>
    <n v="58"/>
    <n v="0"/>
  </r>
  <r>
    <d v="2025-12-05T10:31:52"/>
    <n v="4331"/>
    <x v="123"/>
    <d v="2025-12-05T00:00:00"/>
    <d v="2026-04-30T00:00:00"/>
    <x v="3"/>
    <x v="1"/>
    <s v="510200"/>
    <x v="10"/>
    <x v="1"/>
    <s v="LT"/>
    <n v="300"/>
    <s v="5844"/>
    <s v="SAFRA 25/26"/>
    <n v="5"/>
    <n v="0"/>
    <n v="5"/>
    <n v="1500"/>
    <m/>
    <m/>
    <s v="49998028000159"/>
    <n v="300"/>
    <n v="0"/>
  </r>
  <r>
    <d v="2025-12-05T10:31:52"/>
    <n v="4331"/>
    <x v="123"/>
    <d v="2025-12-05T00:00:00"/>
    <d v="2026-04-30T00:00:00"/>
    <x v="3"/>
    <x v="1"/>
    <s v="510200"/>
    <x v="9"/>
    <x v="1"/>
    <s v="LT"/>
    <n v="42"/>
    <s v="5844"/>
    <s v="SAFRA 25/26"/>
    <n v="12"/>
    <n v="0"/>
    <n v="12"/>
    <n v="504"/>
    <m/>
    <m/>
    <s v="49998028000159"/>
    <n v="42"/>
    <n v="0"/>
  </r>
  <r>
    <d v="2026-01-13T09:52:31"/>
    <n v="4435"/>
    <x v="123"/>
    <d v="2026-01-13T00:00:00"/>
    <d v="2026-08-30T00:00:00"/>
    <x v="3"/>
    <x v="1"/>
    <s v="510200"/>
    <x v="10"/>
    <x v="1"/>
    <s v="LT"/>
    <n v="200"/>
    <s v="6009"/>
    <s v="SAFRINHA 2026"/>
    <n v="40"/>
    <n v="0"/>
    <n v="40"/>
    <n v="8000"/>
    <m/>
    <m/>
    <s v="49998028000159"/>
    <n v="200"/>
    <n v="0"/>
  </r>
  <r>
    <d v="2026-01-13T09:52:31"/>
    <n v="4435"/>
    <x v="123"/>
    <d v="2026-01-13T00:00:00"/>
    <d v="2026-08-30T00:00:00"/>
    <x v="3"/>
    <x v="1"/>
    <s v="510200"/>
    <x v="14"/>
    <x v="1"/>
    <s v="KG"/>
    <n v="305"/>
    <s v="6009"/>
    <s v="SAFRINHA 2026"/>
    <n v="40"/>
    <n v="0"/>
    <n v="40"/>
    <n v="12200"/>
    <m/>
    <m/>
    <s v="49998028000159"/>
    <n v="305"/>
    <n v="0"/>
  </r>
  <r>
    <d v="2026-01-21T09:38:42"/>
    <n v="4474"/>
    <x v="123"/>
    <d v="2026-01-21T00:00:00"/>
    <d v="2026-08-30T00:00:00"/>
    <x v="3"/>
    <x v="1"/>
    <s v="510200"/>
    <x v="14"/>
    <x v="1"/>
    <s v="KG"/>
    <n v="305"/>
    <s v="5993"/>
    <s v="SAFRINHA 2026"/>
    <n v="30"/>
    <n v="0"/>
    <n v="30"/>
    <n v="9150"/>
    <m/>
    <m/>
    <s v="49998028000159"/>
    <n v="305"/>
    <n v="0"/>
  </r>
  <r>
    <d v="2026-01-21T09:38:42"/>
    <n v="4474"/>
    <x v="123"/>
    <d v="2026-01-21T00:00:00"/>
    <d v="2026-08-30T00:00:00"/>
    <x v="3"/>
    <x v="1"/>
    <s v="510200"/>
    <x v="11"/>
    <x v="1"/>
    <s v="LT"/>
    <n v="200"/>
    <s v="5993"/>
    <s v="SAFRINHA 2026"/>
    <n v="72"/>
    <n v="0"/>
    <n v="72"/>
    <n v="14400"/>
    <m/>
    <m/>
    <s v="49998028000159"/>
    <n v="200"/>
    <n v="0"/>
  </r>
  <r>
    <d v="2026-01-21T09:38:42"/>
    <n v="4474"/>
    <x v="123"/>
    <d v="2026-01-21T00:00:00"/>
    <d v="2026-08-30T00:00:00"/>
    <x v="3"/>
    <x v="1"/>
    <s v="510200"/>
    <x v="10"/>
    <x v="1"/>
    <s v="LT"/>
    <n v="200"/>
    <s v="5993"/>
    <s v="SAFRINHA 2026"/>
    <n v="60"/>
    <n v="0"/>
    <n v="60"/>
    <n v="12000"/>
    <m/>
    <m/>
    <s v="49998028000159"/>
    <n v="200"/>
    <n v="0"/>
  </r>
  <r>
    <d v="2026-01-21T09:40:03"/>
    <n v="4475"/>
    <x v="123"/>
    <d v="2026-01-21T00:00:00"/>
    <d v="2026-08-30T00:00:00"/>
    <x v="3"/>
    <x v="1"/>
    <s v="510200"/>
    <x v="23"/>
    <x v="1"/>
    <s v="KG"/>
    <n v="265"/>
    <s v="6025"/>
    <s v="SAFRINHA 2026"/>
    <n v="1"/>
    <n v="0"/>
    <n v="1"/>
    <n v="265"/>
    <m/>
    <m/>
    <s v="49998028000159"/>
    <n v="265"/>
    <n v="0"/>
  </r>
  <r>
    <d v="2026-01-21T09:49:55"/>
    <n v="4476"/>
    <x v="123"/>
    <d v="2026-01-21T00:00:00"/>
    <d v="2026-08-30T00:00:00"/>
    <x v="3"/>
    <x v="1"/>
    <s v="510200"/>
    <x v="18"/>
    <x v="1"/>
    <s v="KG"/>
    <n v="163"/>
    <s v="6026"/>
    <s v="SAFRINHA 2026"/>
    <n v="10"/>
    <n v="0"/>
    <n v="10"/>
    <n v="1630"/>
    <m/>
    <m/>
    <s v="49998028000159"/>
    <n v="163"/>
    <n v="0"/>
  </r>
  <r>
    <d v="2026-01-21T09:49:55"/>
    <n v="4476"/>
    <x v="123"/>
    <d v="2026-01-21T00:00:00"/>
    <d v="2026-08-30T00:00:00"/>
    <x v="3"/>
    <x v="1"/>
    <s v="510200"/>
    <x v="10"/>
    <x v="1"/>
    <s v="LT"/>
    <n v="200"/>
    <s v="6026"/>
    <s v="SAFRINHA 2026"/>
    <n v="20"/>
    <n v="0"/>
    <n v="20"/>
    <n v="4000"/>
    <m/>
    <m/>
    <s v="49998028000159"/>
    <n v="200"/>
    <n v="0"/>
  </r>
  <r>
    <d v="2026-01-26T14:34:57"/>
    <n v="4489"/>
    <x v="123"/>
    <d v="2026-01-26T00:00:00"/>
    <d v="2026-08-30T00:00:00"/>
    <x v="3"/>
    <x v="1"/>
    <s v="510200"/>
    <x v="10"/>
    <x v="1"/>
    <s v="LT"/>
    <n v="200"/>
    <s v="6031"/>
    <s v="SAFRINHA 2026"/>
    <n v="12"/>
    <n v="0"/>
    <n v="12"/>
    <n v="2400"/>
    <m/>
    <m/>
    <s v="49998028000159"/>
    <n v="200"/>
    <n v="0"/>
  </r>
  <r>
    <d v="2026-01-26T14:34:57"/>
    <n v="4489"/>
    <x v="123"/>
    <d v="2026-01-26T00:00:00"/>
    <d v="2026-08-30T00:00:00"/>
    <x v="3"/>
    <x v="1"/>
    <s v="510200"/>
    <x v="14"/>
    <x v="1"/>
    <s v="KG"/>
    <n v="305"/>
    <s v="6031"/>
    <s v="SAFRINHA 2026"/>
    <n v="15"/>
    <n v="0"/>
    <n v="15"/>
    <n v="4575"/>
    <m/>
    <m/>
    <s v="49998028000159"/>
    <n v="305"/>
    <n v="0"/>
  </r>
  <r>
    <d v="2026-01-26T14:34:57"/>
    <n v="4489"/>
    <x v="123"/>
    <d v="2026-01-26T00:00:00"/>
    <d v="2026-08-30T00:00:00"/>
    <x v="3"/>
    <x v="1"/>
    <s v="510200"/>
    <x v="11"/>
    <x v="1"/>
    <s v="LT"/>
    <n v="200"/>
    <s v="6031"/>
    <s v="SAFRINHA 2026"/>
    <n v="12"/>
    <n v="0"/>
    <n v="12"/>
    <n v="2400"/>
    <m/>
    <m/>
    <s v="49998028000159"/>
    <n v="200"/>
    <n v="0"/>
  </r>
  <r>
    <d v="2026-01-30T10:20:43"/>
    <n v="4509"/>
    <x v="123"/>
    <d v="2026-01-30T00:00:00"/>
    <d v="2026-08-30T00:00:00"/>
    <x v="3"/>
    <x v="1"/>
    <s v="510200"/>
    <x v="10"/>
    <x v="1"/>
    <s v="LT"/>
    <n v="200"/>
    <s v="5999"/>
    <s v="SAFRINHA 2026"/>
    <n v="30"/>
    <n v="0"/>
    <n v="30"/>
    <n v="6000"/>
    <m/>
    <m/>
    <s v="49998028000159"/>
    <n v="200"/>
    <n v="0"/>
  </r>
  <r>
    <d v="2026-01-30T10:20:43"/>
    <n v="4509"/>
    <x v="123"/>
    <d v="2026-01-30T00:00:00"/>
    <d v="2026-08-30T00:00:00"/>
    <x v="3"/>
    <x v="1"/>
    <s v="510200"/>
    <x v="9"/>
    <x v="1"/>
    <s v="LT"/>
    <n v="36.488888000000003"/>
    <s v="5999"/>
    <s v="SAFRINHA 2026"/>
    <n v="45"/>
    <n v="0"/>
    <n v="45"/>
    <n v="1641.9999600000001"/>
    <m/>
    <m/>
    <s v="49998028000159"/>
    <n v="36.488888000000003"/>
    <n v="0"/>
  </r>
  <r>
    <d v="2026-01-30T10:20:43"/>
    <n v="4509"/>
    <x v="123"/>
    <d v="2026-01-30T00:00:00"/>
    <d v="2026-08-30T00:00:00"/>
    <x v="3"/>
    <x v="1"/>
    <s v="510200"/>
    <x v="14"/>
    <x v="1"/>
    <s v="KG"/>
    <n v="305"/>
    <s v="5999"/>
    <s v="SAFRINHA 2026"/>
    <n v="30"/>
    <n v="0"/>
    <n v="30"/>
    <n v="9150"/>
    <m/>
    <m/>
    <s v="49998028000159"/>
    <n v="305"/>
    <n v="0"/>
  </r>
  <r>
    <d v="2026-02-05T14:02:09"/>
    <n v="4532"/>
    <x v="123"/>
    <d v="2026-02-05T00:00:00"/>
    <d v="2026-08-30T00:00:00"/>
    <x v="3"/>
    <x v="1"/>
    <s v="510200"/>
    <x v="10"/>
    <x v="1"/>
    <s v="LT"/>
    <n v="200"/>
    <s v="6045"/>
    <s v="SAFRINHA 2026"/>
    <n v="48"/>
    <n v="0"/>
    <n v="48"/>
    <n v="9600"/>
    <m/>
    <m/>
    <s v="49998028000159"/>
    <n v="200"/>
    <n v="0"/>
  </r>
  <r>
    <d v="2026-02-05T14:02:09"/>
    <n v="4532"/>
    <x v="123"/>
    <d v="2026-02-05T00:00:00"/>
    <d v="2026-08-30T00:00:00"/>
    <x v="3"/>
    <x v="1"/>
    <s v="510200"/>
    <x v="14"/>
    <x v="1"/>
    <s v="KG"/>
    <n v="305"/>
    <s v="6045"/>
    <s v="SAFRINHA 2026"/>
    <n v="40"/>
    <n v="0"/>
    <n v="40"/>
    <n v="12200"/>
    <m/>
    <m/>
    <s v="49998028000159"/>
    <n v="305"/>
    <n v="0"/>
  </r>
  <r>
    <d v="2026-02-05T14:02:09"/>
    <n v="4532"/>
    <x v="123"/>
    <d v="2026-02-05T00:00:00"/>
    <d v="2026-08-30T00:00:00"/>
    <x v="3"/>
    <x v="1"/>
    <s v="510200"/>
    <x v="9"/>
    <x v="1"/>
    <s v="LT"/>
    <n v="36.5"/>
    <s v="6045"/>
    <s v="SAFRINHA 2026"/>
    <n v="96"/>
    <n v="0"/>
    <n v="96"/>
    <n v="3504"/>
    <m/>
    <m/>
    <s v="49998028000159"/>
    <n v="36.5"/>
    <n v="0"/>
  </r>
  <r>
    <d v="2025-10-16T12:44:28"/>
    <n v="355"/>
    <x v="124"/>
    <d v="2025-10-16T00:00:00"/>
    <d v="2025-10-16T00:00:00"/>
    <x v="10"/>
    <x v="0"/>
    <s v="510200"/>
    <x v="21"/>
    <x v="2"/>
    <s v="KG"/>
    <n v="34"/>
    <s v="85"/>
    <s v="SAFRA 25/26"/>
    <n v="105"/>
    <n v="0"/>
    <n v="105"/>
    <n v="3570"/>
    <m/>
    <s v="PEIXOTO DE AZEVEDO"/>
    <s v="02707982938"/>
    <n v="34"/>
    <n v="0"/>
  </r>
  <r>
    <d v="2025-11-24T12:00:35"/>
    <n v="422"/>
    <x v="125"/>
    <d v="2025-11-24T00:00:00"/>
    <d v="2026-09-30T00:00:00"/>
    <x v="2"/>
    <x v="0"/>
    <s v="610200"/>
    <x v="39"/>
    <x v="0"/>
    <s v="LT"/>
    <n v="19"/>
    <s v="159"/>
    <s v="SAFRINHA 2026"/>
    <n v="1200"/>
    <n v="0"/>
    <n v="1200"/>
    <n v="22800"/>
    <m/>
    <s v="NOVO PROGRESSO"/>
    <s v="68894511120"/>
    <n v="19"/>
    <n v="0"/>
  </r>
  <r>
    <d v="2025-11-24T12:00:35"/>
    <n v="422"/>
    <x v="125"/>
    <d v="2025-11-24T00:00:00"/>
    <d v="2026-09-30T00:00:00"/>
    <x v="2"/>
    <x v="0"/>
    <s v="610200"/>
    <x v="31"/>
    <x v="0"/>
    <s v="LT"/>
    <n v="170"/>
    <s v="159"/>
    <s v="SAFRINHA 2026"/>
    <n v="12"/>
    <n v="0"/>
    <n v="12"/>
    <n v="2040"/>
    <m/>
    <s v="NOVO PROGRESSO"/>
    <s v="68894511120"/>
    <n v="170"/>
    <n v="0"/>
  </r>
  <r>
    <d v="2025-11-24T12:00:35"/>
    <n v="422"/>
    <x v="125"/>
    <d v="2025-11-24T00:00:00"/>
    <d v="2026-09-30T00:00:00"/>
    <x v="2"/>
    <x v="0"/>
    <s v="610200"/>
    <x v="24"/>
    <x v="2"/>
    <s v="LT"/>
    <n v="58"/>
    <s v="159"/>
    <s v="SAFRINHA 2026"/>
    <n v="200"/>
    <n v="0"/>
    <n v="200"/>
    <n v="11600"/>
    <m/>
    <s v="NOVO PROGRESSO"/>
    <s v="68894511120"/>
    <n v="58"/>
    <n v="0"/>
  </r>
  <r>
    <d v="2026-01-09T13:25:21"/>
    <n v="487"/>
    <x v="125"/>
    <d v="2026-01-09T00:00:00"/>
    <d v="2026-08-30T00:00:00"/>
    <x v="2"/>
    <x v="2"/>
    <s v="610200"/>
    <x v="18"/>
    <x v="1"/>
    <s v="KG"/>
    <n v="180"/>
    <s v="129"/>
    <s v="SAFRINHA 2026"/>
    <n v="100"/>
    <n v="0"/>
    <n v="100"/>
    <n v="18000"/>
    <m/>
    <s v="NOVO PROGRESSO"/>
    <s v="68894511120"/>
    <n v="180"/>
    <n v="0"/>
  </r>
  <r>
    <d v="2026-02-09T14:43:49"/>
    <n v="539"/>
    <x v="125"/>
    <d v="2026-02-09T00:00:00"/>
    <d v="2026-09-30T00:00:00"/>
    <x v="2"/>
    <x v="2"/>
    <s v="610200"/>
    <x v="18"/>
    <x v="1"/>
    <s v="KG"/>
    <n v="180"/>
    <s v="433"/>
    <s v="SAFRINHA 2026"/>
    <n v="20"/>
    <n v="0"/>
    <n v="20"/>
    <n v="3600"/>
    <m/>
    <s v="NOVO PROGRESSO"/>
    <s v="68894511120"/>
    <n v="180"/>
    <n v="0"/>
  </r>
  <r>
    <d v="2026-02-11T08:33:32"/>
    <n v="543"/>
    <x v="125"/>
    <d v="2026-02-11T00:00:00"/>
    <d v="2026-09-30T00:00:00"/>
    <x v="2"/>
    <x v="0"/>
    <s v="610200"/>
    <x v="24"/>
    <x v="2"/>
    <s v="LT"/>
    <n v="58"/>
    <s v="431"/>
    <s v="SAFRINHA 2026"/>
    <n v="615"/>
    <n v="0"/>
    <n v="615"/>
    <n v="35670"/>
    <m/>
    <s v="NOVO PROGRESSO"/>
    <s v="68894511120"/>
    <n v="58"/>
    <n v="0"/>
  </r>
  <r>
    <d v="2026-02-20T09:56:00"/>
    <n v="560"/>
    <x v="125"/>
    <d v="2026-02-20T00:00:00"/>
    <d v="2026-09-30T00:00:00"/>
    <x v="2"/>
    <x v="0"/>
    <s v="610200"/>
    <x v="24"/>
    <x v="2"/>
    <s v="LT"/>
    <n v="54"/>
    <s v="444"/>
    <s v="SAFRINHA 2026"/>
    <n v="720"/>
    <n v="0"/>
    <n v="720"/>
    <n v="38880"/>
    <m/>
    <s v="NOVO PROGRESSO"/>
    <s v="68894511120"/>
    <n v="54"/>
    <n v="0"/>
  </r>
  <r>
    <d v="2025-09-27T09:21:52"/>
    <n v="4098"/>
    <x v="126"/>
    <d v="2025-09-27T00:00:00"/>
    <d v="2026-04-30T00:00:00"/>
    <x v="14"/>
    <x v="0"/>
    <s v="510200"/>
    <x v="12"/>
    <x v="0"/>
    <s v="LT"/>
    <n v="250"/>
    <s v="5405"/>
    <s v="SAFRA 25/26"/>
    <n v="100"/>
    <n v="0"/>
    <n v="100"/>
    <n v="25000"/>
    <m/>
    <s v="SORRISO"/>
    <s v="58010661953"/>
    <n v="250"/>
    <n v="0"/>
  </r>
  <r>
    <d v="2025-07-02T16:36:54"/>
    <n v="3909"/>
    <x v="127"/>
    <d v="2025-07-02T00:00:00"/>
    <d v="2026-08-30T00:00:00"/>
    <x v="0"/>
    <x v="1"/>
    <s v="510200"/>
    <x v="48"/>
    <x v="1"/>
    <s v="LT"/>
    <n v="50"/>
    <s v="5485"/>
    <s v="SAFRINHA 2026"/>
    <n v="7200"/>
    <n v="0"/>
    <n v="7200"/>
    <n v="360000"/>
    <m/>
    <s v="SINOP"/>
    <s v="33401152904"/>
    <n v="50"/>
    <n v="0"/>
  </r>
  <r>
    <d v="2025-07-02T16:36:54"/>
    <n v="3909"/>
    <x v="127"/>
    <d v="2025-07-02T00:00:00"/>
    <d v="2026-08-30T00:00:00"/>
    <x v="0"/>
    <x v="1"/>
    <s v="510200"/>
    <x v="9"/>
    <x v="1"/>
    <s v="LT"/>
    <n v="47.25"/>
    <s v="5485"/>
    <s v="SAFRINHA 2026"/>
    <n v="720"/>
    <n v="0"/>
    <n v="720"/>
    <n v="34020"/>
    <m/>
    <s v="SINOP"/>
    <s v="33401152904"/>
    <n v="47.25"/>
    <n v="0"/>
  </r>
  <r>
    <d v="2025-07-02T16:36:54"/>
    <n v="3909"/>
    <x v="127"/>
    <d v="2025-07-02T00:00:00"/>
    <d v="2026-08-30T00:00:00"/>
    <x v="0"/>
    <x v="1"/>
    <s v="510200"/>
    <x v="11"/>
    <x v="1"/>
    <s v="LT"/>
    <n v="288"/>
    <s v="5485"/>
    <s v="SAFRINHA 2026"/>
    <n v="144"/>
    <n v="0"/>
    <n v="144"/>
    <n v="41472"/>
    <m/>
    <s v="SINOP"/>
    <s v="33401152904"/>
    <n v="288"/>
    <n v="0"/>
  </r>
  <r>
    <d v="2025-07-02T16:36:54"/>
    <n v="3909"/>
    <x v="127"/>
    <d v="2025-07-02T00:00:00"/>
    <d v="2026-08-30T00:00:00"/>
    <x v="0"/>
    <x v="1"/>
    <s v="510200"/>
    <x v="10"/>
    <x v="1"/>
    <s v="LT"/>
    <n v="289"/>
    <s v="5485"/>
    <s v="SAFRINHA 2026"/>
    <n v="144"/>
    <n v="0"/>
    <n v="144"/>
    <n v="41616"/>
    <m/>
    <s v="SINOP"/>
    <s v="33401152904"/>
    <n v="289"/>
    <n v="0"/>
  </r>
  <r>
    <d v="2025-07-02T16:36:54"/>
    <n v="3909"/>
    <x v="127"/>
    <d v="2025-07-02T00:00:00"/>
    <d v="2026-08-30T00:00:00"/>
    <x v="0"/>
    <x v="1"/>
    <s v="510200"/>
    <x v="18"/>
    <x v="1"/>
    <s v="KG"/>
    <n v="182.5"/>
    <s v="5485"/>
    <s v="SAFRINHA 2026"/>
    <n v="576"/>
    <n v="0"/>
    <n v="576"/>
    <n v="105120"/>
    <m/>
    <s v="SINOP"/>
    <s v="33401152904"/>
    <n v="182.5"/>
    <n v="0"/>
  </r>
  <r>
    <d v="2025-07-02T16:40:21"/>
    <n v="3910"/>
    <x v="127"/>
    <d v="2025-07-02T00:00:00"/>
    <d v="2026-03-30T00:00:00"/>
    <x v="0"/>
    <x v="1"/>
    <s v="510200"/>
    <x v="13"/>
    <x v="1"/>
    <s v="LT"/>
    <n v="39"/>
    <s v="5486"/>
    <s v="SAFRA 25/26"/>
    <n v="720"/>
    <n v="0"/>
    <n v="720"/>
    <n v="28080"/>
    <m/>
    <s v="SINOP"/>
    <s v="33401152904"/>
    <n v="39"/>
    <n v="0"/>
  </r>
  <r>
    <d v="2025-07-02T16:40:21"/>
    <n v="3910"/>
    <x v="127"/>
    <d v="2025-07-02T00:00:00"/>
    <d v="2026-03-30T00:00:00"/>
    <x v="0"/>
    <x v="1"/>
    <s v="510200"/>
    <x v="10"/>
    <x v="1"/>
    <s v="LT"/>
    <n v="289"/>
    <s v="5486"/>
    <s v="SAFRA 25/26"/>
    <n v="360"/>
    <n v="0"/>
    <n v="360"/>
    <n v="104040"/>
    <m/>
    <s v="SINOP"/>
    <s v="33401152904"/>
    <n v="289"/>
    <n v="0"/>
  </r>
  <r>
    <d v="2025-07-02T16:40:21"/>
    <n v="3910"/>
    <x v="127"/>
    <d v="2025-07-02T00:00:00"/>
    <d v="2026-03-30T00:00:00"/>
    <x v="0"/>
    <x v="1"/>
    <s v="510200"/>
    <x v="11"/>
    <x v="1"/>
    <s v="LT"/>
    <n v="288"/>
    <s v="5486"/>
    <s v="SAFRA 25/26"/>
    <n v="360"/>
    <n v="0"/>
    <n v="360"/>
    <n v="103680"/>
    <m/>
    <s v="SINOP"/>
    <s v="33401152904"/>
    <n v="288"/>
    <n v="0"/>
  </r>
  <r>
    <d v="2025-07-02T16:40:21"/>
    <n v="3910"/>
    <x v="127"/>
    <d v="2025-07-02T00:00:00"/>
    <d v="2026-03-30T00:00:00"/>
    <x v="0"/>
    <x v="1"/>
    <s v="510200"/>
    <x v="17"/>
    <x v="1"/>
    <s v="LT"/>
    <n v="39"/>
    <s v="5486"/>
    <s v="SAFRA 25/26"/>
    <n v="720"/>
    <n v="0"/>
    <n v="720"/>
    <n v="28080"/>
    <m/>
    <s v="SINOP"/>
    <s v="33401152904"/>
    <n v="39"/>
    <n v="0"/>
  </r>
  <r>
    <d v="2025-07-02T16:40:21"/>
    <n v="3910"/>
    <x v="127"/>
    <d v="2025-07-02T00:00:00"/>
    <d v="2026-03-30T00:00:00"/>
    <x v="0"/>
    <x v="1"/>
    <s v="510200"/>
    <x v="9"/>
    <x v="1"/>
    <s v="LT"/>
    <n v="47.25"/>
    <s v="5486"/>
    <s v="SAFRA 25/26"/>
    <n v="720"/>
    <n v="0"/>
    <n v="720"/>
    <n v="34020"/>
    <m/>
    <s v="SINOP"/>
    <s v="33401152904"/>
    <n v="47.25"/>
    <n v="0"/>
  </r>
  <r>
    <d v="2025-07-02T16:40:21"/>
    <n v="3910"/>
    <x v="127"/>
    <d v="2025-07-02T00:00:00"/>
    <d v="2026-03-30T00:00:00"/>
    <x v="0"/>
    <x v="1"/>
    <s v="510200"/>
    <x v="18"/>
    <x v="1"/>
    <s v="KG"/>
    <n v="182.5"/>
    <s v="5486"/>
    <s v="SAFRA 25/26"/>
    <n v="720"/>
    <n v="0"/>
    <n v="720"/>
    <n v="131400"/>
    <m/>
    <s v="SINOP"/>
    <s v="33401152904"/>
    <n v="182.5"/>
    <n v="0"/>
  </r>
  <r>
    <d v="2026-01-29T08:48:54"/>
    <n v="4506"/>
    <x v="127"/>
    <d v="2026-01-29T00:00:00"/>
    <d v="2026-03-30T00:00:00"/>
    <x v="0"/>
    <x v="0"/>
    <s v="510200"/>
    <x v="21"/>
    <x v="2"/>
    <s v="KG"/>
    <n v="37"/>
    <s v="6039"/>
    <s v="SAFRINHA 2026"/>
    <n v="15"/>
    <n v="0"/>
    <n v="15"/>
    <n v="555"/>
    <m/>
    <s v="SINOP"/>
    <s v="33401152904"/>
    <n v="37"/>
    <n v="0"/>
  </r>
  <r>
    <d v="2026-03-07T07:58:41"/>
    <n v="4642"/>
    <x v="127"/>
    <d v="2026-03-07T00:00:00"/>
    <d v="2026-03-30T00:00:00"/>
    <x v="0"/>
    <x v="0"/>
    <s v="510200"/>
    <x v="21"/>
    <x v="2"/>
    <s v="KG"/>
    <n v="37"/>
    <s v="6119"/>
    <s v="SAFRINHA 2026"/>
    <n v="15"/>
    <n v="0"/>
    <n v="15"/>
    <n v="555"/>
    <m/>
    <s v="SINOP"/>
    <s v="33401152904"/>
    <n v="37"/>
    <n v="0"/>
  </r>
  <r>
    <d v="2025-07-02T16:50:36"/>
    <n v="3913"/>
    <x v="128"/>
    <d v="2025-07-02T00:00:00"/>
    <d v="2026-03-30T00:00:00"/>
    <x v="0"/>
    <x v="1"/>
    <s v="510200"/>
    <x v="10"/>
    <x v="1"/>
    <s v="LT"/>
    <n v="289"/>
    <s v="5489"/>
    <s v="SAFRA 25/26"/>
    <n v="105"/>
    <n v="0"/>
    <n v="105"/>
    <n v="30345"/>
    <m/>
    <s v="FELIZ NATAL"/>
    <s v="97543640104"/>
    <n v="289"/>
    <n v="0"/>
  </r>
  <r>
    <d v="2025-07-02T16:50:36"/>
    <n v="3913"/>
    <x v="128"/>
    <d v="2025-07-02T00:00:00"/>
    <d v="2026-03-30T00:00:00"/>
    <x v="0"/>
    <x v="1"/>
    <s v="510200"/>
    <x v="13"/>
    <x v="1"/>
    <s v="LT"/>
    <n v="39"/>
    <s v="5489"/>
    <s v="SAFRA 25/26"/>
    <n v="315"/>
    <n v="0"/>
    <n v="315"/>
    <n v="12285"/>
    <m/>
    <s v="FELIZ NATAL"/>
    <s v="97543640104"/>
    <n v="39"/>
    <n v="0"/>
  </r>
  <r>
    <d v="2025-07-02T16:50:36"/>
    <n v="3913"/>
    <x v="128"/>
    <d v="2025-07-02T00:00:00"/>
    <d v="2026-03-30T00:00:00"/>
    <x v="0"/>
    <x v="1"/>
    <s v="510200"/>
    <x v="11"/>
    <x v="1"/>
    <s v="LT"/>
    <n v="288"/>
    <s v="5489"/>
    <s v="SAFRA 25/26"/>
    <n v="105"/>
    <n v="0"/>
    <n v="105"/>
    <n v="30240"/>
    <m/>
    <s v="FELIZ NATAL"/>
    <s v="97543640104"/>
    <n v="288"/>
    <n v="0"/>
  </r>
  <r>
    <d v="2025-07-02T16:50:36"/>
    <n v="3913"/>
    <x v="128"/>
    <d v="2025-07-02T00:00:00"/>
    <d v="2026-03-30T00:00:00"/>
    <x v="0"/>
    <x v="1"/>
    <s v="510200"/>
    <x v="9"/>
    <x v="1"/>
    <s v="LT"/>
    <n v="47.25"/>
    <s v="5489"/>
    <s v="SAFRA 25/26"/>
    <n v="210"/>
    <n v="0"/>
    <n v="210"/>
    <n v="9922.5"/>
    <m/>
    <s v="FELIZ NATAL"/>
    <s v="97543640104"/>
    <n v="47.25"/>
    <n v="0"/>
  </r>
  <r>
    <d v="2025-07-02T16:50:36"/>
    <n v="3913"/>
    <x v="128"/>
    <d v="2025-07-02T00:00:00"/>
    <d v="2026-03-30T00:00:00"/>
    <x v="0"/>
    <x v="1"/>
    <s v="510200"/>
    <x v="14"/>
    <x v="1"/>
    <s v="KG"/>
    <n v="365"/>
    <s v="5489"/>
    <s v="SAFRA 25/26"/>
    <n v="105"/>
    <n v="0"/>
    <n v="105"/>
    <n v="38325"/>
    <m/>
    <s v="FELIZ NATAL"/>
    <s v="97543640104"/>
    <n v="365"/>
    <n v="0"/>
  </r>
  <r>
    <d v="2025-07-02T16:50:36"/>
    <n v="3913"/>
    <x v="128"/>
    <d v="2025-07-02T00:00:00"/>
    <d v="2026-03-30T00:00:00"/>
    <x v="0"/>
    <x v="1"/>
    <s v="510200"/>
    <x v="17"/>
    <x v="1"/>
    <s v="LT"/>
    <n v="39"/>
    <s v="5489"/>
    <s v="SAFRA 25/26"/>
    <n v="315"/>
    <n v="0"/>
    <n v="315"/>
    <n v="12285"/>
    <m/>
    <s v="FELIZ NATAL"/>
    <s v="97543640104"/>
    <n v="39"/>
    <n v="0"/>
  </r>
  <r>
    <d v="2025-07-02T16:54:09"/>
    <n v="3914"/>
    <x v="128"/>
    <d v="2025-07-02T00:00:00"/>
    <d v="2026-08-30T00:00:00"/>
    <x v="0"/>
    <x v="1"/>
    <s v="510200"/>
    <x v="9"/>
    <x v="1"/>
    <s v="LT"/>
    <n v="47.25"/>
    <s v="5490"/>
    <s v="SAFRINHA 2026"/>
    <n v="210"/>
    <n v="0"/>
    <n v="210"/>
    <n v="9922.5"/>
    <m/>
    <s v="FELIZ NATAL"/>
    <s v="97543640104"/>
    <n v="47.25"/>
    <n v="0"/>
  </r>
  <r>
    <d v="2025-07-02T16:54:09"/>
    <n v="3914"/>
    <x v="128"/>
    <d v="2025-07-02T00:00:00"/>
    <d v="2026-08-30T00:00:00"/>
    <x v="0"/>
    <x v="1"/>
    <s v="510200"/>
    <x v="11"/>
    <x v="1"/>
    <s v="LT"/>
    <n v="288"/>
    <s v="5490"/>
    <s v="SAFRINHA 2026"/>
    <n v="42"/>
    <n v="0"/>
    <n v="42"/>
    <n v="12096"/>
    <m/>
    <s v="FELIZ NATAL"/>
    <s v="97543640104"/>
    <n v="288"/>
    <n v="0"/>
  </r>
  <r>
    <d v="2025-07-02T16:54:09"/>
    <n v="3914"/>
    <x v="128"/>
    <d v="2025-07-02T00:00:00"/>
    <d v="2026-08-30T00:00:00"/>
    <x v="0"/>
    <x v="1"/>
    <s v="510200"/>
    <x v="10"/>
    <x v="1"/>
    <s v="LT"/>
    <n v="289"/>
    <s v="5490"/>
    <s v="SAFRINHA 2026"/>
    <n v="42"/>
    <n v="0"/>
    <n v="42"/>
    <n v="12138"/>
    <m/>
    <s v="FELIZ NATAL"/>
    <s v="97543640104"/>
    <n v="289"/>
    <n v="0"/>
  </r>
  <r>
    <d v="2025-07-02T16:54:09"/>
    <n v="3914"/>
    <x v="128"/>
    <d v="2025-07-02T00:00:00"/>
    <d v="2026-08-30T00:00:00"/>
    <x v="0"/>
    <x v="1"/>
    <s v="510200"/>
    <x v="48"/>
    <x v="1"/>
    <s v="LT"/>
    <n v="50"/>
    <s v="5490"/>
    <s v="SAFRINHA 2026"/>
    <n v="2100"/>
    <n v="0"/>
    <n v="2100"/>
    <n v="105000"/>
    <m/>
    <s v="FELIZ NATAL"/>
    <s v="97543640104"/>
    <n v="50"/>
    <n v="0"/>
  </r>
  <r>
    <d v="2025-07-02T16:54:09"/>
    <n v="3914"/>
    <x v="128"/>
    <d v="2025-07-02T00:00:00"/>
    <d v="2026-08-30T00:00:00"/>
    <x v="0"/>
    <x v="1"/>
    <s v="510200"/>
    <x v="18"/>
    <x v="1"/>
    <s v="KG"/>
    <n v="182.5"/>
    <s v="5490"/>
    <s v="SAFRINHA 2026"/>
    <n v="168"/>
    <n v="0"/>
    <n v="168"/>
    <n v="30660"/>
    <m/>
    <s v="FELIZ NATAL"/>
    <s v="97543640104"/>
    <n v="182.5"/>
    <n v="0"/>
  </r>
  <r>
    <d v="2025-07-02T17:04:41"/>
    <n v="3917"/>
    <x v="128"/>
    <d v="2025-07-02T00:00:00"/>
    <d v="2026-03-30T00:00:00"/>
    <x v="0"/>
    <x v="1"/>
    <s v="510200"/>
    <x v="14"/>
    <x v="1"/>
    <s v="KG"/>
    <n v="365"/>
    <s v="5497"/>
    <s v="SAFRA 25/26"/>
    <n v="150"/>
    <n v="0"/>
    <n v="150"/>
    <n v="54750"/>
    <m/>
    <s v="UNIAO DO SUL"/>
    <s v="97543640104"/>
    <n v="365"/>
    <n v="0"/>
  </r>
  <r>
    <d v="2025-07-02T17:04:41"/>
    <n v="3917"/>
    <x v="128"/>
    <d v="2025-07-02T00:00:00"/>
    <d v="2026-03-30T00:00:00"/>
    <x v="0"/>
    <x v="1"/>
    <s v="510200"/>
    <x v="9"/>
    <x v="1"/>
    <s v="LT"/>
    <n v="47.25"/>
    <s v="5497"/>
    <s v="SAFRA 25/26"/>
    <n v="300"/>
    <n v="0"/>
    <n v="300"/>
    <n v="14175"/>
    <m/>
    <s v="UNIAO DO SUL"/>
    <s v="97543640104"/>
    <n v="47.25"/>
    <n v="0"/>
  </r>
  <r>
    <d v="2025-07-02T17:04:41"/>
    <n v="3917"/>
    <x v="128"/>
    <d v="2025-07-02T00:00:00"/>
    <d v="2026-03-30T00:00:00"/>
    <x v="0"/>
    <x v="1"/>
    <s v="510200"/>
    <x v="17"/>
    <x v="1"/>
    <s v="LT"/>
    <n v="39"/>
    <s v="5497"/>
    <s v="SAFRA 25/26"/>
    <n v="450"/>
    <n v="0"/>
    <n v="450"/>
    <n v="17550"/>
    <m/>
    <s v="UNIAO DO SUL"/>
    <s v="97543640104"/>
    <n v="39"/>
    <n v="0"/>
  </r>
  <r>
    <d v="2025-07-02T17:04:41"/>
    <n v="3917"/>
    <x v="128"/>
    <d v="2025-07-02T00:00:00"/>
    <d v="2026-03-30T00:00:00"/>
    <x v="0"/>
    <x v="1"/>
    <s v="510200"/>
    <x v="13"/>
    <x v="1"/>
    <s v="LT"/>
    <n v="39"/>
    <s v="5497"/>
    <s v="SAFRA 25/26"/>
    <n v="450"/>
    <n v="0"/>
    <n v="450"/>
    <n v="17550"/>
    <m/>
    <s v="UNIAO DO SUL"/>
    <s v="97543640104"/>
    <n v="39"/>
    <n v="0"/>
  </r>
  <r>
    <d v="2025-07-02T17:04:41"/>
    <n v="3917"/>
    <x v="128"/>
    <d v="2025-07-02T00:00:00"/>
    <d v="2026-03-30T00:00:00"/>
    <x v="0"/>
    <x v="1"/>
    <s v="510200"/>
    <x v="11"/>
    <x v="1"/>
    <s v="LT"/>
    <n v="288"/>
    <s v="5497"/>
    <s v="SAFRA 25/26"/>
    <n v="150"/>
    <n v="0"/>
    <n v="150"/>
    <n v="43200"/>
    <m/>
    <s v="UNIAO DO SUL"/>
    <s v="97543640104"/>
    <n v="288"/>
    <n v="0"/>
  </r>
  <r>
    <d v="2025-07-02T17:04:41"/>
    <n v="3917"/>
    <x v="128"/>
    <d v="2025-07-02T00:00:00"/>
    <d v="2026-03-30T00:00:00"/>
    <x v="0"/>
    <x v="1"/>
    <s v="510200"/>
    <x v="10"/>
    <x v="1"/>
    <s v="LT"/>
    <n v="289"/>
    <s v="5497"/>
    <s v="SAFRA 25/26"/>
    <n v="150"/>
    <n v="0"/>
    <n v="150"/>
    <n v="43350"/>
    <m/>
    <s v="UNIAO DO SUL"/>
    <s v="97543640104"/>
    <n v="289"/>
    <n v="0"/>
  </r>
  <r>
    <d v="2025-07-02T17:07:30"/>
    <n v="3918"/>
    <x v="128"/>
    <d v="2025-07-02T00:00:00"/>
    <d v="2026-08-30T00:00:00"/>
    <x v="0"/>
    <x v="1"/>
    <s v="510200"/>
    <x v="10"/>
    <x v="1"/>
    <s v="LT"/>
    <n v="289"/>
    <s v="5494"/>
    <s v="SAFRINHA 2026"/>
    <n v="60"/>
    <n v="0"/>
    <n v="60"/>
    <n v="17340"/>
    <m/>
    <s v="UNIAO DO SUL"/>
    <s v="97543640104"/>
    <n v="289"/>
    <n v="0"/>
  </r>
  <r>
    <d v="2025-07-02T17:07:30"/>
    <n v="3918"/>
    <x v="128"/>
    <d v="2025-07-02T00:00:00"/>
    <d v="2026-08-30T00:00:00"/>
    <x v="0"/>
    <x v="1"/>
    <s v="510200"/>
    <x v="11"/>
    <x v="1"/>
    <s v="LT"/>
    <n v="288"/>
    <s v="5494"/>
    <s v="SAFRINHA 2026"/>
    <n v="60"/>
    <n v="0"/>
    <n v="60"/>
    <n v="17280"/>
    <m/>
    <s v="UNIAO DO SUL"/>
    <s v="97543640104"/>
    <n v="288"/>
    <n v="0"/>
  </r>
  <r>
    <d v="2025-07-02T17:07:30"/>
    <n v="3918"/>
    <x v="128"/>
    <d v="2025-07-02T00:00:00"/>
    <d v="2026-08-30T00:00:00"/>
    <x v="0"/>
    <x v="1"/>
    <s v="510200"/>
    <x v="9"/>
    <x v="1"/>
    <s v="LT"/>
    <n v="47.25"/>
    <s v="5494"/>
    <s v="SAFRINHA 2026"/>
    <n v="300"/>
    <n v="0"/>
    <n v="300"/>
    <n v="14175"/>
    <m/>
    <s v="UNIAO DO SUL"/>
    <s v="97543640104"/>
    <n v="47.25"/>
    <n v="0"/>
  </r>
  <r>
    <d v="2025-07-02T17:07:30"/>
    <n v="3918"/>
    <x v="128"/>
    <d v="2025-07-02T00:00:00"/>
    <d v="2026-08-30T00:00:00"/>
    <x v="0"/>
    <x v="1"/>
    <s v="510200"/>
    <x v="48"/>
    <x v="1"/>
    <s v="LT"/>
    <n v="50"/>
    <s v="5494"/>
    <s v="SAFRINHA 2026"/>
    <n v="3000"/>
    <n v="0"/>
    <n v="3000"/>
    <n v="150000"/>
    <m/>
    <s v="UNIAO DO SUL"/>
    <s v="97543640104"/>
    <n v="50"/>
    <n v="0"/>
  </r>
  <r>
    <d v="2025-07-02T17:07:30"/>
    <n v="3918"/>
    <x v="128"/>
    <d v="2025-07-02T00:00:00"/>
    <d v="2026-08-30T00:00:00"/>
    <x v="0"/>
    <x v="1"/>
    <s v="510200"/>
    <x v="18"/>
    <x v="1"/>
    <s v="KG"/>
    <n v="182.5"/>
    <s v="5494"/>
    <s v="SAFRINHA 2026"/>
    <n v="240"/>
    <n v="0"/>
    <n v="240"/>
    <n v="43800"/>
    <m/>
    <s v="UNIAO DO SUL"/>
    <s v="97543640104"/>
    <n v="182.5"/>
    <n v="0"/>
  </r>
  <r>
    <d v="2025-10-28T10:55:35"/>
    <n v="4217"/>
    <x v="128"/>
    <d v="2025-10-28T00:00:00"/>
    <d v="2026-03-30T00:00:00"/>
    <x v="0"/>
    <x v="0"/>
    <s v="510200"/>
    <x v="34"/>
    <x v="2"/>
    <s v="LT"/>
    <n v="39"/>
    <s v="5763"/>
    <s v="SAFRA 25/26"/>
    <n v="48"/>
    <n v="0"/>
    <n v="48"/>
    <n v="1872"/>
    <m/>
    <s v="UNIAO DO SUL"/>
    <s v="97543640104"/>
    <n v="39"/>
    <n v="0"/>
  </r>
  <r>
    <d v="2025-10-28T10:55:35"/>
    <n v="4217"/>
    <x v="128"/>
    <d v="2025-10-28T00:00:00"/>
    <d v="2026-03-30T00:00:00"/>
    <x v="0"/>
    <x v="1"/>
    <s v="510200"/>
    <x v="11"/>
    <x v="1"/>
    <s v="LT"/>
    <n v="288"/>
    <s v="5763"/>
    <s v="SAFRA 25/26"/>
    <n v="15"/>
    <n v="0"/>
    <n v="15"/>
    <n v="4320"/>
    <m/>
    <s v="UNIAO DO SUL"/>
    <s v="97543640104"/>
    <n v="288"/>
    <n v="0"/>
  </r>
  <r>
    <d v="2025-10-28T10:55:35"/>
    <n v="4217"/>
    <x v="128"/>
    <d v="2025-10-28T00:00:00"/>
    <d v="2026-03-30T00:00:00"/>
    <x v="0"/>
    <x v="1"/>
    <s v="510200"/>
    <x v="10"/>
    <x v="1"/>
    <s v="LT"/>
    <n v="289"/>
    <s v="5763"/>
    <s v="SAFRA 25/26"/>
    <n v="15"/>
    <n v="0"/>
    <n v="15"/>
    <n v="4335"/>
    <m/>
    <s v="UNIAO DO SUL"/>
    <s v="97543640104"/>
    <n v="289"/>
    <n v="0"/>
  </r>
  <r>
    <d v="2025-10-28T10:55:35"/>
    <n v="4217"/>
    <x v="128"/>
    <d v="2025-10-28T00:00:00"/>
    <d v="2026-03-30T00:00:00"/>
    <x v="0"/>
    <x v="1"/>
    <s v="510200"/>
    <x v="14"/>
    <x v="1"/>
    <s v="KG"/>
    <n v="365"/>
    <s v="5763"/>
    <s v="SAFRA 25/26"/>
    <n v="15"/>
    <n v="0"/>
    <n v="15"/>
    <n v="5475"/>
    <m/>
    <s v="UNIAO DO SUL"/>
    <s v="97543640104"/>
    <n v="365"/>
    <n v="0"/>
  </r>
  <r>
    <d v="2025-10-28T10:55:35"/>
    <n v="4217"/>
    <x v="128"/>
    <d v="2025-10-28T00:00:00"/>
    <d v="2026-03-30T00:00:00"/>
    <x v="0"/>
    <x v="1"/>
    <s v="510200"/>
    <x v="9"/>
    <x v="1"/>
    <s v="LT"/>
    <n v="47.25"/>
    <s v="5763"/>
    <s v="SAFRA 25/26"/>
    <n v="27"/>
    <n v="0"/>
    <n v="27"/>
    <n v="1275.75"/>
    <m/>
    <s v="UNIAO DO SUL"/>
    <s v="97543640104"/>
    <n v="47.25"/>
    <n v="0"/>
  </r>
  <r>
    <d v="2025-10-28T10:55:35"/>
    <n v="4217"/>
    <x v="128"/>
    <d v="2025-10-28T00:00:00"/>
    <d v="2026-03-30T00:00:00"/>
    <x v="0"/>
    <x v="1"/>
    <s v="510200"/>
    <x v="13"/>
    <x v="1"/>
    <s v="LT"/>
    <n v="39"/>
    <s v="5763"/>
    <s v="SAFRA 25/26"/>
    <n v="42"/>
    <n v="0"/>
    <n v="42"/>
    <n v="1638"/>
    <m/>
    <s v="UNIAO DO SUL"/>
    <s v="97543640104"/>
    <n v="39"/>
    <n v="0"/>
  </r>
  <r>
    <d v="2025-10-29T08:54:58"/>
    <n v="4218"/>
    <x v="128"/>
    <d v="2025-10-29T00:00:00"/>
    <d v="2026-03-30T00:00:00"/>
    <x v="0"/>
    <x v="0"/>
    <s v="510200"/>
    <x v="100"/>
    <x v="2"/>
    <s v="LT"/>
    <n v="205"/>
    <s v="5764"/>
    <s v="SAFRA 25/26"/>
    <n v="5"/>
    <n v="0"/>
    <n v="5"/>
    <n v="1025"/>
    <m/>
    <s v="UNIAO DO SUL"/>
    <s v="97543640104"/>
    <n v="205"/>
    <n v="0"/>
  </r>
  <r>
    <d v="2025-12-02T07:59:43"/>
    <n v="4314"/>
    <x v="128"/>
    <d v="2025-12-02T00:00:00"/>
    <d v="2026-03-30T00:00:00"/>
    <x v="0"/>
    <x v="0"/>
    <s v="510200"/>
    <x v="21"/>
    <x v="2"/>
    <s v="KG"/>
    <n v="37"/>
    <s v="5829"/>
    <s v="SAFRA 25/26"/>
    <n v="30"/>
    <n v="0"/>
    <n v="30"/>
    <n v="1110"/>
    <m/>
    <s v="UNIAO DO SUL"/>
    <s v="97543640104"/>
    <n v="37"/>
    <n v="0"/>
  </r>
  <r>
    <d v="2025-12-01T14:25:03"/>
    <n v="439"/>
    <x v="129"/>
    <d v="2025-12-01T00:00:00"/>
    <d v="2026-09-30T00:00:00"/>
    <x v="13"/>
    <x v="2"/>
    <s v="510200"/>
    <x v="18"/>
    <x v="1"/>
    <s v="KG"/>
    <n v="187"/>
    <s v="417"/>
    <s v="SAFRINHA 2026"/>
    <n v="31"/>
    <n v="0"/>
    <n v="31"/>
    <n v="5797"/>
    <m/>
    <s v="UNIAO DO SUL"/>
    <s v="00903746905"/>
    <n v="187"/>
    <n v="0"/>
  </r>
  <r>
    <d v="2025-12-01T14:25:03"/>
    <n v="439"/>
    <x v="129"/>
    <d v="2025-12-01T00:00:00"/>
    <d v="2026-09-30T00:00:00"/>
    <x v="13"/>
    <x v="2"/>
    <s v="510200"/>
    <x v="11"/>
    <x v="1"/>
    <s v="LT"/>
    <n v="300"/>
    <s v="417"/>
    <s v="SAFRINHA 2026"/>
    <n v="25"/>
    <n v="0"/>
    <n v="25"/>
    <n v="7500"/>
    <m/>
    <s v="UNIAO DO SUL"/>
    <s v="00903746905"/>
    <n v="300"/>
    <n v="0"/>
  </r>
  <r>
    <d v="2025-12-05T09:22:48"/>
    <n v="446"/>
    <x v="129"/>
    <d v="2025-12-05T00:00:00"/>
    <d v="2026-09-30T00:00:00"/>
    <x v="13"/>
    <x v="2"/>
    <s v="510200"/>
    <x v="11"/>
    <x v="1"/>
    <s v="LT"/>
    <n v="300"/>
    <s v="457"/>
    <s v="SAFRINHA 2026"/>
    <n v="2"/>
    <n v="0"/>
    <n v="2"/>
    <n v="600"/>
    <m/>
    <s v="UNIAO DO SUL"/>
    <s v="00903746905"/>
    <n v="300"/>
    <n v="0"/>
  </r>
  <r>
    <d v="2025-12-05T09:22:48"/>
    <n v="446"/>
    <x v="129"/>
    <d v="2025-12-05T00:00:00"/>
    <d v="2026-09-30T00:00:00"/>
    <x v="13"/>
    <x v="2"/>
    <s v="510200"/>
    <x v="18"/>
    <x v="1"/>
    <s v="KG"/>
    <n v="187"/>
    <s v="457"/>
    <s v="SAFRINHA 2026"/>
    <n v="3"/>
    <n v="0"/>
    <n v="3"/>
    <n v="561"/>
    <m/>
    <s v="UNIAO DO SUL"/>
    <s v="00903746905"/>
    <n v="187"/>
    <n v="0"/>
  </r>
  <r>
    <d v="2026-03-09T13:05:15"/>
    <n v="4646"/>
    <x v="130"/>
    <d v="2026-03-09T00:00:00"/>
    <d v="2026-03-18T00:00:00"/>
    <x v="3"/>
    <x v="0"/>
    <s v="510200"/>
    <x v="21"/>
    <x v="2"/>
    <s v="KG"/>
    <n v="46"/>
    <s v="6122"/>
    <s v="SAFRINHA 2026"/>
    <n v="150"/>
    <n v="0"/>
    <n v="150"/>
    <n v="6900"/>
    <m/>
    <s v="SORRISO"/>
    <s v="04804104020"/>
    <n v="46"/>
    <n v="0"/>
  </r>
  <r>
    <d v="2025-08-04T15:23:33"/>
    <n v="3961"/>
    <x v="131"/>
    <d v="2025-08-04T00:00:00"/>
    <d v="2026-03-30T00:00:00"/>
    <x v="0"/>
    <x v="0"/>
    <s v="510200"/>
    <x v="0"/>
    <x v="0"/>
    <s v="LT"/>
    <n v="18"/>
    <s v="5500"/>
    <s v="SAFRA 25/26"/>
    <n v="1260"/>
    <n v="0"/>
    <n v="1260"/>
    <n v="22680"/>
    <m/>
    <s v="NOVA UBIRATA"/>
    <s v="02349167968"/>
    <n v="18"/>
    <n v="0"/>
  </r>
  <r>
    <d v="2025-08-04T15:23:33"/>
    <n v="3961"/>
    <x v="131"/>
    <d v="2025-08-04T00:00:00"/>
    <d v="2026-03-30T00:00:00"/>
    <x v="0"/>
    <x v="0"/>
    <s v="510200"/>
    <x v="3"/>
    <x v="0"/>
    <s v="LT"/>
    <n v="25"/>
    <s v="5500"/>
    <s v="SAFRA 25/26"/>
    <n v="1260"/>
    <n v="0"/>
    <n v="1260"/>
    <n v="31500"/>
    <m/>
    <s v="NOVA UBIRATA"/>
    <s v="02349167968"/>
    <n v="25"/>
    <n v="0"/>
  </r>
  <r>
    <d v="2025-08-04T15:23:33"/>
    <n v="3961"/>
    <x v="131"/>
    <d v="2025-08-04T00:00:00"/>
    <d v="2026-03-30T00:00:00"/>
    <x v="0"/>
    <x v="0"/>
    <s v="510200"/>
    <x v="8"/>
    <x v="0"/>
    <s v="KG"/>
    <n v="95"/>
    <s v="5500"/>
    <s v="SAFRA 25/26"/>
    <n v="132"/>
    <n v="0"/>
    <n v="132"/>
    <n v="12540"/>
    <m/>
    <s v="NOVA UBIRATA"/>
    <s v="02349167968"/>
    <n v="95"/>
    <n v="0"/>
  </r>
  <r>
    <d v="2025-08-04T15:23:33"/>
    <n v="3961"/>
    <x v="131"/>
    <d v="2025-08-04T00:00:00"/>
    <d v="2026-03-30T00:00:00"/>
    <x v="0"/>
    <x v="0"/>
    <s v="510200"/>
    <x v="2"/>
    <x v="0"/>
    <s v="KG"/>
    <n v="25"/>
    <s v="5500"/>
    <s v="SAFRA 25/26"/>
    <n v="2520"/>
    <n v="0"/>
    <n v="2520"/>
    <n v="63000"/>
    <m/>
    <s v="NOVA UBIRATA"/>
    <s v="02349167968"/>
    <n v="25"/>
    <n v="0"/>
  </r>
  <r>
    <d v="2025-08-04T15:23:33"/>
    <n v="3961"/>
    <x v="131"/>
    <d v="2025-08-04T00:00:00"/>
    <d v="2026-03-30T00:00:00"/>
    <x v="0"/>
    <x v="0"/>
    <s v="510200"/>
    <x v="1"/>
    <x v="0"/>
    <s v="LT"/>
    <n v="170"/>
    <s v="5500"/>
    <s v="SAFRA 25/26"/>
    <n v="260"/>
    <n v="0"/>
    <n v="260"/>
    <n v="44200"/>
    <m/>
    <s v="NOVA UBIRATA"/>
    <s v="02349167968"/>
    <n v="170"/>
    <n v="0"/>
  </r>
  <r>
    <d v="2025-08-04T15:23:33"/>
    <n v="3961"/>
    <x v="131"/>
    <d v="2025-08-04T00:00:00"/>
    <d v="2026-03-30T00:00:00"/>
    <x v="0"/>
    <x v="0"/>
    <s v="510200"/>
    <x v="6"/>
    <x v="0"/>
    <s v="LT"/>
    <n v="73"/>
    <s v="5500"/>
    <s v="SAFRA 25/26"/>
    <n v="315"/>
    <n v="0"/>
    <n v="315"/>
    <n v="22995"/>
    <m/>
    <s v="NOVA UBIRATA"/>
    <s v="02349167968"/>
    <n v="73"/>
    <n v="0"/>
  </r>
  <r>
    <d v="2025-08-04T15:23:33"/>
    <n v="3961"/>
    <x v="131"/>
    <d v="2025-08-04T00:00:00"/>
    <d v="2026-03-30T00:00:00"/>
    <x v="0"/>
    <x v="0"/>
    <s v="510200"/>
    <x v="41"/>
    <x v="0"/>
    <s v="LT"/>
    <n v="87"/>
    <s v="5500"/>
    <s v="SAFRA 25/26"/>
    <n v="380"/>
    <n v="0"/>
    <n v="380"/>
    <n v="33060"/>
    <m/>
    <s v="NOVA UBIRATA"/>
    <s v="02349167968"/>
    <n v="87"/>
    <n v="0"/>
  </r>
  <r>
    <d v="2025-08-04T15:23:33"/>
    <n v="3961"/>
    <x v="131"/>
    <d v="2025-08-04T00:00:00"/>
    <d v="2026-03-30T00:00:00"/>
    <x v="0"/>
    <x v="0"/>
    <s v="510200"/>
    <x v="5"/>
    <x v="0"/>
    <s v="KG"/>
    <n v="27"/>
    <s v="5500"/>
    <s v="SAFRA 25/26"/>
    <n v="1260"/>
    <n v="0"/>
    <n v="1260"/>
    <n v="34020"/>
    <m/>
    <s v="NOVA UBIRATA"/>
    <s v="02349167968"/>
    <n v="27"/>
    <n v="0"/>
  </r>
  <r>
    <d v="2025-08-04T15:23:33"/>
    <n v="3961"/>
    <x v="131"/>
    <d v="2025-08-04T00:00:00"/>
    <d v="2026-03-30T00:00:00"/>
    <x v="0"/>
    <x v="0"/>
    <s v="510200"/>
    <x v="7"/>
    <x v="0"/>
    <s v="LT"/>
    <n v="73"/>
    <s v="5500"/>
    <s v="SAFRA 25/26"/>
    <n v="190"/>
    <n v="0"/>
    <n v="190"/>
    <n v="13870"/>
    <m/>
    <s v="NOVA UBIRATA"/>
    <s v="02349167968"/>
    <n v="73"/>
    <n v="0"/>
  </r>
  <r>
    <d v="2025-08-04T15:23:33"/>
    <n v="3961"/>
    <x v="131"/>
    <d v="2025-08-04T00:00:00"/>
    <d v="2026-03-30T00:00:00"/>
    <x v="0"/>
    <x v="0"/>
    <s v="510200"/>
    <x v="4"/>
    <x v="0"/>
    <s v="KG"/>
    <n v="28"/>
    <s v="5500"/>
    <s v="SAFRA 25/26"/>
    <n v="1900"/>
    <n v="0"/>
    <n v="1900"/>
    <n v="53200"/>
    <m/>
    <s v="NOVA UBIRATA"/>
    <s v="02349167968"/>
    <n v="28"/>
    <n v="0"/>
  </r>
  <r>
    <d v="2025-08-04T15:45:31"/>
    <n v="3962"/>
    <x v="131"/>
    <d v="2025-08-04T00:00:00"/>
    <d v="2026-03-30T00:00:00"/>
    <x v="0"/>
    <x v="1"/>
    <s v="510200"/>
    <x v="18"/>
    <x v="1"/>
    <s v="KG"/>
    <n v="205"/>
    <s v="5526"/>
    <s v="SAFRA 25/26"/>
    <n v="126"/>
    <n v="0"/>
    <n v="126"/>
    <n v="25830"/>
    <m/>
    <s v="NOVA UBIRATA"/>
    <s v="02349167968"/>
    <n v="205"/>
    <n v="0"/>
  </r>
  <r>
    <d v="2025-08-04T15:45:31"/>
    <n v="3962"/>
    <x v="131"/>
    <d v="2025-08-04T00:00:00"/>
    <d v="2026-03-30T00:00:00"/>
    <x v="0"/>
    <x v="1"/>
    <s v="510200"/>
    <x v="10"/>
    <x v="1"/>
    <s v="LT"/>
    <n v="345"/>
    <s v="5526"/>
    <s v="SAFRA 25/26"/>
    <n v="63"/>
    <n v="0"/>
    <n v="63"/>
    <n v="21735"/>
    <m/>
    <s v="NOVA UBIRATA"/>
    <s v="02349167968"/>
    <n v="345"/>
    <n v="0"/>
  </r>
  <r>
    <d v="2025-08-04T15:45:31"/>
    <n v="3962"/>
    <x v="131"/>
    <d v="2025-08-04T00:00:00"/>
    <d v="2026-03-30T00:00:00"/>
    <x v="0"/>
    <x v="1"/>
    <s v="510200"/>
    <x v="11"/>
    <x v="1"/>
    <s v="LT"/>
    <n v="345"/>
    <s v="5526"/>
    <s v="SAFRA 25/26"/>
    <n v="63"/>
    <n v="0"/>
    <n v="63"/>
    <n v="21735"/>
    <m/>
    <s v="NOVA UBIRATA"/>
    <s v="02349167968"/>
    <n v="345"/>
    <n v="0"/>
  </r>
  <r>
    <d v="2025-08-04T15:45:31"/>
    <n v="3962"/>
    <x v="131"/>
    <d v="2025-08-04T00:00:00"/>
    <d v="2026-03-30T00:00:00"/>
    <x v="0"/>
    <x v="1"/>
    <s v="510200"/>
    <x v="9"/>
    <x v="1"/>
    <s v="LT"/>
    <n v="52"/>
    <s v="5526"/>
    <s v="SAFRA 25/26"/>
    <n v="126"/>
    <n v="0"/>
    <n v="126"/>
    <n v="6552"/>
    <m/>
    <s v="NOVA UBIRATA"/>
    <s v="02349167968"/>
    <n v="52"/>
    <n v="0"/>
  </r>
  <r>
    <d v="2025-08-04T15:45:31"/>
    <n v="3962"/>
    <x v="131"/>
    <d v="2025-08-04T00:00:00"/>
    <d v="2026-03-30T00:00:00"/>
    <x v="0"/>
    <x v="1"/>
    <s v="510200"/>
    <x v="13"/>
    <x v="1"/>
    <s v="LT"/>
    <n v="48"/>
    <s v="5526"/>
    <s v="SAFRA 25/26"/>
    <n v="126"/>
    <n v="0"/>
    <n v="126"/>
    <n v="6048"/>
    <m/>
    <s v="NOVA UBIRATA"/>
    <s v="02349167968"/>
    <n v="48"/>
    <n v="0"/>
  </r>
  <r>
    <d v="2025-08-04T15:45:31"/>
    <n v="3962"/>
    <x v="131"/>
    <d v="2025-08-04T00:00:00"/>
    <d v="2026-03-30T00:00:00"/>
    <x v="0"/>
    <x v="0"/>
    <s v="510200"/>
    <x v="12"/>
    <x v="0"/>
    <s v="LT"/>
    <n v="250"/>
    <s v="5526"/>
    <s v="SAFRA 25/26"/>
    <n v="130"/>
    <n v="0"/>
    <n v="130"/>
    <n v="32500"/>
    <m/>
    <s v="NOVA UBIRATA"/>
    <s v="02349167968"/>
    <n v="250"/>
    <n v="0"/>
  </r>
  <r>
    <d v="2025-08-04T16:03:40"/>
    <n v="3963"/>
    <x v="131"/>
    <d v="2025-08-04T00:00:00"/>
    <d v="2026-08-30T00:00:00"/>
    <x v="0"/>
    <x v="0"/>
    <s v="510200"/>
    <x v="2"/>
    <x v="0"/>
    <s v="KG"/>
    <n v="25"/>
    <s v="5527"/>
    <s v="SAFRINHA 2026"/>
    <n v="2520"/>
    <n v="0"/>
    <n v="2520"/>
    <n v="63000"/>
    <m/>
    <s v="NOVA UBIRATA"/>
    <s v="02349167968"/>
    <n v="25"/>
    <n v="0"/>
  </r>
  <r>
    <d v="2025-08-04T16:03:40"/>
    <n v="3963"/>
    <x v="131"/>
    <d v="2025-08-04T00:00:00"/>
    <d v="2026-08-30T00:00:00"/>
    <x v="0"/>
    <x v="0"/>
    <s v="510200"/>
    <x v="3"/>
    <x v="0"/>
    <s v="LT"/>
    <n v="25"/>
    <s v="5527"/>
    <s v="SAFRINHA 2026"/>
    <n v="1260"/>
    <n v="360"/>
    <n v="900"/>
    <n v="22500"/>
    <m/>
    <s v="NOVA UBIRATA"/>
    <s v="02349167968"/>
    <n v="25"/>
    <n v="0"/>
  </r>
  <r>
    <d v="2025-08-04T16:03:40"/>
    <n v="3963"/>
    <x v="131"/>
    <d v="2025-08-04T00:00:00"/>
    <d v="2026-08-30T00:00:00"/>
    <x v="0"/>
    <x v="0"/>
    <s v="510200"/>
    <x v="4"/>
    <x v="0"/>
    <s v="KG"/>
    <n v="28"/>
    <s v="5527"/>
    <s v="SAFRINHA 2026"/>
    <n v="1890"/>
    <n v="0"/>
    <n v="1890"/>
    <n v="52920"/>
    <m/>
    <s v="NOVA UBIRATA"/>
    <s v="02349167968"/>
    <n v="28"/>
    <n v="0"/>
  </r>
  <r>
    <d v="2025-08-04T16:03:40"/>
    <n v="3963"/>
    <x v="131"/>
    <d v="2025-08-04T00:00:00"/>
    <d v="2026-08-30T00:00:00"/>
    <x v="0"/>
    <x v="0"/>
    <s v="510200"/>
    <x v="0"/>
    <x v="0"/>
    <s v="LT"/>
    <n v="18"/>
    <s v="5527"/>
    <s v="SAFRINHA 2026"/>
    <n v="1900"/>
    <n v="0"/>
    <n v="1900"/>
    <n v="34200"/>
    <m/>
    <s v="NOVA UBIRATA"/>
    <s v="02349167968"/>
    <n v="18"/>
    <n v="0"/>
  </r>
  <r>
    <d v="2025-08-04T16:03:40"/>
    <n v="3963"/>
    <x v="131"/>
    <d v="2025-08-04T00:00:00"/>
    <d v="2026-08-30T00:00:00"/>
    <x v="0"/>
    <x v="1"/>
    <s v="510200"/>
    <x v="18"/>
    <x v="1"/>
    <s v="KG"/>
    <n v="205"/>
    <s v="5527"/>
    <s v="SAFRINHA 2026"/>
    <n v="101"/>
    <n v="0"/>
    <n v="101"/>
    <n v="20705"/>
    <m/>
    <s v="NOVA UBIRATA"/>
    <s v="02349167968"/>
    <n v="205"/>
    <n v="0"/>
  </r>
  <r>
    <d v="2025-08-04T16:03:40"/>
    <n v="3963"/>
    <x v="131"/>
    <d v="2025-08-04T00:00:00"/>
    <d v="2026-08-30T00:00:00"/>
    <x v="0"/>
    <x v="1"/>
    <s v="510200"/>
    <x v="10"/>
    <x v="1"/>
    <s v="LT"/>
    <n v="345"/>
    <s v="5527"/>
    <s v="SAFRINHA 2026"/>
    <n v="26"/>
    <n v="0"/>
    <n v="26"/>
    <n v="8970"/>
    <m/>
    <s v="NOVA UBIRATA"/>
    <s v="02349167968"/>
    <n v="345"/>
    <n v="0"/>
  </r>
  <r>
    <d v="2025-08-04T16:03:40"/>
    <n v="3963"/>
    <x v="131"/>
    <d v="2025-08-04T00:00:00"/>
    <d v="2026-08-30T00:00:00"/>
    <x v="0"/>
    <x v="1"/>
    <s v="510200"/>
    <x v="11"/>
    <x v="1"/>
    <s v="LT"/>
    <n v="345"/>
    <s v="5527"/>
    <s v="SAFRINHA 2026"/>
    <n v="26"/>
    <n v="0"/>
    <n v="26"/>
    <n v="8970"/>
    <m/>
    <s v="NOVA UBIRATA"/>
    <s v="02349167968"/>
    <n v="345"/>
    <n v="0"/>
  </r>
  <r>
    <d v="2025-08-04T16:03:40"/>
    <n v="3963"/>
    <x v="131"/>
    <d v="2025-08-04T00:00:00"/>
    <d v="2026-08-30T00:00:00"/>
    <x v="0"/>
    <x v="1"/>
    <s v="510200"/>
    <x v="9"/>
    <x v="1"/>
    <s v="LT"/>
    <n v="52"/>
    <s v="5527"/>
    <s v="SAFRINHA 2026"/>
    <n v="126"/>
    <n v="0"/>
    <n v="126"/>
    <n v="6552"/>
    <m/>
    <s v="NOVA UBIRATA"/>
    <s v="02349167968"/>
    <n v="52"/>
    <n v="0"/>
  </r>
  <r>
    <d v="2025-08-04T16:03:40"/>
    <n v="3963"/>
    <x v="131"/>
    <d v="2025-08-04T00:00:00"/>
    <d v="2026-08-30T00:00:00"/>
    <x v="0"/>
    <x v="0"/>
    <s v="510200"/>
    <x v="12"/>
    <x v="0"/>
    <s v="LT"/>
    <n v="245"/>
    <s v="5527"/>
    <s v="SAFRINHA 2026"/>
    <n v="130"/>
    <n v="0"/>
    <n v="130"/>
    <n v="31850"/>
    <m/>
    <s v="NOVA UBIRATA"/>
    <s v="02349167968"/>
    <n v="245"/>
    <n v="0"/>
  </r>
  <r>
    <d v="2025-08-04T16:03:40"/>
    <n v="3963"/>
    <x v="131"/>
    <d v="2025-08-04T00:00:00"/>
    <d v="2026-08-30T00:00:00"/>
    <x v="0"/>
    <x v="0"/>
    <s v="510200"/>
    <x v="6"/>
    <x v="0"/>
    <s v="LT"/>
    <n v="73"/>
    <s v="5527"/>
    <s v="SAFRINHA 2026"/>
    <n v="260"/>
    <n v="0"/>
    <n v="260"/>
    <n v="18980"/>
    <m/>
    <s v="NOVA UBIRATA"/>
    <s v="02349167968"/>
    <n v="73"/>
    <n v="0"/>
  </r>
  <r>
    <d v="2025-08-04T16:03:40"/>
    <n v="3963"/>
    <x v="131"/>
    <d v="2025-08-04T00:00:00"/>
    <d v="2026-08-30T00:00:00"/>
    <x v="0"/>
    <x v="0"/>
    <s v="510200"/>
    <x v="7"/>
    <x v="0"/>
    <s v="LT"/>
    <n v="73"/>
    <s v="5527"/>
    <s v="SAFRINHA 2026"/>
    <n v="130"/>
    <n v="0"/>
    <n v="130"/>
    <n v="9490"/>
    <m/>
    <s v="NOVA UBIRATA"/>
    <s v="02349167968"/>
    <n v="73"/>
    <n v="0"/>
  </r>
  <r>
    <d v="2025-08-04T16:03:40"/>
    <n v="3963"/>
    <x v="131"/>
    <d v="2025-08-04T00:00:00"/>
    <d v="2026-08-30T00:00:00"/>
    <x v="0"/>
    <x v="0"/>
    <s v="510200"/>
    <x v="1"/>
    <x v="0"/>
    <s v="LT"/>
    <n v="170"/>
    <s v="5527"/>
    <s v="SAFRINHA 2026"/>
    <n v="140"/>
    <n v="0"/>
    <n v="140"/>
    <n v="23800"/>
    <m/>
    <s v="NOVA UBIRATA"/>
    <s v="02349167968"/>
    <n v="170"/>
    <n v="0"/>
  </r>
  <r>
    <d v="2025-09-25T10:20:09"/>
    <n v="4090"/>
    <x v="131"/>
    <d v="2025-09-25T00:00:00"/>
    <d v="2026-03-30T00:00:00"/>
    <x v="0"/>
    <x v="0"/>
    <s v="510200"/>
    <x v="64"/>
    <x v="2"/>
    <s v="LT"/>
    <n v="11"/>
    <s v="5629"/>
    <s v="SAFRA 25/26"/>
    <n v="500"/>
    <n v="0"/>
    <n v="500"/>
    <n v="5500"/>
    <m/>
    <s v="NOVA UBIRATA"/>
    <s v="02349167968"/>
    <n v="11"/>
    <n v="0"/>
  </r>
  <r>
    <d v="2025-10-14T16:32:25"/>
    <n v="4160"/>
    <x v="131"/>
    <d v="2025-10-14T00:00:00"/>
    <d v="2026-03-30T00:00:00"/>
    <x v="0"/>
    <x v="1"/>
    <s v="510200"/>
    <x v="13"/>
    <x v="1"/>
    <s v="LT"/>
    <n v="48"/>
    <s v="5681"/>
    <s v="SAFRA 25/26"/>
    <n v="72"/>
    <n v="0"/>
    <n v="72"/>
    <n v="3456"/>
    <m/>
    <s v="NOVA UBIRATA"/>
    <s v="02349167968"/>
    <n v="48"/>
    <n v="0"/>
  </r>
  <r>
    <d v="2025-10-15T13:01:49"/>
    <n v="4164"/>
    <x v="131"/>
    <d v="2025-10-15T00:00:00"/>
    <d v="2026-03-30T00:00:00"/>
    <x v="0"/>
    <x v="0"/>
    <s v="510200"/>
    <x v="64"/>
    <x v="2"/>
    <s v="LT"/>
    <n v="11"/>
    <s v="5682"/>
    <s v="SAFRA 25/26"/>
    <n v="250"/>
    <n v="0"/>
    <n v="250"/>
    <n v="2750"/>
    <m/>
    <s v="NOVA UBIRATA"/>
    <s v="02349167968"/>
    <n v="11"/>
    <n v="0"/>
  </r>
  <r>
    <d v="2025-11-14T08:24:14"/>
    <n v="4267"/>
    <x v="131"/>
    <d v="2025-11-14T00:00:00"/>
    <d v="2026-03-30T00:00:00"/>
    <x v="0"/>
    <x v="0"/>
    <s v="510200"/>
    <x v="3"/>
    <x v="0"/>
    <s v="LT"/>
    <n v="25"/>
    <s v="5811"/>
    <s v="SAFRA 25/26"/>
    <n v="320"/>
    <n v="0"/>
    <n v="320"/>
    <n v="8000"/>
    <m/>
    <s v="NOVA UBIRATA"/>
    <s v="02349167968"/>
    <n v="25"/>
    <n v="0"/>
  </r>
  <r>
    <d v="2025-11-14T08:24:14"/>
    <n v="4267"/>
    <x v="131"/>
    <d v="2025-11-14T00:00:00"/>
    <d v="2026-03-30T00:00:00"/>
    <x v="0"/>
    <x v="0"/>
    <s v="510200"/>
    <x v="58"/>
    <x v="2"/>
    <s v="LT"/>
    <n v="24"/>
    <s v="5811"/>
    <s v="SAFRA 25/26"/>
    <n v="60"/>
    <n v="0"/>
    <n v="60"/>
    <n v="1440"/>
    <m/>
    <s v="NOVA UBIRATA"/>
    <s v="02349167968"/>
    <n v="24"/>
    <n v="0"/>
  </r>
  <r>
    <d v="2025-11-14T08:24:14"/>
    <n v="4267"/>
    <x v="131"/>
    <d v="2025-11-14T00:00:00"/>
    <d v="2026-03-30T00:00:00"/>
    <x v="0"/>
    <x v="0"/>
    <s v="510200"/>
    <x v="101"/>
    <x v="2"/>
    <s v="KG"/>
    <n v="70"/>
    <s v="5811"/>
    <s v="SAFRA 25/26"/>
    <n v="20"/>
    <n v="0"/>
    <n v="20"/>
    <n v="1400"/>
    <m/>
    <s v="NOVA UBIRATA"/>
    <s v="02349167968"/>
    <n v="70"/>
    <n v="0"/>
  </r>
  <r>
    <d v="2025-11-14T08:24:14"/>
    <n v="4267"/>
    <x v="131"/>
    <d v="2025-11-14T00:00:00"/>
    <d v="2026-03-30T00:00:00"/>
    <x v="0"/>
    <x v="0"/>
    <s v="510200"/>
    <x v="0"/>
    <x v="0"/>
    <s v="LT"/>
    <n v="18"/>
    <s v="5811"/>
    <s v="SAFRA 25/26"/>
    <n v="320"/>
    <n v="0"/>
    <n v="320"/>
    <n v="5760"/>
    <m/>
    <s v="NOVA UBIRATA"/>
    <s v="02349167968"/>
    <n v="18"/>
    <n v="0"/>
  </r>
  <r>
    <d v="2025-11-27T08:14:05"/>
    <n v="4305"/>
    <x v="131"/>
    <d v="2025-11-27T00:00:00"/>
    <d v="2026-03-30T00:00:00"/>
    <x v="0"/>
    <x v="0"/>
    <s v="510200"/>
    <x v="95"/>
    <x v="2"/>
    <s v="LT"/>
    <n v="72.5"/>
    <m/>
    <s v="SAFRA 25/26"/>
    <n v="20"/>
    <n v="0"/>
    <n v="20"/>
    <n v="1450"/>
    <m/>
    <s v="NOVA UBIRATA"/>
    <s v="02349167968"/>
    <n v="72.5"/>
    <n v="0"/>
  </r>
  <r>
    <d v="2025-11-27T08:14:05"/>
    <n v="4305"/>
    <x v="131"/>
    <d v="2025-11-27T00:00:00"/>
    <d v="2026-03-30T00:00:00"/>
    <x v="0"/>
    <x v="0"/>
    <s v="510200"/>
    <x v="57"/>
    <x v="2"/>
    <s v="KG"/>
    <n v="280"/>
    <m/>
    <s v="SAFRA 25/26"/>
    <n v="3"/>
    <n v="0"/>
    <n v="3"/>
    <n v="840"/>
    <m/>
    <s v="NOVA UBIRATA"/>
    <s v="02349167968"/>
    <n v="280"/>
    <n v="0"/>
  </r>
  <r>
    <d v="2025-11-27T08:14:05"/>
    <n v="4305"/>
    <x v="131"/>
    <d v="2025-11-27T00:00:00"/>
    <d v="2026-03-30T00:00:00"/>
    <x v="0"/>
    <x v="0"/>
    <s v="510200"/>
    <x v="55"/>
    <x v="2"/>
    <s v="KG"/>
    <n v="28"/>
    <m/>
    <s v="SAFRA 25/26"/>
    <n v="40"/>
    <n v="0"/>
    <n v="40"/>
    <n v="1120"/>
    <m/>
    <s v="NOVA UBIRATA"/>
    <s v="02349167968"/>
    <n v="28"/>
    <n v="0"/>
  </r>
  <r>
    <d v="2025-11-27T08:14:05"/>
    <n v="4305"/>
    <x v="131"/>
    <d v="2025-11-27T00:00:00"/>
    <d v="2026-03-30T00:00:00"/>
    <x v="0"/>
    <x v="0"/>
    <s v="510200"/>
    <x v="56"/>
    <x v="2"/>
    <s v="KG"/>
    <n v="28"/>
    <m/>
    <s v="SAFRA 25/26"/>
    <n v="50"/>
    <n v="0"/>
    <n v="50"/>
    <n v="1400"/>
    <m/>
    <s v="NOVA UBIRATA"/>
    <s v="02349167968"/>
    <n v="28"/>
    <n v="0"/>
  </r>
  <r>
    <d v="2025-11-27T09:11:03"/>
    <n v="4307"/>
    <x v="131"/>
    <d v="2025-11-27T00:00:00"/>
    <d v="2026-03-30T00:00:00"/>
    <x v="0"/>
    <x v="0"/>
    <s v="510200"/>
    <x v="3"/>
    <x v="0"/>
    <s v="LT"/>
    <n v="23.5"/>
    <m/>
    <s v="SAFRA 25/26"/>
    <n v="120"/>
    <n v="0"/>
    <n v="120"/>
    <n v="2820"/>
    <m/>
    <s v="NOVA UBIRATA"/>
    <s v="02349167968"/>
    <n v="23.5"/>
    <n v="0"/>
  </r>
  <r>
    <d v="2026-01-14T09:55:27"/>
    <n v="4444"/>
    <x v="131"/>
    <d v="2026-01-14T00:00:00"/>
    <d v="2026-03-30T00:00:00"/>
    <x v="0"/>
    <x v="1"/>
    <s v="510200"/>
    <x v="23"/>
    <x v="1"/>
    <s v="KG"/>
    <n v="350"/>
    <s v="6013"/>
    <s v="SAFRA 25/26"/>
    <n v="15"/>
    <n v="0"/>
    <n v="15"/>
    <n v="5250"/>
    <m/>
    <s v="NOVA UBIRATA"/>
    <s v="02349167968"/>
    <n v="350"/>
    <n v="0"/>
  </r>
  <r>
    <d v="2026-02-19T13:19:23"/>
    <n v="4586"/>
    <x v="131"/>
    <d v="2026-02-19T00:00:00"/>
    <d v="2026-08-30T00:00:00"/>
    <x v="0"/>
    <x v="0"/>
    <s v="510200"/>
    <x v="53"/>
    <x v="0"/>
    <s v="LT"/>
    <n v="11"/>
    <s v="6092"/>
    <s v="SAFRINHA 2026"/>
    <n v="6000"/>
    <n v="0"/>
    <n v="6000"/>
    <n v="66000"/>
    <m/>
    <s v="NOVA UBIRATA"/>
    <s v="02349167968"/>
    <n v="11"/>
    <n v="0"/>
  </r>
  <r>
    <d v="2026-02-19T13:19:23"/>
    <n v="4586"/>
    <x v="131"/>
    <d v="2026-02-19T00:00:00"/>
    <d v="2026-08-30T00:00:00"/>
    <x v="0"/>
    <x v="0"/>
    <s v="510200"/>
    <x v="102"/>
    <x v="2"/>
    <s v="LT"/>
    <n v="11"/>
    <s v="6092"/>
    <s v="SAFRINHA 2026"/>
    <n v="1000"/>
    <n v="0"/>
    <n v="1000"/>
    <n v="11000"/>
    <m/>
    <s v="NOVA UBIRATA"/>
    <s v="02349167968"/>
    <n v="11"/>
    <n v="0"/>
  </r>
  <r>
    <d v="2026-03-04T13:28:53"/>
    <n v="4626"/>
    <x v="131"/>
    <d v="2026-03-04T00:00:00"/>
    <d v="2026-08-30T00:00:00"/>
    <x v="0"/>
    <x v="0"/>
    <s v="510200"/>
    <x v="4"/>
    <x v="0"/>
    <s v="KG"/>
    <n v="26"/>
    <s v="6115"/>
    <s v="SAFRINHA 2026"/>
    <n v="1000"/>
    <n v="280"/>
    <n v="720"/>
    <n v="18720"/>
    <m/>
    <s v="NOVA UBIRATA"/>
    <s v="02349167968"/>
    <n v="26"/>
    <n v="0"/>
  </r>
  <r>
    <d v="2025-12-03T10:32:35"/>
    <n v="4317"/>
    <x v="132"/>
    <d v="2025-12-03T00:00:00"/>
    <d v="2026-04-30T00:00:00"/>
    <x v="4"/>
    <x v="0"/>
    <s v="510200"/>
    <x v="3"/>
    <x v="0"/>
    <s v="LT"/>
    <n v="25"/>
    <s v="5835"/>
    <s v="SAFRA 25/26"/>
    <n v="100"/>
    <n v="0"/>
    <n v="100"/>
    <n v="2500"/>
    <m/>
    <s v="FELIZ NATAL"/>
    <s v="06351162866"/>
    <n v="25"/>
    <n v="0"/>
  </r>
  <r>
    <d v="2025-12-16T16:16:04"/>
    <n v="4365"/>
    <x v="132"/>
    <d v="2025-12-16T00:00:00"/>
    <d v="2026-04-30T00:00:00"/>
    <x v="4"/>
    <x v="0"/>
    <s v="510200"/>
    <x v="41"/>
    <x v="0"/>
    <s v="LT"/>
    <n v="95"/>
    <s v="5926"/>
    <s v="SAFRA 25/26"/>
    <n v="40"/>
    <n v="0"/>
    <n v="40"/>
    <n v="3800"/>
    <m/>
    <s v="FELIZ NATAL"/>
    <s v="06351162866"/>
    <n v="95"/>
    <n v="0"/>
  </r>
  <r>
    <d v="2025-12-16T16:16:04"/>
    <n v="4365"/>
    <x v="132"/>
    <d v="2025-12-16T00:00:00"/>
    <d v="2026-04-30T00:00:00"/>
    <x v="4"/>
    <x v="0"/>
    <s v="510200"/>
    <x v="5"/>
    <x v="0"/>
    <s v="KG"/>
    <n v="25"/>
    <s v="5926"/>
    <s v="SAFRA 25/26"/>
    <n v="280"/>
    <n v="0"/>
    <n v="280"/>
    <n v="7000"/>
    <m/>
    <s v="FELIZ NATAL"/>
    <s v="06351162866"/>
    <n v="25"/>
    <n v="0"/>
  </r>
  <r>
    <d v="2026-01-12T14:57:45"/>
    <n v="4430"/>
    <x v="132"/>
    <d v="2026-01-12T00:00:00"/>
    <d v="2026-04-30T00:00:00"/>
    <x v="4"/>
    <x v="0"/>
    <s v="510200"/>
    <x v="41"/>
    <x v="0"/>
    <s v="LT"/>
    <n v="95"/>
    <s v="5937"/>
    <s v="SAFRA 25/26"/>
    <n v="80"/>
    <n v="0"/>
    <n v="80"/>
    <n v="7600"/>
    <m/>
    <s v="FELIZ NATAL"/>
    <s v="06351162866"/>
    <n v="95"/>
    <n v="0"/>
  </r>
  <r>
    <d v="2026-01-12T14:57:45"/>
    <n v="4430"/>
    <x v="132"/>
    <d v="2026-01-12T00:00:00"/>
    <d v="2026-04-30T00:00:00"/>
    <x v="4"/>
    <x v="0"/>
    <s v="510200"/>
    <x v="5"/>
    <x v="0"/>
    <s v="KG"/>
    <n v="25"/>
    <s v="5937"/>
    <s v="SAFRA 25/26"/>
    <n v="520"/>
    <n v="0"/>
    <n v="520"/>
    <n v="13000"/>
    <m/>
    <s v="FELIZ NATAL"/>
    <s v="06351162866"/>
    <n v="25"/>
    <n v="0"/>
  </r>
  <r>
    <d v="2026-01-12T14:59:19"/>
    <n v="4431"/>
    <x v="132"/>
    <d v="2026-01-12T00:00:00"/>
    <d v="2026-04-30T00:00:00"/>
    <x v="4"/>
    <x v="0"/>
    <s v="510200"/>
    <x v="7"/>
    <x v="0"/>
    <s v="LT"/>
    <n v="65"/>
    <s v="5938"/>
    <s v="SAFRA 25/26"/>
    <n v="70"/>
    <n v="0"/>
    <n v="70"/>
    <n v="4550"/>
    <m/>
    <s v="FELIZ NATAL"/>
    <s v="06351162866"/>
    <n v="65"/>
    <n v="0"/>
  </r>
  <r>
    <d v="2026-01-12T14:59:19"/>
    <n v="4431"/>
    <x v="132"/>
    <d v="2026-01-12T00:00:00"/>
    <d v="2026-04-30T00:00:00"/>
    <x v="4"/>
    <x v="0"/>
    <s v="510200"/>
    <x v="6"/>
    <x v="0"/>
    <s v="LT"/>
    <n v="65"/>
    <s v="5938"/>
    <s v="SAFRA 25/26"/>
    <n v="100"/>
    <n v="0"/>
    <n v="100"/>
    <n v="6500"/>
    <m/>
    <s v="FELIZ NATAL"/>
    <s v="06351162866"/>
    <n v="65"/>
    <n v="0"/>
  </r>
  <r>
    <d v="2026-01-17T10:06:50"/>
    <n v="4457"/>
    <x v="132"/>
    <d v="2026-01-16T00:00:00"/>
    <d v="2026-08-30T00:00:00"/>
    <x v="4"/>
    <x v="0"/>
    <s v="510200"/>
    <x v="12"/>
    <x v="0"/>
    <s v="LT"/>
    <n v="180"/>
    <s v="5945"/>
    <s v="SAFRINHA 2026"/>
    <n v="100"/>
    <n v="0"/>
    <n v="100"/>
    <n v="18000"/>
    <m/>
    <s v="FELIZ NATAL"/>
    <s v="06351162866"/>
    <n v="180"/>
    <n v="0"/>
  </r>
  <r>
    <d v="2026-01-17T10:06:50"/>
    <n v="4457"/>
    <x v="132"/>
    <d v="2026-01-16T00:00:00"/>
    <d v="2026-08-30T00:00:00"/>
    <x v="4"/>
    <x v="1"/>
    <s v="510200"/>
    <x v="9"/>
    <x v="1"/>
    <s v="LT"/>
    <n v="50"/>
    <s v="5945"/>
    <s v="SAFRINHA 2026"/>
    <n v="102"/>
    <n v="0"/>
    <n v="102"/>
    <n v="5100"/>
    <m/>
    <s v="FELIZ NATAL"/>
    <s v="06351162866"/>
    <n v="50"/>
    <n v="0"/>
  </r>
  <r>
    <d v="2026-01-17T10:06:50"/>
    <n v="4457"/>
    <x v="132"/>
    <d v="2026-01-16T00:00:00"/>
    <d v="2026-08-30T00:00:00"/>
    <x v="4"/>
    <x v="0"/>
    <s v="510200"/>
    <x v="1"/>
    <x v="0"/>
    <s v="LT"/>
    <n v="128"/>
    <s v="5945"/>
    <s v="SAFRINHA 2026"/>
    <n v="200"/>
    <n v="0"/>
    <n v="200"/>
    <n v="25600"/>
    <m/>
    <s v="FELIZ NATAL"/>
    <s v="06351162866"/>
    <n v="128"/>
    <n v="0"/>
  </r>
  <r>
    <d v="2026-01-17T10:06:50"/>
    <n v="4457"/>
    <x v="132"/>
    <d v="2026-01-16T00:00:00"/>
    <d v="2026-08-30T00:00:00"/>
    <x v="4"/>
    <x v="1"/>
    <s v="510200"/>
    <x v="11"/>
    <x v="1"/>
    <s v="LT"/>
    <n v="362.5"/>
    <s v="5945"/>
    <s v="SAFRINHA 2026"/>
    <n v="40"/>
    <n v="0"/>
    <n v="40"/>
    <n v="14500"/>
    <m/>
    <s v="FELIZ NATAL"/>
    <s v="06351162866"/>
    <n v="362.5"/>
    <n v="0"/>
  </r>
  <r>
    <d v="2026-01-17T10:06:50"/>
    <n v="4457"/>
    <x v="132"/>
    <d v="2026-01-16T00:00:00"/>
    <d v="2026-08-30T00:00:00"/>
    <x v="4"/>
    <x v="1"/>
    <s v="510200"/>
    <x v="10"/>
    <x v="1"/>
    <s v="LT"/>
    <n v="362.5"/>
    <s v="5945"/>
    <s v="SAFRINHA 2026"/>
    <n v="40"/>
    <n v="0"/>
    <n v="40"/>
    <n v="14500"/>
    <m/>
    <s v="FELIZ NATAL"/>
    <s v="06351162866"/>
    <n v="362.5"/>
    <n v="0"/>
  </r>
  <r>
    <d v="2026-01-17T10:06:50"/>
    <n v="4457"/>
    <x v="132"/>
    <d v="2026-01-16T00:00:00"/>
    <d v="2026-08-30T00:00:00"/>
    <x v="4"/>
    <x v="0"/>
    <s v="510200"/>
    <x v="7"/>
    <x v="0"/>
    <s v="LT"/>
    <n v="58"/>
    <s v="5945"/>
    <s v="SAFRINHA 2026"/>
    <n v="100"/>
    <n v="0"/>
    <n v="100"/>
    <n v="5800"/>
    <m/>
    <s v="FELIZ NATAL"/>
    <s v="06351162866"/>
    <n v="58"/>
    <n v="0"/>
  </r>
  <r>
    <d v="2026-01-17T10:06:50"/>
    <n v="4457"/>
    <x v="132"/>
    <d v="2026-01-16T00:00:00"/>
    <d v="2026-08-30T00:00:00"/>
    <x v="4"/>
    <x v="0"/>
    <s v="510200"/>
    <x v="4"/>
    <x v="0"/>
    <s v="KG"/>
    <n v="22"/>
    <s v="5945"/>
    <s v="SAFRINHA 2026"/>
    <n v="1000"/>
    <n v="0"/>
    <n v="1000"/>
    <n v="22000"/>
    <m/>
    <s v="FELIZ NATAL"/>
    <s v="06351162866"/>
    <n v="22"/>
    <n v="0"/>
  </r>
  <r>
    <d v="2026-01-17T10:06:50"/>
    <n v="4457"/>
    <x v="132"/>
    <d v="2026-01-16T00:00:00"/>
    <d v="2026-08-30T00:00:00"/>
    <x v="4"/>
    <x v="0"/>
    <s v="510200"/>
    <x v="3"/>
    <x v="0"/>
    <s v="LT"/>
    <n v="18"/>
    <s v="5945"/>
    <s v="SAFRINHA 2026"/>
    <n v="1000"/>
    <n v="0"/>
    <n v="1000"/>
    <n v="18000"/>
    <m/>
    <s v="FELIZ NATAL"/>
    <s v="06351162866"/>
    <n v="18"/>
    <n v="0"/>
  </r>
  <r>
    <d v="2026-01-17T10:06:50"/>
    <n v="4457"/>
    <x v="132"/>
    <d v="2026-01-16T00:00:00"/>
    <d v="2026-08-30T00:00:00"/>
    <x v="4"/>
    <x v="0"/>
    <s v="510200"/>
    <x v="6"/>
    <x v="0"/>
    <s v="LT"/>
    <n v="58"/>
    <s v="5945"/>
    <s v="SAFRINHA 2026"/>
    <n v="250"/>
    <n v="0"/>
    <n v="250"/>
    <n v="14500"/>
    <m/>
    <s v="FELIZ NATAL"/>
    <s v="06351162866"/>
    <n v="58"/>
    <n v="0"/>
  </r>
  <r>
    <d v="2026-01-17T10:06:50"/>
    <n v="4457"/>
    <x v="132"/>
    <d v="2026-01-16T00:00:00"/>
    <d v="2026-08-30T00:00:00"/>
    <x v="4"/>
    <x v="1"/>
    <s v="510200"/>
    <x v="14"/>
    <x v="1"/>
    <s v="KG"/>
    <n v="400"/>
    <s v="5945"/>
    <s v="SAFRINHA 2026"/>
    <n v="40"/>
    <n v="0"/>
    <n v="40"/>
    <n v="16000"/>
    <m/>
    <s v="FELIZ NATAL"/>
    <s v="06351162866"/>
    <n v="400"/>
    <n v="0"/>
  </r>
  <r>
    <d v="2026-01-17T10:06:50"/>
    <n v="4457"/>
    <x v="132"/>
    <d v="2026-01-16T00:00:00"/>
    <d v="2026-08-30T00:00:00"/>
    <x v="4"/>
    <x v="0"/>
    <s v="510200"/>
    <x v="2"/>
    <x v="0"/>
    <s v="KG"/>
    <n v="18.600000000000001"/>
    <s v="5945"/>
    <s v="SAFRINHA 2026"/>
    <n v="2000"/>
    <n v="0"/>
    <n v="2000"/>
    <n v="37200"/>
    <m/>
    <s v="FELIZ NATAL"/>
    <s v="06351162866"/>
    <n v="18.600000000000001"/>
    <n v="0"/>
  </r>
  <r>
    <d v="2026-01-17T10:13:32"/>
    <n v="4458"/>
    <x v="132"/>
    <d v="2026-01-16T00:00:00"/>
    <d v="2026-08-30T00:00:00"/>
    <x v="4"/>
    <x v="0"/>
    <s v="510200"/>
    <x v="19"/>
    <x v="0"/>
    <s v="LT"/>
    <n v="800"/>
    <s v="5946"/>
    <s v="SAFRINHA 2026"/>
    <n v="1"/>
    <n v="0"/>
    <n v="1"/>
    <n v="800"/>
    <m/>
    <s v="FELIZ NATAL"/>
    <s v="06351162866"/>
    <n v="800"/>
    <n v="0"/>
  </r>
  <r>
    <d v="2026-01-17T10:13:32"/>
    <n v="4458"/>
    <x v="132"/>
    <d v="2026-01-16T00:00:00"/>
    <d v="2026-08-30T00:00:00"/>
    <x v="4"/>
    <x v="0"/>
    <s v="510200"/>
    <x v="8"/>
    <x v="0"/>
    <s v="KG"/>
    <n v="80"/>
    <s v="5946"/>
    <s v="SAFRINHA 2026"/>
    <n v="9"/>
    <n v="0"/>
    <n v="9"/>
    <n v="720"/>
    <m/>
    <s v="FELIZ NATAL"/>
    <s v="06351162866"/>
    <n v="80"/>
    <n v="0"/>
  </r>
  <r>
    <d v="2026-01-17T10:13:32"/>
    <n v="4458"/>
    <x v="132"/>
    <d v="2026-01-16T00:00:00"/>
    <d v="2026-08-30T00:00:00"/>
    <x v="4"/>
    <x v="0"/>
    <s v="510200"/>
    <x v="3"/>
    <x v="0"/>
    <s v="LT"/>
    <n v="18"/>
    <s v="5946"/>
    <s v="SAFRINHA 2026"/>
    <n v="60"/>
    <n v="0"/>
    <n v="60"/>
    <n v="1080"/>
    <m/>
    <s v="FELIZ NATAL"/>
    <s v="06351162866"/>
    <n v="18"/>
    <n v="0"/>
  </r>
  <r>
    <d v="2026-01-17T10:13:32"/>
    <n v="4458"/>
    <x v="132"/>
    <d v="2026-01-16T00:00:00"/>
    <d v="2026-08-30T00:00:00"/>
    <x v="4"/>
    <x v="0"/>
    <s v="510200"/>
    <x v="2"/>
    <x v="0"/>
    <s v="KG"/>
    <n v="18.600000000000001"/>
    <s v="5946"/>
    <s v="SAFRINHA 2026"/>
    <n v="60"/>
    <n v="0"/>
    <n v="60"/>
    <n v="1116"/>
    <m/>
    <s v="FELIZ NATAL"/>
    <s v="06351162866"/>
    <n v="18.600000000000001"/>
    <n v="0"/>
  </r>
  <r>
    <d v="2026-01-17T10:13:32"/>
    <n v="4458"/>
    <x v="132"/>
    <d v="2026-01-16T00:00:00"/>
    <d v="2026-08-30T00:00:00"/>
    <x v="4"/>
    <x v="0"/>
    <s v="510200"/>
    <x v="1"/>
    <x v="0"/>
    <s v="LT"/>
    <n v="128"/>
    <s v="5946"/>
    <s v="SAFRINHA 2026"/>
    <n v="20"/>
    <n v="0"/>
    <n v="20"/>
    <n v="2560"/>
    <m/>
    <s v="FELIZ NATAL"/>
    <s v="06351162866"/>
    <n v="128"/>
    <n v="0"/>
  </r>
  <r>
    <d v="2026-01-17T10:13:32"/>
    <n v="4458"/>
    <x v="132"/>
    <d v="2026-01-16T00:00:00"/>
    <d v="2026-08-30T00:00:00"/>
    <x v="4"/>
    <x v="0"/>
    <s v="510200"/>
    <x v="46"/>
    <x v="0"/>
    <s v="LT"/>
    <n v="14"/>
    <s v="5946"/>
    <s v="SAFRINHA 2026"/>
    <n v="100"/>
    <n v="0"/>
    <n v="100"/>
    <n v="1400"/>
    <m/>
    <s v="FELIZ NATAL"/>
    <s v="06351162866"/>
    <n v="14"/>
    <n v="0"/>
  </r>
  <r>
    <d v="2026-01-27T08:00:59"/>
    <n v="4490"/>
    <x v="132"/>
    <d v="2026-01-26T00:00:00"/>
    <d v="2026-03-30T00:00:00"/>
    <x v="4"/>
    <x v="0"/>
    <s v="510200"/>
    <x v="44"/>
    <x v="0"/>
    <s v="KG"/>
    <n v="130"/>
    <s v="5949"/>
    <s v="SAFRA 25/26"/>
    <n v="190"/>
    <n v="0"/>
    <n v="190"/>
    <n v="24700"/>
    <m/>
    <s v="FELIZ NATAL"/>
    <s v="06351162866"/>
    <n v="130"/>
    <n v="0"/>
  </r>
  <r>
    <d v="2026-01-27T08:26:20"/>
    <n v="4491"/>
    <x v="133"/>
    <d v="2026-01-27T00:00:00"/>
    <d v="2026-08-30T00:00:00"/>
    <x v="4"/>
    <x v="0"/>
    <s v="510200"/>
    <x v="103"/>
    <x v="2"/>
    <s v="LT"/>
    <n v="50"/>
    <s v="6032"/>
    <s v="SAFRINHA 2026"/>
    <n v="460"/>
    <n v="0"/>
    <n v="460"/>
    <n v="23000"/>
    <m/>
    <s v="FELIZ NATAL"/>
    <s v="02068862921"/>
    <n v="50"/>
    <n v="0"/>
  </r>
  <r>
    <d v="2025-09-11T09:00:21"/>
    <n v="4025"/>
    <x v="134"/>
    <d v="2025-09-10T00:00:00"/>
    <d v="2026-04-30T00:00:00"/>
    <x v="3"/>
    <x v="1"/>
    <s v="510200"/>
    <x v="48"/>
    <x v="1"/>
    <s v="LT"/>
    <n v="60"/>
    <s v="5611"/>
    <s v="SAFRA 25/26"/>
    <n v="160"/>
    <n v="0"/>
    <n v="160"/>
    <n v="9600"/>
    <m/>
    <s v="FELIZ NATAL"/>
    <s v="00114966141"/>
    <n v="60"/>
    <n v="0"/>
  </r>
  <r>
    <d v="2025-09-11T09:00:21"/>
    <n v="4025"/>
    <x v="134"/>
    <d v="2025-09-10T00:00:00"/>
    <d v="2026-04-30T00:00:00"/>
    <x v="3"/>
    <x v="1"/>
    <s v="510200"/>
    <x v="14"/>
    <x v="1"/>
    <s v="KG"/>
    <n v="330"/>
    <s v="5611"/>
    <s v="SAFRA 25/26"/>
    <n v="75"/>
    <n v="0"/>
    <n v="75"/>
    <n v="24750"/>
    <m/>
    <s v="FELIZ NATAL"/>
    <s v="00114966141"/>
    <n v="330"/>
    <n v="0"/>
  </r>
  <r>
    <d v="2025-09-11T09:00:21"/>
    <n v="4025"/>
    <x v="134"/>
    <d v="2025-09-10T00:00:00"/>
    <d v="2026-04-30T00:00:00"/>
    <x v="3"/>
    <x v="1"/>
    <s v="510200"/>
    <x v="13"/>
    <x v="1"/>
    <s v="LT"/>
    <n v="30"/>
    <s v="5611"/>
    <s v="SAFRA 25/26"/>
    <n v="1269"/>
    <n v="0"/>
    <n v="1269"/>
    <n v="38070"/>
    <m/>
    <s v="FELIZ NATAL"/>
    <s v="00114966141"/>
    <n v="30"/>
    <n v="0"/>
  </r>
  <r>
    <d v="2025-09-11T09:00:21"/>
    <n v="4025"/>
    <x v="134"/>
    <d v="2025-09-10T00:00:00"/>
    <d v="2026-04-30T00:00:00"/>
    <x v="3"/>
    <x v="1"/>
    <s v="510200"/>
    <x v="11"/>
    <x v="1"/>
    <s v="LT"/>
    <n v="270"/>
    <s v="5611"/>
    <s v="SAFRA 25/26"/>
    <n v="75"/>
    <n v="0"/>
    <n v="75"/>
    <n v="20250"/>
    <m/>
    <s v="FELIZ NATAL"/>
    <s v="00114966141"/>
    <n v="270"/>
    <n v="0"/>
  </r>
  <r>
    <d v="2025-09-11T09:00:21"/>
    <n v="4025"/>
    <x v="134"/>
    <d v="2025-09-10T00:00:00"/>
    <d v="2026-04-30T00:00:00"/>
    <x v="3"/>
    <x v="0"/>
    <s v="510200"/>
    <x v="19"/>
    <x v="0"/>
    <s v="LT"/>
    <n v="920"/>
    <s v="5611"/>
    <s v="SAFRA 25/26"/>
    <n v="24"/>
    <n v="0"/>
    <n v="24"/>
    <n v="22080"/>
    <m/>
    <s v="FELIZ NATAL"/>
    <s v="00114966141"/>
    <n v="920"/>
    <n v="0"/>
  </r>
  <r>
    <d v="2025-09-11T09:00:21"/>
    <n v="4025"/>
    <x v="134"/>
    <d v="2025-09-10T00:00:00"/>
    <d v="2026-04-30T00:00:00"/>
    <x v="3"/>
    <x v="1"/>
    <s v="510200"/>
    <x v="25"/>
    <x v="1"/>
    <s v="KG"/>
    <n v="470"/>
    <s v="5611"/>
    <s v="SAFRA 25/26"/>
    <n v="50"/>
    <n v="0"/>
    <n v="50"/>
    <n v="23500"/>
    <m/>
    <s v="FELIZ NATAL"/>
    <s v="00114966141"/>
    <n v="470"/>
    <n v="0"/>
  </r>
  <r>
    <d v="2025-09-11T09:00:21"/>
    <n v="4025"/>
    <x v="134"/>
    <d v="2025-09-10T00:00:00"/>
    <d v="2026-04-30T00:00:00"/>
    <x v="3"/>
    <x v="1"/>
    <s v="510200"/>
    <x v="9"/>
    <x v="1"/>
    <s v="LT"/>
    <n v="35"/>
    <s v="5611"/>
    <s v="SAFRA 25/26"/>
    <n v="471"/>
    <n v="0"/>
    <n v="471"/>
    <n v="16485"/>
    <m/>
    <s v="FELIZ NATAL"/>
    <s v="00114966141"/>
    <n v="35"/>
    <n v="0"/>
  </r>
  <r>
    <d v="2025-10-15T10:47:46"/>
    <n v="4162"/>
    <x v="134"/>
    <d v="2025-10-15T00:00:00"/>
    <d v="2026-04-30T00:00:00"/>
    <x v="3"/>
    <x v="1"/>
    <s v="510200"/>
    <x v="13"/>
    <x v="1"/>
    <s v="LT"/>
    <n v="30"/>
    <s v="5658"/>
    <s v="SAFRA 25/26"/>
    <n v="960"/>
    <n v="0"/>
    <n v="960"/>
    <n v="28800"/>
    <m/>
    <s v="FELIZ NATAL"/>
    <s v="00114966141"/>
    <n v="30"/>
    <n v="0"/>
  </r>
  <r>
    <d v="2025-10-15T10:47:46"/>
    <n v="4162"/>
    <x v="134"/>
    <d v="2025-10-15T00:00:00"/>
    <d v="2026-04-30T00:00:00"/>
    <x v="3"/>
    <x v="1"/>
    <s v="510200"/>
    <x v="14"/>
    <x v="1"/>
    <s v="KG"/>
    <n v="330"/>
    <s v="5658"/>
    <s v="SAFRA 25/26"/>
    <n v="80"/>
    <n v="0"/>
    <n v="80"/>
    <n v="26400"/>
    <m/>
    <s v="FELIZ NATAL"/>
    <s v="00114966141"/>
    <n v="330"/>
    <n v="0"/>
  </r>
  <r>
    <d v="2025-10-15T10:47:46"/>
    <n v="4162"/>
    <x v="134"/>
    <d v="2025-10-15T00:00:00"/>
    <d v="2026-04-30T00:00:00"/>
    <x v="3"/>
    <x v="1"/>
    <s v="510200"/>
    <x v="9"/>
    <x v="1"/>
    <s v="LT"/>
    <n v="35"/>
    <s v="5658"/>
    <s v="SAFRA 25/26"/>
    <n v="300"/>
    <n v="0"/>
    <n v="300"/>
    <n v="10500"/>
    <m/>
    <s v="FELIZ NATAL"/>
    <s v="00114966141"/>
    <n v="35"/>
    <n v="0"/>
  </r>
  <r>
    <d v="2025-10-21T13:44:16"/>
    <n v="4192"/>
    <x v="134"/>
    <d v="2025-10-21T00:00:00"/>
    <d v="2026-04-30T00:00:00"/>
    <x v="3"/>
    <x v="1"/>
    <s v="510200"/>
    <x v="13"/>
    <x v="1"/>
    <s v="LT"/>
    <n v="30"/>
    <s v="5663"/>
    <s v="SAFRA 25/26"/>
    <n v="162"/>
    <n v="0"/>
    <n v="162"/>
    <n v="4860"/>
    <m/>
    <s v="FELIZ NATAL"/>
    <s v="00114966141"/>
    <n v="30"/>
    <n v="0"/>
  </r>
  <r>
    <d v="2025-10-28T09:28:11"/>
    <n v="4216"/>
    <x v="134"/>
    <d v="2025-10-22T00:00:00"/>
    <d v="2026-08-30T00:00:00"/>
    <x v="3"/>
    <x v="0"/>
    <s v="510200"/>
    <x v="104"/>
    <x v="0"/>
    <s v="LT"/>
    <n v="240"/>
    <s v="5669"/>
    <s v="SAFRA 25/26"/>
    <n v="45"/>
    <n v="0"/>
    <n v="45"/>
    <n v="10800"/>
    <m/>
    <s v="FELIZ NATAL"/>
    <s v="00114966141"/>
    <n v="240"/>
    <n v="0"/>
  </r>
  <r>
    <d v="2025-11-21T15:05:11"/>
    <n v="4287"/>
    <x v="134"/>
    <d v="2025-11-21T00:00:00"/>
    <d v="2026-04-30T00:00:00"/>
    <x v="3"/>
    <x v="1"/>
    <s v="510200"/>
    <x v="9"/>
    <x v="1"/>
    <s v="LT"/>
    <n v="35"/>
    <s v="5590"/>
    <s v="SAFRA 25/26"/>
    <n v="12"/>
    <n v="0"/>
    <n v="12"/>
    <n v="420"/>
    <m/>
    <s v="FELIZ NATAL"/>
    <s v="00114966141"/>
    <n v="35"/>
    <n v="0"/>
  </r>
  <r>
    <d v="2026-01-09T12:26:49"/>
    <n v="4422"/>
    <x v="134"/>
    <d v="2026-01-09T00:00:00"/>
    <d v="2026-09-30T00:00:00"/>
    <x v="3"/>
    <x v="1"/>
    <s v="510200"/>
    <x v="14"/>
    <x v="1"/>
    <s v="KG"/>
    <n v="330"/>
    <s v="5981"/>
    <s v="SAFRINHA 2026"/>
    <n v="56"/>
    <n v="0"/>
    <n v="56"/>
    <n v="18480"/>
    <m/>
    <s v="FELIZ NATAL"/>
    <s v="00114966141"/>
    <n v="330"/>
    <n v="0"/>
  </r>
  <r>
    <d v="2026-01-09T12:26:49"/>
    <n v="4422"/>
    <x v="134"/>
    <d v="2026-01-09T00:00:00"/>
    <d v="2026-09-30T00:00:00"/>
    <x v="3"/>
    <x v="1"/>
    <s v="510200"/>
    <x v="9"/>
    <x v="1"/>
    <s v="LT"/>
    <n v="35"/>
    <s v="5981"/>
    <s v="SAFRINHA 2026"/>
    <n v="120"/>
    <n v="0"/>
    <n v="120"/>
    <n v="4200"/>
    <m/>
    <s v="FELIZ NATAL"/>
    <s v="00114966141"/>
    <n v="35"/>
    <n v="0"/>
  </r>
  <r>
    <d v="2026-02-13T16:37:02"/>
    <n v="4560"/>
    <x v="134"/>
    <d v="2026-02-13T00:00:00"/>
    <d v="2026-09-30T00:00:00"/>
    <x v="3"/>
    <x v="1"/>
    <s v="510200"/>
    <x v="9"/>
    <x v="1"/>
    <s v="LT"/>
    <n v="35"/>
    <s v="6063"/>
    <s v="SAFRINHA 2026"/>
    <n v="150"/>
    <n v="0"/>
    <n v="150"/>
    <n v="5250"/>
    <m/>
    <s v="FELIZ NATAL"/>
    <s v="00114966141"/>
    <n v="35"/>
    <n v="0"/>
  </r>
  <r>
    <d v="2026-02-13T16:37:02"/>
    <n v="4560"/>
    <x v="134"/>
    <d v="2026-02-13T00:00:00"/>
    <d v="2026-09-30T00:00:00"/>
    <x v="3"/>
    <x v="1"/>
    <s v="510200"/>
    <x v="14"/>
    <x v="1"/>
    <s v="KG"/>
    <n v="330"/>
    <s v="6063"/>
    <s v="SAFRINHA 2026"/>
    <n v="60"/>
    <n v="0"/>
    <n v="60"/>
    <n v="19800"/>
    <m/>
    <s v="FELIZ NATAL"/>
    <s v="00114966141"/>
    <n v="330"/>
    <n v="0"/>
  </r>
  <r>
    <d v="2025-04-11T13:27:36"/>
    <n v="3806"/>
    <x v="135"/>
    <d v="2025-04-08T00:00:00"/>
    <d v="2026-04-30T00:00:00"/>
    <x v="5"/>
    <x v="0"/>
    <s v="510200"/>
    <x v="26"/>
    <x v="2"/>
    <s v="TON"/>
    <n v="1900"/>
    <s v="5114"/>
    <s v="SAFRA 25/26"/>
    <n v="13"/>
    <n v="0"/>
    <n v="13"/>
    <n v="24700"/>
    <m/>
    <s v="SORRISO"/>
    <s v="29754720991"/>
    <n v="1900"/>
    <n v="0"/>
  </r>
  <r>
    <d v="2025-08-01T14:09:18"/>
    <n v="3954"/>
    <x v="135"/>
    <d v="2025-08-01T00:00:00"/>
    <d v="2026-04-30T00:00:00"/>
    <x v="5"/>
    <x v="0"/>
    <s v="510200"/>
    <x v="26"/>
    <x v="2"/>
    <s v="TON"/>
    <n v="1900"/>
    <s v="5504"/>
    <s v="SAFRA 25/26"/>
    <n v="1"/>
    <n v="0"/>
    <n v="1"/>
    <n v="1900"/>
    <m/>
    <s v="SORRISO"/>
    <s v="29754720991"/>
    <n v="1900"/>
    <n v="0"/>
  </r>
  <r>
    <d v="2025-12-16T13:37:44"/>
    <n v="460"/>
    <x v="136"/>
    <d v="2025-12-16T00:00:00"/>
    <d v="2025-12-17T00:00:00"/>
    <x v="10"/>
    <x v="0"/>
    <s v="510200"/>
    <x v="21"/>
    <x v="2"/>
    <s v="KG"/>
    <n v="46"/>
    <s v="462"/>
    <s v="SAFRA 25/26"/>
    <n v="450"/>
    <n v="0"/>
    <n v="450"/>
    <n v="20700"/>
    <m/>
    <s v="JUARA"/>
    <s v="55159540920"/>
    <n v="46"/>
    <n v="0"/>
  </r>
  <r>
    <d v="2025-08-11T08:10:03"/>
    <n v="3972"/>
    <x v="137"/>
    <d v="2025-08-06T00:00:00"/>
    <d v="2025-10-30T00:00:00"/>
    <x v="0"/>
    <x v="1"/>
    <s v="510200"/>
    <x v="25"/>
    <x v="1"/>
    <s v="KG"/>
    <n v="580"/>
    <s v="5404"/>
    <s v="SAFRA 25/26"/>
    <n v="50"/>
    <n v="0"/>
    <n v="50"/>
    <n v="29000"/>
    <m/>
    <s v="NOVA UBIRATA"/>
    <s v="50959522972"/>
    <n v="580"/>
    <n v="0"/>
  </r>
  <r>
    <d v="2025-08-12T14:49:41"/>
    <n v="3979"/>
    <x v="137"/>
    <d v="2025-08-12T00:00:00"/>
    <d v="2025-10-30T00:00:00"/>
    <x v="0"/>
    <x v="0"/>
    <s v="510200"/>
    <x v="21"/>
    <x v="2"/>
    <s v="KG"/>
    <n v="38"/>
    <s v="5551"/>
    <s v="SAFRA 25/26"/>
    <n v="30"/>
    <n v="0"/>
    <n v="30"/>
    <n v="1140"/>
    <m/>
    <s v="NOVA UBIRATA"/>
    <s v="50959522972"/>
    <n v="38"/>
    <n v="0"/>
  </r>
  <r>
    <d v="2025-08-20T14:35:00"/>
    <n v="3985"/>
    <x v="137"/>
    <d v="2025-08-20T00:00:00"/>
    <d v="2025-08-22T00:00:00"/>
    <x v="0"/>
    <x v="0"/>
    <s v="510200"/>
    <x v="6"/>
    <x v="0"/>
    <s v="LT"/>
    <n v="68.5"/>
    <s v="5552"/>
    <s v="SAFRA 25/26"/>
    <n v="80"/>
    <n v="0"/>
    <n v="80"/>
    <n v="5480"/>
    <m/>
    <s v="NOVA UBIRATA"/>
    <s v="50959522972"/>
    <n v="68.5"/>
    <n v="0"/>
  </r>
  <r>
    <d v="2025-08-20T14:35:00"/>
    <n v="3985"/>
    <x v="137"/>
    <d v="2025-08-20T00:00:00"/>
    <d v="2025-08-22T00:00:00"/>
    <x v="0"/>
    <x v="0"/>
    <s v="510200"/>
    <x v="7"/>
    <x v="0"/>
    <s v="LT"/>
    <n v="68.5"/>
    <s v="5552"/>
    <s v="SAFRA 25/26"/>
    <n v="30"/>
    <n v="0"/>
    <n v="30"/>
    <n v="2055"/>
    <m/>
    <s v="NOVA UBIRATA"/>
    <s v="50959522972"/>
    <n v="68.5"/>
    <n v="0"/>
  </r>
  <r>
    <d v="2025-09-11T09:19:30"/>
    <n v="4028"/>
    <x v="138"/>
    <d v="2025-09-10T00:00:00"/>
    <d v="2026-04-30T00:00:00"/>
    <x v="3"/>
    <x v="1"/>
    <s v="510200"/>
    <x v="9"/>
    <x v="1"/>
    <s v="LT"/>
    <n v="35"/>
    <s v="5612"/>
    <s v="SAFRA 25/26"/>
    <n v="531"/>
    <n v="0"/>
    <n v="531"/>
    <n v="18585"/>
    <m/>
    <s v="SORRISO"/>
    <s v="33080364015"/>
    <n v="35"/>
    <n v="0"/>
  </r>
  <r>
    <d v="2025-09-11T09:19:30"/>
    <n v="4028"/>
    <x v="138"/>
    <d v="2025-09-10T00:00:00"/>
    <d v="2026-04-30T00:00:00"/>
    <x v="3"/>
    <x v="1"/>
    <s v="510200"/>
    <x v="25"/>
    <x v="1"/>
    <s v="KG"/>
    <n v="470"/>
    <s v="5612"/>
    <s v="SAFRA 25/26"/>
    <n v="50"/>
    <n v="0"/>
    <n v="50"/>
    <n v="23500"/>
    <m/>
    <s v="SORRISO"/>
    <s v="33080364015"/>
    <n v="470"/>
    <n v="0"/>
  </r>
  <r>
    <d v="2025-09-11T09:19:30"/>
    <n v="4028"/>
    <x v="138"/>
    <d v="2025-09-10T00:00:00"/>
    <d v="2026-04-30T00:00:00"/>
    <x v="3"/>
    <x v="1"/>
    <s v="510200"/>
    <x v="13"/>
    <x v="1"/>
    <s v="LT"/>
    <n v="30"/>
    <s v="5612"/>
    <s v="SAFRA 25/26"/>
    <n v="1431"/>
    <n v="0"/>
    <n v="1431"/>
    <n v="42930"/>
    <m/>
    <s v="SORRISO"/>
    <s v="33080364015"/>
    <n v="30"/>
    <n v="0"/>
  </r>
  <r>
    <d v="2025-09-11T09:19:30"/>
    <n v="4028"/>
    <x v="138"/>
    <d v="2025-09-10T00:00:00"/>
    <d v="2026-04-30T00:00:00"/>
    <x v="3"/>
    <x v="1"/>
    <s v="510200"/>
    <x v="14"/>
    <x v="1"/>
    <s v="KG"/>
    <n v="330"/>
    <s v="5612"/>
    <s v="SAFRA 25/26"/>
    <n v="50"/>
    <n v="0"/>
    <n v="50"/>
    <n v="16500"/>
    <m/>
    <s v="SORRISO"/>
    <s v="33080364015"/>
    <n v="330"/>
    <n v="0"/>
  </r>
  <r>
    <d v="2025-09-11T09:19:30"/>
    <n v="4028"/>
    <x v="138"/>
    <d v="2025-09-10T00:00:00"/>
    <d v="2026-04-30T00:00:00"/>
    <x v="3"/>
    <x v="1"/>
    <s v="510200"/>
    <x v="11"/>
    <x v="1"/>
    <s v="LT"/>
    <n v="270"/>
    <s v="5612"/>
    <s v="SAFRA 25/26"/>
    <n v="75"/>
    <n v="0"/>
    <n v="75"/>
    <n v="20250"/>
    <m/>
    <s v="SORRISO"/>
    <s v="33080364015"/>
    <n v="270"/>
    <n v="0"/>
  </r>
  <r>
    <d v="2025-12-29T16:33:53"/>
    <n v="4391"/>
    <x v="138"/>
    <d v="2025-09-11T00:00:00"/>
    <d v="2026-04-30T00:00:00"/>
    <x v="3"/>
    <x v="1"/>
    <s v="510200"/>
    <x v="48"/>
    <x v="1"/>
    <s v="LT"/>
    <n v="60"/>
    <s v="5612"/>
    <s v="SAFRINHA 2026"/>
    <n v="200"/>
    <n v="0"/>
    <n v="200"/>
    <n v="12000"/>
    <m/>
    <s v="SORRISO"/>
    <s v="33080364015"/>
    <n v="60"/>
    <n v="0"/>
  </r>
  <r>
    <d v="2025-10-15T10:48:58"/>
    <n v="4163"/>
    <x v="138"/>
    <d v="2025-10-15T00:00:00"/>
    <d v="2026-04-30T00:00:00"/>
    <x v="3"/>
    <x v="1"/>
    <s v="510200"/>
    <x v="14"/>
    <x v="1"/>
    <s v="KG"/>
    <n v="330"/>
    <s v="5659"/>
    <s v="SAFRA 25/26"/>
    <n v="50"/>
    <n v="0"/>
    <n v="50"/>
    <n v="16500"/>
    <m/>
    <s v="SORRISO"/>
    <s v="33080364015"/>
    <n v="330"/>
    <n v="0"/>
  </r>
  <r>
    <d v="2025-10-20T16:19:24"/>
    <n v="4189"/>
    <x v="138"/>
    <d v="2025-10-20T00:00:00"/>
    <d v="2026-04-30T00:00:00"/>
    <x v="8"/>
    <x v="1"/>
    <s v="510200"/>
    <x v="13"/>
    <x v="1"/>
    <s v="LT"/>
    <n v="30"/>
    <s v="5661"/>
    <s v="SAFRA 25/26"/>
    <n v="111"/>
    <n v="0"/>
    <n v="111"/>
    <n v="3330"/>
    <m/>
    <s v="SORRISO"/>
    <s v="33080364015"/>
    <n v="30"/>
    <n v="0"/>
  </r>
  <r>
    <d v="2025-11-07T11:12:00"/>
    <n v="4245"/>
    <x v="138"/>
    <d v="2025-11-07T00:00:00"/>
    <d v="2026-04-30T00:00:00"/>
    <x v="3"/>
    <x v="0"/>
    <s v="510200"/>
    <x v="105"/>
    <x v="2"/>
    <s v="LT"/>
    <n v="21.66"/>
    <s v="5804"/>
    <s v="SAFRA 25/26"/>
    <n v="468"/>
    <n v="0"/>
    <n v="468"/>
    <n v="10136.879999999999"/>
    <m/>
    <s v="SORRISO"/>
    <s v="33080364015"/>
    <n v="21.66"/>
    <n v="0"/>
  </r>
  <r>
    <d v="2025-11-07T11:12:00"/>
    <n v="4245"/>
    <x v="138"/>
    <d v="2025-11-07T00:00:00"/>
    <d v="2026-04-30T00:00:00"/>
    <x v="3"/>
    <x v="0"/>
    <s v="510200"/>
    <x v="36"/>
    <x v="2"/>
    <s v="LT"/>
    <n v="21.66"/>
    <s v="5804"/>
    <s v="SAFRA 25/26"/>
    <n v="360"/>
    <n v="0"/>
    <n v="360"/>
    <n v="7797.6"/>
    <m/>
    <s v="SORRISO"/>
    <s v="33080364015"/>
    <n v="21.66"/>
    <n v="0"/>
  </r>
  <r>
    <d v="2025-11-21T14:13:02"/>
    <n v="4286"/>
    <x v="138"/>
    <d v="2025-11-21T00:00:00"/>
    <d v="2026-04-30T00:00:00"/>
    <x v="3"/>
    <x v="1"/>
    <s v="510200"/>
    <x v="9"/>
    <x v="1"/>
    <s v="LT"/>
    <n v="35"/>
    <s v="5824"/>
    <s v="SAFRA 25/26"/>
    <n v="12"/>
    <n v="0"/>
    <n v="12"/>
    <n v="420"/>
    <m/>
    <s v="SORRISO"/>
    <s v="33080364015"/>
    <n v="35"/>
    <n v="0"/>
  </r>
  <r>
    <d v="2026-01-09T12:25:00"/>
    <n v="4421"/>
    <x v="138"/>
    <d v="2026-01-09T00:00:00"/>
    <d v="2026-09-30T00:00:00"/>
    <x v="3"/>
    <x v="1"/>
    <s v="510200"/>
    <x v="9"/>
    <x v="1"/>
    <s v="LT"/>
    <n v="35"/>
    <s v="5980"/>
    <s v="SAFRINHA 2026"/>
    <n v="111"/>
    <n v="0"/>
    <n v="111"/>
    <n v="3885"/>
    <m/>
    <s v="SORRISO"/>
    <s v="33080364015"/>
    <n v="35"/>
    <n v="0"/>
  </r>
  <r>
    <d v="2026-01-09T12:25:00"/>
    <n v="4421"/>
    <x v="138"/>
    <d v="2026-01-09T00:00:00"/>
    <d v="2026-09-30T00:00:00"/>
    <x v="3"/>
    <x v="1"/>
    <s v="510200"/>
    <x v="14"/>
    <x v="1"/>
    <s v="KG"/>
    <n v="330"/>
    <s v="5980"/>
    <s v="SAFRINHA 2026"/>
    <n v="20"/>
    <n v="0"/>
    <n v="20"/>
    <n v="6600"/>
    <m/>
    <s v="SORRISO"/>
    <s v="33080364015"/>
    <n v="330"/>
    <n v="0"/>
  </r>
  <r>
    <d v="2026-01-30T09:54:19"/>
    <n v="4508"/>
    <x v="138"/>
    <d v="2026-01-30T00:00:00"/>
    <d v="2026-09-30T00:00:00"/>
    <x v="3"/>
    <x v="1"/>
    <s v="510200"/>
    <x v="14"/>
    <x v="1"/>
    <s v="KG"/>
    <n v="330"/>
    <s v="6000"/>
    <s v="SAFRINHA 2026"/>
    <n v="66"/>
    <n v="0"/>
    <n v="66"/>
    <n v="21780"/>
    <m/>
    <s v="SORRISO"/>
    <s v="33080364015"/>
    <n v="330"/>
    <n v="0"/>
  </r>
  <r>
    <d v="2026-01-30T09:54:19"/>
    <n v="4508"/>
    <x v="138"/>
    <d v="2026-01-30T00:00:00"/>
    <d v="2026-09-30T00:00:00"/>
    <x v="3"/>
    <x v="1"/>
    <s v="510200"/>
    <x v="9"/>
    <x v="1"/>
    <s v="LT"/>
    <n v="35"/>
    <s v="6000"/>
    <s v="SAFRINHA 2026"/>
    <n v="132"/>
    <n v="0"/>
    <n v="132"/>
    <n v="4620"/>
    <m/>
    <s v="SORRISO"/>
    <s v="33080364015"/>
    <n v="35"/>
    <n v="0"/>
  </r>
  <r>
    <d v="2025-04-17T14:15:32"/>
    <n v="196"/>
    <x v="139"/>
    <d v="2025-04-17T00:00:00"/>
    <d v="2026-04-30T00:00:00"/>
    <x v="1"/>
    <x v="0"/>
    <s v="510200"/>
    <x v="101"/>
    <x v="2"/>
    <s v="KG"/>
    <n v="60"/>
    <s v="5062"/>
    <s v="SAFRA 25/26"/>
    <n v="70"/>
    <n v="0"/>
    <n v="70"/>
    <n v="4200"/>
    <m/>
    <s v="MARCELANDIA"/>
    <s v="32778716149"/>
    <n v="60"/>
    <n v="0"/>
  </r>
  <r>
    <d v="2025-04-17T14:15:32"/>
    <n v="196"/>
    <x v="139"/>
    <d v="2025-04-17T00:00:00"/>
    <d v="2026-04-30T00:00:00"/>
    <x v="1"/>
    <x v="0"/>
    <s v="510200"/>
    <x v="22"/>
    <x v="2"/>
    <s v="KG"/>
    <n v="19.5"/>
    <s v="5062"/>
    <s v="SAFRA 25/26"/>
    <n v="330"/>
    <n v="0"/>
    <n v="330"/>
    <n v="6435"/>
    <m/>
    <s v="MARCELANDIA"/>
    <s v="32778716149"/>
    <n v="19.5"/>
    <n v="0"/>
  </r>
  <r>
    <d v="2025-04-17T14:15:32"/>
    <n v="196"/>
    <x v="139"/>
    <d v="2025-04-17T00:00:00"/>
    <d v="2026-04-30T00:00:00"/>
    <x v="1"/>
    <x v="0"/>
    <s v="510200"/>
    <x v="56"/>
    <x v="2"/>
    <s v="KG"/>
    <n v="22.5"/>
    <s v="5062"/>
    <s v="SAFRA 25/26"/>
    <n v="330"/>
    <n v="0"/>
    <n v="330"/>
    <n v="7425"/>
    <m/>
    <s v="MARCELANDIA"/>
    <s v="32778716149"/>
    <n v="22.5"/>
    <n v="0"/>
  </r>
  <r>
    <d v="2025-04-17T14:15:32"/>
    <n v="196"/>
    <x v="139"/>
    <d v="2025-04-17T00:00:00"/>
    <d v="2026-04-30T00:00:00"/>
    <x v="1"/>
    <x v="0"/>
    <s v="510200"/>
    <x v="57"/>
    <x v="2"/>
    <s v="KG"/>
    <n v="235"/>
    <s v="5062"/>
    <s v="SAFRA 25/26"/>
    <n v="2"/>
    <n v="0"/>
    <n v="2"/>
    <n v="470"/>
    <m/>
    <s v="MARCELANDIA"/>
    <s v="32778716149"/>
    <n v="235"/>
    <n v="0"/>
  </r>
  <r>
    <d v="2025-04-17T14:15:32"/>
    <n v="196"/>
    <x v="139"/>
    <d v="2025-04-17T00:00:00"/>
    <d v="2026-04-30T00:00:00"/>
    <x v="1"/>
    <x v="0"/>
    <s v="510200"/>
    <x v="39"/>
    <x v="0"/>
    <s v="LT"/>
    <n v="20"/>
    <s v="5062"/>
    <s v="SAFRA 25/26"/>
    <n v="140"/>
    <n v="0"/>
    <n v="140"/>
    <n v="2800"/>
    <m/>
    <s v="MARCELANDIA"/>
    <s v="32778716149"/>
    <n v="20"/>
    <n v="0"/>
  </r>
  <r>
    <d v="2025-04-17T14:15:32"/>
    <n v="196"/>
    <x v="139"/>
    <d v="2025-04-17T00:00:00"/>
    <d v="2026-04-30T00:00:00"/>
    <x v="1"/>
    <x v="0"/>
    <s v="510200"/>
    <x v="8"/>
    <x v="0"/>
    <s v="KG"/>
    <n v="70"/>
    <s v="5062"/>
    <s v="SAFRA 25/26"/>
    <n v="42"/>
    <n v="0"/>
    <n v="42"/>
    <n v="2940"/>
    <m/>
    <s v="MARCELANDIA"/>
    <s v="32778716149"/>
    <n v="70"/>
    <n v="0"/>
  </r>
  <r>
    <d v="2025-04-17T14:15:32"/>
    <n v="196"/>
    <x v="139"/>
    <d v="2025-04-17T00:00:00"/>
    <d v="2026-04-30T00:00:00"/>
    <x v="1"/>
    <x v="0"/>
    <s v="510200"/>
    <x v="61"/>
    <x v="2"/>
    <s v="KG"/>
    <n v="32"/>
    <s v="5062"/>
    <s v="SAFRA 25/26"/>
    <n v="180"/>
    <n v="0"/>
    <n v="180"/>
    <n v="5760"/>
    <m/>
    <s v="MARCELANDIA"/>
    <s v="32778716149"/>
    <n v="32"/>
    <n v="0"/>
  </r>
  <r>
    <d v="2025-04-17T14:15:32"/>
    <n v="196"/>
    <x v="139"/>
    <d v="2025-04-17T00:00:00"/>
    <d v="2026-04-30T00:00:00"/>
    <x v="1"/>
    <x v="0"/>
    <s v="510200"/>
    <x v="67"/>
    <x v="2"/>
    <s v="KG"/>
    <n v="175"/>
    <s v="5062"/>
    <s v="SAFRA 25/26"/>
    <n v="40"/>
    <n v="0"/>
    <n v="40"/>
    <n v="7000"/>
    <m/>
    <s v="MARCELANDIA"/>
    <s v="32778716149"/>
    <n v="175"/>
    <n v="0"/>
  </r>
  <r>
    <d v="2025-04-17T14:15:32"/>
    <n v="196"/>
    <x v="139"/>
    <d v="2025-04-17T00:00:00"/>
    <d v="2026-04-30T00:00:00"/>
    <x v="1"/>
    <x v="0"/>
    <s v="510200"/>
    <x v="68"/>
    <x v="2"/>
    <s v="LT"/>
    <n v="16.5"/>
    <s v="5062"/>
    <s v="SAFRA 25/26"/>
    <n v="250"/>
    <n v="0"/>
    <n v="250"/>
    <n v="4125"/>
    <m/>
    <s v="MARCELANDIA"/>
    <s v="32778716149"/>
    <n v="16.5"/>
    <n v="0"/>
  </r>
  <r>
    <d v="2025-04-17T14:15:32"/>
    <n v="196"/>
    <x v="139"/>
    <d v="2025-04-17T00:00:00"/>
    <d v="2026-04-30T00:00:00"/>
    <x v="1"/>
    <x v="0"/>
    <s v="510200"/>
    <x v="12"/>
    <x v="0"/>
    <s v="LT"/>
    <n v="200"/>
    <s v="5062"/>
    <s v="SAFRA 25/26"/>
    <n v="25"/>
    <n v="0"/>
    <n v="25"/>
    <n v="5000"/>
    <m/>
    <s v="MARCELANDIA"/>
    <s v="32778716149"/>
    <n v="200"/>
    <n v="0"/>
  </r>
  <r>
    <d v="2025-04-17T14:15:32"/>
    <n v="196"/>
    <x v="139"/>
    <d v="2025-04-17T00:00:00"/>
    <d v="2026-04-30T00:00:00"/>
    <x v="1"/>
    <x v="0"/>
    <s v="510200"/>
    <x v="59"/>
    <x v="2"/>
    <s v="KG"/>
    <n v="235"/>
    <s v="5062"/>
    <s v="SAFRA 25/26"/>
    <n v="70"/>
    <n v="0"/>
    <n v="70"/>
    <n v="16450"/>
    <m/>
    <s v="MARCELANDIA"/>
    <s v="32778716149"/>
    <n v="235"/>
    <n v="0"/>
  </r>
  <r>
    <d v="2025-04-17T14:15:32"/>
    <n v="196"/>
    <x v="139"/>
    <d v="2025-04-17T00:00:00"/>
    <d v="2026-04-30T00:00:00"/>
    <x v="1"/>
    <x v="0"/>
    <s v="510200"/>
    <x v="60"/>
    <x v="2"/>
    <s v="LT"/>
    <n v="22.5"/>
    <s v="5062"/>
    <s v="SAFRA 25/26"/>
    <n v="220"/>
    <n v="0"/>
    <n v="220"/>
    <n v="4950"/>
    <m/>
    <s v="MARCELANDIA"/>
    <s v="32778716149"/>
    <n v="22.5"/>
    <n v="0"/>
  </r>
  <r>
    <d v="2025-04-22T14:24:04"/>
    <n v="199"/>
    <x v="139"/>
    <d v="2025-04-22T00:00:00"/>
    <d v="2026-04-30T00:00:00"/>
    <x v="1"/>
    <x v="0"/>
    <s v="510200"/>
    <x v="61"/>
    <x v="2"/>
    <s v="KG"/>
    <n v="32"/>
    <s v="5067"/>
    <s v="SAFRA 25/26"/>
    <n v="110"/>
    <n v="0"/>
    <n v="110"/>
    <n v="3520"/>
    <m/>
    <s v="MARCELANDIA"/>
    <s v="32778716149"/>
    <n v="32"/>
    <n v="0"/>
  </r>
  <r>
    <d v="2025-04-22T14:24:04"/>
    <n v="199"/>
    <x v="139"/>
    <d v="2025-04-22T00:00:00"/>
    <d v="2026-04-30T00:00:00"/>
    <x v="1"/>
    <x v="0"/>
    <s v="510200"/>
    <x v="56"/>
    <x v="2"/>
    <s v="KG"/>
    <n v="22.5"/>
    <s v="5067"/>
    <s v="SAFRA 25/26"/>
    <n v="210"/>
    <n v="0"/>
    <n v="210"/>
    <n v="4725"/>
    <m/>
    <s v="MARCELANDIA"/>
    <s v="32778716149"/>
    <n v="22.5"/>
    <n v="0"/>
  </r>
  <r>
    <d v="2025-04-22T14:24:04"/>
    <n v="199"/>
    <x v="139"/>
    <d v="2025-04-22T00:00:00"/>
    <d v="2026-04-30T00:00:00"/>
    <x v="1"/>
    <x v="0"/>
    <s v="510200"/>
    <x v="8"/>
    <x v="0"/>
    <s v="KG"/>
    <n v="70"/>
    <s v="5067"/>
    <s v="SAFRA 25/26"/>
    <n v="18"/>
    <n v="0"/>
    <n v="18"/>
    <n v="1260"/>
    <m/>
    <s v="MARCELANDIA"/>
    <s v="32778716149"/>
    <n v="70"/>
    <n v="0"/>
  </r>
  <r>
    <d v="2025-04-22T14:24:04"/>
    <n v="199"/>
    <x v="139"/>
    <d v="2025-04-22T00:00:00"/>
    <d v="2026-04-30T00:00:00"/>
    <x v="1"/>
    <x v="0"/>
    <s v="510200"/>
    <x v="101"/>
    <x v="2"/>
    <s v="KG"/>
    <n v="60"/>
    <s v="5067"/>
    <s v="SAFRA 25/26"/>
    <n v="40"/>
    <n v="0"/>
    <n v="40"/>
    <n v="2400"/>
    <m/>
    <s v="MARCELANDIA"/>
    <s v="32778716149"/>
    <n v="60"/>
    <n v="0"/>
  </r>
  <r>
    <d v="2025-04-22T14:24:04"/>
    <n v="199"/>
    <x v="139"/>
    <d v="2025-04-22T00:00:00"/>
    <d v="2026-04-30T00:00:00"/>
    <x v="1"/>
    <x v="0"/>
    <s v="510200"/>
    <x v="60"/>
    <x v="2"/>
    <s v="LT"/>
    <n v="22.5"/>
    <s v="5067"/>
    <s v="SAFRA 25/26"/>
    <n v="140"/>
    <n v="0"/>
    <n v="140"/>
    <n v="3150"/>
    <m/>
    <s v="MARCELANDIA"/>
    <s v="32778716149"/>
    <n v="22.5"/>
    <n v="0"/>
  </r>
  <r>
    <d v="2025-04-22T14:24:04"/>
    <n v="199"/>
    <x v="139"/>
    <d v="2025-04-22T00:00:00"/>
    <d v="2026-04-30T00:00:00"/>
    <x v="1"/>
    <x v="0"/>
    <s v="510200"/>
    <x v="68"/>
    <x v="2"/>
    <s v="LT"/>
    <n v="16.5"/>
    <s v="5067"/>
    <s v="SAFRA 25/26"/>
    <n v="125"/>
    <n v="0"/>
    <n v="125"/>
    <n v="2062.5"/>
    <m/>
    <s v="MARCELANDIA"/>
    <s v="32778716149"/>
    <n v="16.5"/>
    <n v="0"/>
  </r>
  <r>
    <d v="2025-04-22T14:24:04"/>
    <n v="199"/>
    <x v="139"/>
    <d v="2025-04-22T00:00:00"/>
    <d v="2026-04-30T00:00:00"/>
    <x v="1"/>
    <x v="0"/>
    <s v="510200"/>
    <x v="12"/>
    <x v="0"/>
    <s v="LT"/>
    <n v="200"/>
    <s v="5067"/>
    <s v="SAFRA 25/26"/>
    <n v="15"/>
    <n v="0"/>
    <n v="15"/>
    <n v="3000"/>
    <m/>
    <s v="MARCELANDIA"/>
    <s v="32778716149"/>
    <n v="200"/>
    <n v="0"/>
  </r>
  <r>
    <d v="2025-04-22T14:24:04"/>
    <n v="199"/>
    <x v="139"/>
    <d v="2025-04-22T00:00:00"/>
    <d v="2026-04-30T00:00:00"/>
    <x v="1"/>
    <x v="0"/>
    <s v="510200"/>
    <x v="39"/>
    <x v="0"/>
    <s v="LT"/>
    <n v="20"/>
    <s v="5067"/>
    <s v="SAFRA 25/26"/>
    <n v="40"/>
    <n v="0"/>
    <n v="40"/>
    <n v="800"/>
    <m/>
    <s v="MARCELANDIA"/>
    <s v="32778716149"/>
    <n v="20"/>
    <n v="0"/>
  </r>
  <r>
    <d v="2025-04-22T14:24:04"/>
    <n v="199"/>
    <x v="139"/>
    <d v="2025-04-22T00:00:00"/>
    <d v="2026-04-30T00:00:00"/>
    <x v="1"/>
    <x v="0"/>
    <s v="510200"/>
    <x v="22"/>
    <x v="2"/>
    <s v="KG"/>
    <n v="19.5"/>
    <s v="5067"/>
    <s v="SAFRA 25/26"/>
    <n v="210"/>
    <n v="0"/>
    <n v="210"/>
    <n v="4095"/>
    <m/>
    <s v="MARCELANDIA"/>
    <s v="32778716149"/>
    <n v="19.5"/>
    <n v="0"/>
  </r>
  <r>
    <d v="2025-04-22T14:24:04"/>
    <n v="199"/>
    <x v="139"/>
    <d v="2025-04-22T00:00:00"/>
    <d v="2026-04-30T00:00:00"/>
    <x v="1"/>
    <x v="0"/>
    <s v="510200"/>
    <x v="67"/>
    <x v="2"/>
    <s v="KG"/>
    <n v="175"/>
    <s v="5067"/>
    <s v="SAFRA 25/26"/>
    <n v="20"/>
    <n v="0"/>
    <n v="20"/>
    <n v="3500"/>
    <m/>
    <s v="MARCELANDIA"/>
    <s v="32778716149"/>
    <n v="175"/>
    <n v="0"/>
  </r>
  <r>
    <d v="2025-09-22T15:20:16"/>
    <n v="309"/>
    <x v="139"/>
    <d v="2025-09-22T00:00:00"/>
    <d v="2026-04-30T00:00:00"/>
    <x v="1"/>
    <x v="0"/>
    <s v="510200"/>
    <x v="2"/>
    <x v="0"/>
    <s v="KG"/>
    <n v="22"/>
    <s v="14"/>
    <s v="SAFRA 25/26"/>
    <n v="200"/>
    <n v="0"/>
    <n v="200"/>
    <n v="4400"/>
    <m/>
    <s v="MARCELANDIA"/>
    <s v="32778716149"/>
    <n v="22"/>
    <n v="0"/>
  </r>
  <r>
    <d v="2025-09-22T15:20:16"/>
    <n v="309"/>
    <x v="139"/>
    <d v="2025-09-22T00:00:00"/>
    <d v="2026-04-30T00:00:00"/>
    <x v="1"/>
    <x v="0"/>
    <s v="510200"/>
    <x v="0"/>
    <x v="0"/>
    <s v="LT"/>
    <n v="16"/>
    <s v="14"/>
    <s v="SAFRA 25/26"/>
    <n v="200"/>
    <n v="0"/>
    <n v="200"/>
    <n v="3200"/>
    <m/>
    <s v="MARCELANDIA"/>
    <s v="32778716149"/>
    <n v="16"/>
    <n v="0"/>
  </r>
  <r>
    <d v="2025-09-22T15:20:16"/>
    <n v="309"/>
    <x v="139"/>
    <d v="2025-09-22T00:00:00"/>
    <d v="2026-04-30T00:00:00"/>
    <x v="1"/>
    <x v="0"/>
    <s v="510200"/>
    <x v="1"/>
    <x v="0"/>
    <s v="LT"/>
    <n v="137"/>
    <s v="14"/>
    <s v="SAFRA 25/26"/>
    <n v="60"/>
    <n v="0"/>
    <n v="60"/>
    <n v="8220"/>
    <m/>
    <s v="MARCELANDIA"/>
    <s v="32778716149"/>
    <n v="137"/>
    <n v="0"/>
  </r>
  <r>
    <d v="2025-09-22T15:20:16"/>
    <n v="309"/>
    <x v="139"/>
    <d v="2025-09-22T00:00:00"/>
    <d v="2026-04-30T00:00:00"/>
    <x v="1"/>
    <x v="0"/>
    <s v="510200"/>
    <x v="8"/>
    <x v="0"/>
    <s v="KG"/>
    <n v="70"/>
    <s v="14"/>
    <s v="SAFRA 25/26"/>
    <n v="42"/>
    <n v="0"/>
    <n v="42"/>
    <n v="2940"/>
    <m/>
    <s v="MARCELANDIA"/>
    <s v="32778716149"/>
    <n v="70"/>
    <n v="0"/>
  </r>
  <r>
    <d v="2025-09-22T15:20:16"/>
    <n v="309"/>
    <x v="139"/>
    <d v="2025-09-22T00:00:00"/>
    <d v="2026-04-30T00:00:00"/>
    <x v="1"/>
    <x v="0"/>
    <s v="510200"/>
    <x v="39"/>
    <x v="0"/>
    <s v="LT"/>
    <n v="22"/>
    <s v="14"/>
    <s v="SAFRA 25/26"/>
    <n v="100"/>
    <n v="0"/>
    <n v="100"/>
    <n v="2200"/>
    <m/>
    <s v="MARCELANDIA"/>
    <s v="32778716149"/>
    <n v="22"/>
    <n v="0"/>
  </r>
  <r>
    <d v="2025-09-22T15:20:16"/>
    <n v="309"/>
    <x v="139"/>
    <d v="2025-09-22T00:00:00"/>
    <d v="2026-04-30T00:00:00"/>
    <x v="1"/>
    <x v="0"/>
    <s v="510200"/>
    <x v="46"/>
    <x v="0"/>
    <s v="LT"/>
    <n v="16"/>
    <s v="14"/>
    <s v="SAFRA 25/26"/>
    <n v="200"/>
    <n v="0"/>
    <n v="200"/>
    <n v="3200"/>
    <m/>
    <s v="MARCELANDIA"/>
    <s v="32778716149"/>
    <n v="16"/>
    <n v="0"/>
  </r>
  <r>
    <d v="2025-09-22T15:20:16"/>
    <n v="309"/>
    <x v="139"/>
    <d v="2025-09-22T00:00:00"/>
    <d v="2026-04-30T00:00:00"/>
    <x v="1"/>
    <x v="0"/>
    <s v="510200"/>
    <x v="45"/>
    <x v="0"/>
    <s v="KG"/>
    <n v="18"/>
    <s v="14"/>
    <s v="SAFRA 25/26"/>
    <n v="300"/>
    <n v="0"/>
    <n v="300"/>
    <n v="5400"/>
    <m/>
    <s v="MARCELANDIA"/>
    <s v="32778716149"/>
    <n v="18"/>
    <n v="0"/>
  </r>
  <r>
    <d v="2025-09-22T15:20:16"/>
    <n v="309"/>
    <x v="139"/>
    <d v="2025-09-22T00:00:00"/>
    <d v="2026-04-30T00:00:00"/>
    <x v="1"/>
    <x v="0"/>
    <s v="510200"/>
    <x v="3"/>
    <x v="0"/>
    <s v="LT"/>
    <n v="22"/>
    <s v="14"/>
    <s v="SAFRA 25/26"/>
    <n v="200"/>
    <n v="0"/>
    <n v="200"/>
    <n v="4400"/>
    <m/>
    <s v="MARCELANDIA"/>
    <s v="32778716149"/>
    <n v="22"/>
    <n v="0"/>
  </r>
  <r>
    <d v="2025-09-22T15:20:16"/>
    <n v="309"/>
    <x v="139"/>
    <d v="2025-09-22T00:00:00"/>
    <d v="2026-04-30T00:00:00"/>
    <x v="1"/>
    <x v="0"/>
    <s v="510200"/>
    <x v="5"/>
    <x v="0"/>
    <s v="KG"/>
    <n v="20"/>
    <s v="14"/>
    <s v="SAFRA 25/26"/>
    <n v="200"/>
    <n v="0"/>
    <n v="200"/>
    <n v="4000"/>
    <m/>
    <s v="MARCELANDIA"/>
    <s v="32778716149"/>
    <n v="20"/>
    <n v="0"/>
  </r>
  <r>
    <d v="2025-09-22T15:20:16"/>
    <n v="309"/>
    <x v="139"/>
    <d v="2025-09-22T00:00:00"/>
    <d v="2026-04-30T00:00:00"/>
    <x v="1"/>
    <x v="0"/>
    <s v="510200"/>
    <x v="12"/>
    <x v="0"/>
    <s v="LT"/>
    <n v="219"/>
    <s v="14"/>
    <s v="SAFRA 25/26"/>
    <n v="20"/>
    <n v="0"/>
    <n v="20"/>
    <n v="4380"/>
    <m/>
    <s v="MARCELANDIA"/>
    <s v="32778716149"/>
    <n v="219"/>
    <n v="0"/>
  </r>
  <r>
    <d v="2026-03-06T07:44:11"/>
    <n v="572"/>
    <x v="139"/>
    <d v="2026-03-06T00:00:00"/>
    <d v="2026-08-30T00:00:00"/>
    <x v="1"/>
    <x v="0"/>
    <s v="510200"/>
    <x v="39"/>
    <x v="0"/>
    <s v="LT"/>
    <n v="24"/>
    <s v="489"/>
    <s v="SAFRINHA 2026"/>
    <n v="40"/>
    <n v="0"/>
    <n v="40"/>
    <n v="960"/>
    <m/>
    <s v="MARCELANDIA"/>
    <s v="32778716149"/>
    <n v="24"/>
    <n v="0"/>
  </r>
  <r>
    <d v="2025-05-15T14:48:01"/>
    <n v="3843"/>
    <x v="140"/>
    <d v="2025-05-14T00:00:00"/>
    <d v="2025-09-30T00:00:00"/>
    <x v="0"/>
    <x v="1"/>
    <s v="510200"/>
    <x v="11"/>
    <x v="1"/>
    <s v="LT"/>
    <n v="298"/>
    <s v="4824"/>
    <s v="SAFRA 25/26"/>
    <n v="500"/>
    <n v="0"/>
    <n v="500"/>
    <n v="149000"/>
    <m/>
    <s v="NOVA UBIRATA"/>
    <s v="53960793987"/>
    <n v="298"/>
    <n v="0"/>
  </r>
  <r>
    <d v="2025-05-15T14:48:01"/>
    <n v="3843"/>
    <x v="140"/>
    <d v="2025-05-14T00:00:00"/>
    <d v="2025-09-30T00:00:00"/>
    <x v="0"/>
    <x v="1"/>
    <s v="510200"/>
    <x v="13"/>
    <x v="1"/>
    <s v="LT"/>
    <n v="46"/>
    <s v="4824"/>
    <s v="SAFRA 25/26"/>
    <n v="2775"/>
    <n v="0"/>
    <n v="2775"/>
    <n v="127650"/>
    <m/>
    <s v="NOVA UBIRATA"/>
    <s v="53960793987"/>
    <n v="46"/>
    <n v="0"/>
  </r>
  <r>
    <d v="2025-05-15T14:48:01"/>
    <n v="3843"/>
    <x v="140"/>
    <d v="2025-05-14T00:00:00"/>
    <d v="2025-09-30T00:00:00"/>
    <x v="0"/>
    <x v="1"/>
    <s v="510200"/>
    <x v="10"/>
    <x v="1"/>
    <s v="LT"/>
    <n v="298"/>
    <s v="4824"/>
    <s v="SAFRA 25/26"/>
    <n v="450"/>
    <n v="0"/>
    <n v="450"/>
    <n v="134100"/>
    <m/>
    <s v="NOVA UBIRATA"/>
    <s v="53960793987"/>
    <n v="298"/>
    <n v="0"/>
  </r>
  <r>
    <d v="2025-05-15T14:48:01"/>
    <n v="3843"/>
    <x v="140"/>
    <d v="2025-05-14T00:00:00"/>
    <d v="2025-09-30T00:00:00"/>
    <x v="0"/>
    <x v="1"/>
    <s v="510200"/>
    <x v="25"/>
    <x v="1"/>
    <s v="KG"/>
    <n v="596"/>
    <s v="4824"/>
    <s v="SAFRA 25/26"/>
    <n v="25"/>
    <n v="0"/>
    <n v="25"/>
    <n v="14900"/>
    <m/>
    <s v="NOVA UBIRATA"/>
    <s v="53960793987"/>
    <n v="596"/>
    <n v="0"/>
  </r>
  <r>
    <d v="2025-05-15T14:48:01"/>
    <n v="3843"/>
    <x v="140"/>
    <d v="2025-05-14T00:00:00"/>
    <d v="2025-09-30T00:00:00"/>
    <x v="0"/>
    <x v="1"/>
    <s v="510200"/>
    <x v="17"/>
    <x v="1"/>
    <s v="LT"/>
    <n v="46"/>
    <s v="4824"/>
    <s v="SAFRA 25/26"/>
    <n v="225"/>
    <n v="0"/>
    <n v="225"/>
    <n v="10350"/>
    <m/>
    <s v="NOVA UBIRATA"/>
    <s v="53960793987"/>
    <n v="46"/>
    <n v="0"/>
  </r>
  <r>
    <d v="2025-05-15T14:48:01"/>
    <n v="3843"/>
    <x v="140"/>
    <d v="2025-05-14T00:00:00"/>
    <d v="2025-09-30T00:00:00"/>
    <x v="0"/>
    <x v="1"/>
    <s v="510200"/>
    <x v="9"/>
    <x v="1"/>
    <s v="LT"/>
    <n v="46"/>
    <s v="4824"/>
    <s v="SAFRA 25/26"/>
    <n v="750"/>
    <n v="0"/>
    <n v="750"/>
    <n v="34500"/>
    <m/>
    <s v="NOVA UBIRATA"/>
    <s v="53960793987"/>
    <n v="46"/>
    <n v="0"/>
  </r>
  <r>
    <d v="2025-05-15T14:48:01"/>
    <n v="3843"/>
    <x v="140"/>
    <d v="2025-05-14T00:00:00"/>
    <d v="2025-09-30T00:00:00"/>
    <x v="0"/>
    <x v="1"/>
    <s v="510200"/>
    <x v="14"/>
    <x v="1"/>
    <s v="KG"/>
    <n v="380"/>
    <s v="4824"/>
    <s v="SAFRA 25/26"/>
    <n v="500"/>
    <n v="0"/>
    <n v="500"/>
    <n v="190000"/>
    <m/>
    <s v="NOVA UBIRATA"/>
    <s v="53960793987"/>
    <n v="380"/>
    <n v="0"/>
  </r>
  <r>
    <d v="2025-05-15T14:56:09"/>
    <n v="3844"/>
    <x v="140"/>
    <d v="2025-05-14T00:00:00"/>
    <d v="2026-04-30T00:00:00"/>
    <x v="0"/>
    <x v="1"/>
    <s v="510200"/>
    <x v="14"/>
    <x v="1"/>
    <s v="KG"/>
    <n v="380"/>
    <s v="4825"/>
    <s v="SAFRINHA 2026"/>
    <n v="500"/>
    <n v="0"/>
    <n v="500"/>
    <n v="190000"/>
    <m/>
    <s v="NOVA UBIRATA"/>
    <s v="53960793987"/>
    <n v="380"/>
    <n v="0"/>
  </r>
  <r>
    <d v="2025-05-15T14:56:09"/>
    <n v="3844"/>
    <x v="140"/>
    <d v="2025-05-14T00:00:00"/>
    <d v="2026-04-30T00:00:00"/>
    <x v="0"/>
    <x v="1"/>
    <s v="510200"/>
    <x v="9"/>
    <x v="1"/>
    <s v="LT"/>
    <n v="46"/>
    <s v="4825"/>
    <s v="SAFRINHA 2026"/>
    <n v="1002"/>
    <n v="0"/>
    <n v="1002"/>
    <n v="46092"/>
    <m/>
    <s v="NOVA UBIRATA"/>
    <s v="53960793987"/>
    <n v="46"/>
    <n v="0"/>
  </r>
  <r>
    <d v="2025-05-15T14:56:09"/>
    <n v="3844"/>
    <x v="140"/>
    <d v="2025-05-14T00:00:00"/>
    <d v="2026-04-30T00:00:00"/>
    <x v="0"/>
    <x v="1"/>
    <s v="510200"/>
    <x v="11"/>
    <x v="1"/>
    <s v="LT"/>
    <n v="298"/>
    <s v="4825"/>
    <s v="SAFRINHA 2026"/>
    <n v="500"/>
    <n v="0"/>
    <n v="500"/>
    <n v="149000"/>
    <m/>
    <s v="NOVA UBIRATA"/>
    <s v="53960793987"/>
    <n v="298"/>
    <n v="0"/>
  </r>
  <r>
    <d v="2025-05-15T14:56:09"/>
    <n v="3844"/>
    <x v="140"/>
    <d v="2025-05-14T00:00:00"/>
    <d v="2026-04-30T00:00:00"/>
    <x v="0"/>
    <x v="1"/>
    <s v="510200"/>
    <x v="10"/>
    <x v="1"/>
    <s v="LT"/>
    <n v="298"/>
    <s v="4825"/>
    <s v="SAFRINHA 2026"/>
    <n v="500"/>
    <n v="0"/>
    <n v="500"/>
    <n v="149000"/>
    <m/>
    <s v="NOVA UBIRATA"/>
    <s v="53960793987"/>
    <n v="298"/>
    <n v="0"/>
  </r>
  <r>
    <d v="2025-10-06T08:52:21"/>
    <n v="4126"/>
    <x v="140"/>
    <d v="2025-10-06T00:00:00"/>
    <d v="2026-04-30T00:00:00"/>
    <x v="9"/>
    <x v="0"/>
    <s v="510200"/>
    <x v="15"/>
    <x v="2"/>
    <s v="LT"/>
    <n v="145"/>
    <s v="5641"/>
    <s v="SAFRA 25/26"/>
    <n v="12"/>
    <n v="0"/>
    <n v="12"/>
    <n v="1740"/>
    <m/>
    <s v="NOVA UBIRATA"/>
    <s v="53960793987"/>
    <n v="145"/>
    <n v="0"/>
  </r>
  <r>
    <d v="2025-11-29T09:57:43"/>
    <n v="4310"/>
    <x v="140"/>
    <d v="2025-11-29T00:00:00"/>
    <d v="2026-03-30T00:00:00"/>
    <x v="0"/>
    <x v="0"/>
    <s v="510200"/>
    <x v="49"/>
    <x v="0"/>
    <s v="LT"/>
    <n v="80"/>
    <m/>
    <s v="SAFRA 25/26"/>
    <n v="10"/>
    <n v="0"/>
    <n v="10"/>
    <n v="800"/>
    <m/>
    <s v="NOVA UBIRATA"/>
    <s v="53960793987"/>
    <n v="80"/>
    <n v="0"/>
  </r>
  <r>
    <d v="2025-12-06T08:32:41"/>
    <n v="4332"/>
    <x v="140"/>
    <d v="2025-12-06T00:00:00"/>
    <d v="2026-03-30T00:00:00"/>
    <x v="0"/>
    <x v="0"/>
    <s v="510200"/>
    <x v="31"/>
    <x v="0"/>
    <s v="LT"/>
    <n v="160"/>
    <m/>
    <s v="SAFRA 25/26"/>
    <n v="12"/>
    <n v="0"/>
    <n v="12"/>
    <n v="1920"/>
    <m/>
    <s v="NOVA UBIRATA"/>
    <s v="53960793987"/>
    <n v="160"/>
    <n v="0"/>
  </r>
  <r>
    <d v="2025-04-17T08:39:51"/>
    <n v="187"/>
    <x v="141"/>
    <d v="2025-04-17T00:00:00"/>
    <d v="2026-04-30T00:00:00"/>
    <x v="13"/>
    <x v="0"/>
    <s v="510200"/>
    <x v="6"/>
    <x v="0"/>
    <s v="LT"/>
    <n v="68"/>
    <s v="5212"/>
    <s v="SAFRA 25/26"/>
    <n v="340"/>
    <n v="0"/>
    <n v="340"/>
    <n v="23120"/>
    <m/>
    <s v="NOVA SANTA HELENA"/>
    <s v="34620702900"/>
    <n v="68"/>
    <n v="0"/>
  </r>
  <r>
    <d v="2025-04-17T08:39:51"/>
    <n v="187"/>
    <x v="141"/>
    <d v="2025-04-17T00:00:00"/>
    <d v="2026-04-30T00:00:00"/>
    <x v="13"/>
    <x v="0"/>
    <s v="510200"/>
    <x v="37"/>
    <x v="2"/>
    <s v="LT"/>
    <n v="25"/>
    <s v="5212"/>
    <s v="SAFRA 25/26"/>
    <n v="1000"/>
    <n v="0"/>
    <n v="1000"/>
    <n v="25000"/>
    <m/>
    <s v="NOVA SANTA HELENA"/>
    <s v="34620702900"/>
    <n v="25"/>
    <n v="0"/>
  </r>
  <r>
    <d v="2025-04-17T08:39:51"/>
    <n v="187"/>
    <x v="141"/>
    <d v="2025-04-17T00:00:00"/>
    <d v="2026-04-30T00:00:00"/>
    <x v="13"/>
    <x v="0"/>
    <s v="510200"/>
    <x v="65"/>
    <x v="0"/>
    <s v="LT"/>
    <n v="20"/>
    <s v="5212"/>
    <s v="SAFRA 25/26"/>
    <n v="220"/>
    <n v="0"/>
    <n v="220"/>
    <n v="4400"/>
    <m/>
    <s v="NOVA SANTA HELENA"/>
    <s v="34620702900"/>
    <n v="20"/>
    <n v="0"/>
  </r>
  <r>
    <d v="2025-04-17T08:39:51"/>
    <n v="187"/>
    <x v="141"/>
    <d v="2025-04-17T00:00:00"/>
    <d v="2026-04-30T00:00:00"/>
    <x v="13"/>
    <x v="0"/>
    <s v="510200"/>
    <x v="7"/>
    <x v="0"/>
    <s v="LT"/>
    <n v="68"/>
    <s v="5212"/>
    <s v="SAFRA 25/26"/>
    <n v="180"/>
    <n v="0"/>
    <n v="180"/>
    <n v="12240"/>
    <m/>
    <s v="NOVA SANTA HELENA"/>
    <s v="34620702900"/>
    <n v="68"/>
    <n v="0"/>
  </r>
  <r>
    <d v="2025-04-17T13:53:53"/>
    <n v="195"/>
    <x v="141"/>
    <d v="2025-04-17T00:00:00"/>
    <d v="2026-08-30T00:00:00"/>
    <x v="13"/>
    <x v="0"/>
    <s v="510200"/>
    <x v="7"/>
    <x v="0"/>
    <s v="LT"/>
    <n v="68"/>
    <s v="5213"/>
    <s v="SAFRINHA 2026"/>
    <n v="120"/>
    <n v="0"/>
    <n v="120"/>
    <n v="8160"/>
    <m/>
    <s v="NOVA SANTA HELENA"/>
    <s v="34620702900"/>
    <n v="68"/>
    <n v="0"/>
  </r>
  <r>
    <d v="2025-04-17T13:53:53"/>
    <n v="195"/>
    <x v="141"/>
    <d v="2025-04-17T00:00:00"/>
    <d v="2026-08-30T00:00:00"/>
    <x v="13"/>
    <x v="0"/>
    <s v="510200"/>
    <x v="6"/>
    <x v="0"/>
    <s v="LT"/>
    <n v="68"/>
    <s v="5213"/>
    <s v="SAFRINHA 2026"/>
    <n v="300"/>
    <n v="0"/>
    <n v="300"/>
    <n v="20400"/>
    <m/>
    <s v="NOVA SANTA HELENA"/>
    <s v="34620702900"/>
    <n v="68"/>
    <n v="0"/>
  </r>
  <r>
    <d v="2025-04-17T13:53:53"/>
    <n v="195"/>
    <x v="141"/>
    <d v="2025-04-17T00:00:00"/>
    <d v="2026-08-30T00:00:00"/>
    <x v="13"/>
    <x v="0"/>
    <s v="510200"/>
    <x v="64"/>
    <x v="2"/>
    <s v="LT"/>
    <n v="16"/>
    <s v="5213"/>
    <s v="SAFRINHA 2026"/>
    <n v="275"/>
    <n v="0"/>
    <n v="275"/>
    <n v="4400"/>
    <m/>
    <s v="NOVA SANTA HELENA"/>
    <s v="34620702900"/>
    <n v="16"/>
    <n v="0"/>
  </r>
  <r>
    <d v="2025-04-17T13:53:53"/>
    <n v="195"/>
    <x v="141"/>
    <d v="2025-04-17T00:00:00"/>
    <d v="2026-08-30T00:00:00"/>
    <x v="13"/>
    <x v="0"/>
    <s v="510200"/>
    <x v="37"/>
    <x v="2"/>
    <s v="LT"/>
    <n v="25"/>
    <s v="5213"/>
    <s v="SAFRINHA 2026"/>
    <n v="825"/>
    <n v="525"/>
    <n v="300"/>
    <n v="7500"/>
    <m/>
    <s v="NOVA SANTA HELENA"/>
    <s v="34620702900"/>
    <n v="25"/>
    <n v="0"/>
  </r>
  <r>
    <d v="2025-10-07T09:05:08"/>
    <n v="330"/>
    <x v="141"/>
    <d v="2025-10-07T00:00:00"/>
    <d v="2026-04-30T00:00:00"/>
    <x v="13"/>
    <x v="0"/>
    <s v="510200"/>
    <x v="0"/>
    <x v="0"/>
    <s v="LT"/>
    <n v="16"/>
    <s v="233"/>
    <s v="SAFRA 25/26"/>
    <n v="40"/>
    <n v="0"/>
    <n v="40"/>
    <n v="640"/>
    <m/>
    <s v="NOVA SANTA HELENA"/>
    <s v="34620702900"/>
    <n v="16"/>
    <n v="0"/>
  </r>
  <r>
    <d v="2025-10-07T09:05:08"/>
    <n v="330"/>
    <x v="141"/>
    <d v="2025-10-07T00:00:00"/>
    <d v="2026-04-30T00:00:00"/>
    <x v="13"/>
    <x v="0"/>
    <s v="510200"/>
    <x v="5"/>
    <x v="0"/>
    <s v="KG"/>
    <n v="26"/>
    <s v="233"/>
    <s v="SAFRA 25/26"/>
    <n v="60"/>
    <n v="0"/>
    <n v="60"/>
    <n v="1560"/>
    <m/>
    <s v="NOVA SANTA HELENA"/>
    <s v="34620702900"/>
    <n v="26"/>
    <n v="0"/>
  </r>
  <r>
    <d v="2025-10-07T09:05:08"/>
    <n v="330"/>
    <x v="141"/>
    <d v="2025-10-07T00:00:00"/>
    <d v="2026-04-30T00:00:00"/>
    <x v="13"/>
    <x v="0"/>
    <s v="510200"/>
    <x v="2"/>
    <x v="0"/>
    <s v="KG"/>
    <n v="49.5"/>
    <s v="233"/>
    <s v="SAFRA 25/26"/>
    <n v="60"/>
    <n v="0"/>
    <n v="60"/>
    <n v="2970"/>
    <m/>
    <s v="NOVA SANTA HELENA"/>
    <s v="34620702900"/>
    <n v="49.5"/>
    <n v="0"/>
  </r>
  <r>
    <d v="2025-10-07T09:05:08"/>
    <n v="330"/>
    <x v="141"/>
    <d v="2025-10-07T00:00:00"/>
    <d v="2026-04-30T00:00:00"/>
    <x v="13"/>
    <x v="0"/>
    <s v="510200"/>
    <x v="46"/>
    <x v="0"/>
    <s v="LT"/>
    <n v="17.5"/>
    <s v="233"/>
    <s v="SAFRA 25/26"/>
    <n v="120"/>
    <n v="0"/>
    <n v="120"/>
    <n v="2100"/>
    <m/>
    <s v="NOVA SANTA HELENA"/>
    <s v="34620702900"/>
    <n v="17.5"/>
    <n v="0"/>
  </r>
  <r>
    <d v="2025-11-03T07:28:17"/>
    <n v="394"/>
    <x v="141"/>
    <d v="2025-11-03T00:00:00"/>
    <d v="2026-04-30T00:00:00"/>
    <x v="13"/>
    <x v="0"/>
    <s v="510200"/>
    <x v="64"/>
    <x v="2"/>
    <s v="LT"/>
    <n v="16"/>
    <s v="93"/>
    <s v="SAFRA 25/26"/>
    <n v="50"/>
    <n v="0"/>
    <n v="50"/>
    <n v="800"/>
    <m/>
    <s v="NOVA SANTA HELENA"/>
    <s v="34620702900"/>
    <n v="16"/>
    <n v="0"/>
  </r>
  <r>
    <d v="2025-11-03T07:28:17"/>
    <n v="394"/>
    <x v="141"/>
    <d v="2025-11-03T00:00:00"/>
    <d v="2026-04-30T00:00:00"/>
    <x v="13"/>
    <x v="0"/>
    <s v="510200"/>
    <x v="65"/>
    <x v="0"/>
    <s v="LT"/>
    <n v="20"/>
    <s v="93"/>
    <s v="SAFRA 25/26"/>
    <n v="380"/>
    <n v="0"/>
    <n v="380"/>
    <n v="7600"/>
    <m/>
    <s v="NOVA SANTA HELENA"/>
    <s v="34620702900"/>
    <n v="20"/>
    <n v="0"/>
  </r>
  <r>
    <d v="2026-02-20T08:51:05"/>
    <n v="557"/>
    <x v="141"/>
    <d v="2026-02-20T00:00:00"/>
    <d v="2026-08-30T00:00:00"/>
    <x v="13"/>
    <x v="0"/>
    <s v="510200"/>
    <x v="49"/>
    <x v="0"/>
    <s v="LT"/>
    <n v="160"/>
    <s v="389"/>
    <s v="SAFRINHA 2026"/>
    <n v="120"/>
    <n v="0"/>
    <n v="120"/>
    <n v="19200"/>
    <m/>
    <s v="NOVA SANTA HELENA"/>
    <s v="34620702900"/>
    <n v="160"/>
    <n v="0"/>
  </r>
  <r>
    <d v="2025-11-21T17:45:02"/>
    <n v="420"/>
    <x v="142"/>
    <d v="2025-11-21T00:00:00"/>
    <d v="2026-04-30T00:00:00"/>
    <x v="1"/>
    <x v="0"/>
    <s v="510200"/>
    <x v="46"/>
    <x v="0"/>
    <s v="LT"/>
    <n v="19"/>
    <s v="100"/>
    <s v="SAFRA 25/26"/>
    <n v="60"/>
    <n v="0"/>
    <n v="60"/>
    <n v="1140"/>
    <m/>
    <s v="NOVA SANTA HELENA"/>
    <s v="83017046168"/>
    <n v="19"/>
    <n v="0"/>
  </r>
  <r>
    <d v="2026-01-20T08:48:14"/>
    <n v="508"/>
    <x v="142"/>
    <d v="2026-01-20T00:00:00"/>
    <d v="2026-09-30T00:00:00"/>
    <x v="1"/>
    <x v="2"/>
    <s v="510200"/>
    <x v="10"/>
    <x v="1"/>
    <s v="LT"/>
    <n v="320"/>
    <s v="478"/>
    <s v="SAFRINHA 2026"/>
    <n v="35"/>
    <n v="0"/>
    <n v="35"/>
    <n v="11200"/>
    <m/>
    <s v="NOVA SANTA HELENA"/>
    <s v="83017046168"/>
    <n v="320"/>
    <n v="0"/>
  </r>
  <r>
    <d v="2026-01-20T08:48:14"/>
    <n v="508"/>
    <x v="142"/>
    <d v="2026-01-20T00:00:00"/>
    <d v="2026-09-30T00:00:00"/>
    <x v="1"/>
    <x v="2"/>
    <s v="510200"/>
    <x v="18"/>
    <x v="1"/>
    <s v="KG"/>
    <n v="198"/>
    <s v="478"/>
    <s v="SAFRINHA 2026"/>
    <n v="110"/>
    <n v="0"/>
    <n v="110"/>
    <n v="21780"/>
    <m/>
    <s v="NOVA SANTA HELENA"/>
    <s v="83017046168"/>
    <n v="198"/>
    <n v="0"/>
  </r>
  <r>
    <d v="2025-06-24T15:25:17"/>
    <n v="237"/>
    <x v="143"/>
    <d v="2025-06-24T00:00:00"/>
    <d v="2026-08-30T00:00:00"/>
    <x v="2"/>
    <x v="0"/>
    <s v="510200"/>
    <x v="19"/>
    <x v="0"/>
    <s v="LT"/>
    <n v="878"/>
    <s v="5169"/>
    <s v="SAFRINHA 2026"/>
    <n v="10"/>
    <n v="0"/>
    <n v="10"/>
    <n v="8780"/>
    <m/>
    <s v="TABAPORA"/>
    <s v="00224953125"/>
    <n v="878"/>
    <n v="0"/>
  </r>
  <r>
    <d v="2025-06-24T15:25:17"/>
    <n v="237"/>
    <x v="143"/>
    <d v="2025-06-24T00:00:00"/>
    <d v="2026-08-30T00:00:00"/>
    <x v="2"/>
    <x v="2"/>
    <s v="510200"/>
    <x v="10"/>
    <x v="1"/>
    <s v="LT"/>
    <n v="370"/>
    <s v="5169"/>
    <s v="SAFRINHA 2026"/>
    <n v="56"/>
    <n v="0"/>
    <n v="56"/>
    <n v="20720"/>
    <m/>
    <s v="TABAPORA"/>
    <s v="00224953125"/>
    <n v="370"/>
    <n v="0"/>
  </r>
  <r>
    <d v="2025-06-24T15:25:17"/>
    <n v="237"/>
    <x v="143"/>
    <d v="2025-06-24T00:00:00"/>
    <d v="2026-08-30T00:00:00"/>
    <x v="2"/>
    <x v="2"/>
    <s v="510200"/>
    <x v="11"/>
    <x v="1"/>
    <s v="LT"/>
    <n v="370"/>
    <s v="5169"/>
    <s v="SAFRINHA 2026"/>
    <n v="56"/>
    <n v="0"/>
    <n v="56"/>
    <n v="20720"/>
    <m/>
    <s v="TABAPORA"/>
    <s v="00224953125"/>
    <n v="370"/>
    <n v="0"/>
  </r>
  <r>
    <d v="2025-06-24T15:25:17"/>
    <n v="237"/>
    <x v="143"/>
    <d v="2025-06-24T00:00:00"/>
    <d v="2026-08-30T00:00:00"/>
    <x v="2"/>
    <x v="2"/>
    <s v="510200"/>
    <x v="18"/>
    <x v="1"/>
    <s v="KG"/>
    <n v="200"/>
    <s v="5169"/>
    <s v="SAFRINHA 2026"/>
    <n v="90"/>
    <n v="0"/>
    <n v="90"/>
    <n v="18000"/>
    <m/>
    <s v="TABAPORA"/>
    <s v="00224953125"/>
    <n v="200"/>
    <n v="0"/>
  </r>
  <r>
    <d v="2025-06-24T15:25:17"/>
    <n v="237"/>
    <x v="143"/>
    <d v="2025-06-24T00:00:00"/>
    <d v="2026-08-30T00:00:00"/>
    <x v="2"/>
    <x v="2"/>
    <s v="510200"/>
    <x v="9"/>
    <x v="1"/>
    <s v="LT"/>
    <n v="50"/>
    <s v="5169"/>
    <s v="SAFRINHA 2026"/>
    <n v="114"/>
    <n v="0"/>
    <n v="114"/>
    <n v="5700"/>
    <m/>
    <s v="TABAPORA"/>
    <s v="00224953125"/>
    <n v="50"/>
    <n v="0"/>
  </r>
  <r>
    <d v="2025-06-24T15:25:17"/>
    <n v="237"/>
    <x v="143"/>
    <d v="2025-06-24T00:00:00"/>
    <d v="2026-08-30T00:00:00"/>
    <x v="2"/>
    <x v="0"/>
    <s v="510200"/>
    <x v="12"/>
    <x v="0"/>
    <s v="LT"/>
    <n v="190"/>
    <s v="5169"/>
    <s v="SAFRINHA 2026"/>
    <n v="115"/>
    <n v="0"/>
    <n v="115"/>
    <n v="21850"/>
    <m/>
    <s v="TABAPORA"/>
    <s v="00224953125"/>
    <n v="190"/>
    <n v="0"/>
  </r>
  <r>
    <d v="2026-03-06T08:24:01"/>
    <n v="4632"/>
    <x v="144"/>
    <d v="2026-03-06T00:00:00"/>
    <d v="2026-03-07T00:00:00"/>
    <x v="3"/>
    <x v="0"/>
    <s v="510200"/>
    <x v="21"/>
    <x v="2"/>
    <s v="KG"/>
    <n v="45"/>
    <s v="6118"/>
    <s v="SAFRINHA 2026"/>
    <n v="60"/>
    <n v="0"/>
    <n v="60"/>
    <n v="2700"/>
    <m/>
    <s v="FELIZ NATAL"/>
    <s v="03034331169"/>
    <n v="45"/>
    <n v="0"/>
  </r>
  <r>
    <d v="2026-01-21T17:13:47"/>
    <n v="512"/>
    <x v="145"/>
    <d v="2026-01-21T00:00:00"/>
    <d v="2026-05-15T00:00:00"/>
    <x v="13"/>
    <x v="0"/>
    <s v="510200"/>
    <x v="106"/>
    <x v="0"/>
    <s v="KG"/>
    <n v="17.5"/>
    <s v="5233"/>
    <s v="SAFRA 25/26"/>
    <n v="150"/>
    <n v="0"/>
    <n v="150"/>
    <n v="2625"/>
    <m/>
    <s v="PEIXOTO DE AZEVEDO"/>
    <s v="07824039994"/>
    <n v="17.5"/>
    <n v="0"/>
  </r>
  <r>
    <d v="2025-07-18T14:38:37"/>
    <n v="3937"/>
    <x v="146"/>
    <d v="2025-07-18T00:00:00"/>
    <d v="2026-03-30T00:00:00"/>
    <x v="1"/>
    <x v="0"/>
    <s v="510200"/>
    <x v="107"/>
    <x v="2"/>
    <s v="LT"/>
    <n v="12"/>
    <s v="5466"/>
    <s v="SAFRA 25/26"/>
    <n v="220"/>
    <n v="0"/>
    <n v="220"/>
    <n v="2640"/>
    <m/>
    <s v="SORRISO"/>
    <s v="84053283191"/>
    <n v="12"/>
    <n v="0"/>
  </r>
  <r>
    <d v="2025-12-22T15:19:05"/>
    <n v="4374"/>
    <x v="146"/>
    <d v="2025-12-22T00:00:00"/>
    <d v="2026-09-30T00:00:00"/>
    <x v="1"/>
    <x v="2"/>
    <s v="510200"/>
    <x v="18"/>
    <x v="1"/>
    <s v="KG"/>
    <n v="190"/>
    <s v="191"/>
    <s v="SAFRINHA 2026"/>
    <n v="100"/>
    <n v="0"/>
    <n v="100"/>
    <n v="19000"/>
    <m/>
    <s v="SORRISO"/>
    <s v="84053283191"/>
    <n v="190"/>
    <n v="0"/>
  </r>
  <r>
    <d v="2025-12-22T15:19:05"/>
    <n v="4374"/>
    <x v="146"/>
    <d v="2025-12-22T00:00:00"/>
    <d v="2026-09-30T00:00:00"/>
    <x v="1"/>
    <x v="2"/>
    <s v="510200"/>
    <x v="10"/>
    <x v="1"/>
    <s v="LT"/>
    <n v="340"/>
    <s v="191"/>
    <s v="SAFRINHA 2026"/>
    <n v="48"/>
    <n v="0"/>
    <n v="48"/>
    <n v="16320"/>
    <m/>
    <s v="SORRISO"/>
    <s v="84053283191"/>
    <n v="340"/>
    <n v="0"/>
  </r>
  <r>
    <d v="2025-12-22T15:19:05"/>
    <n v="4374"/>
    <x v="146"/>
    <d v="2025-12-22T00:00:00"/>
    <d v="2026-09-30T00:00:00"/>
    <x v="1"/>
    <x v="0"/>
    <s v="510200"/>
    <x v="19"/>
    <x v="0"/>
    <s v="LT"/>
    <n v="940"/>
    <s v="191"/>
    <s v="SAFRINHA 2026"/>
    <n v="2"/>
    <n v="0"/>
    <n v="2"/>
    <n v="1880"/>
    <m/>
    <s v="SORRISO"/>
    <s v="84053283191"/>
    <n v="940"/>
    <n v="0"/>
  </r>
  <r>
    <d v="2025-12-22T15:19:05"/>
    <n v="4374"/>
    <x v="146"/>
    <d v="2025-12-22T00:00:00"/>
    <d v="2026-09-30T00:00:00"/>
    <x v="1"/>
    <x v="0"/>
    <s v="510200"/>
    <x v="12"/>
    <x v="0"/>
    <s v="LT"/>
    <n v="250"/>
    <s v="191"/>
    <s v="SAFRINHA 2026"/>
    <n v="20"/>
    <n v="0"/>
    <n v="20"/>
    <n v="5000"/>
    <m/>
    <s v="SORRISO"/>
    <s v="84053283191"/>
    <n v="250"/>
    <n v="0"/>
  </r>
  <r>
    <d v="2025-12-22T15:19:05"/>
    <n v="4374"/>
    <x v="146"/>
    <d v="2025-12-22T00:00:00"/>
    <d v="2026-09-30T00:00:00"/>
    <x v="1"/>
    <x v="2"/>
    <s v="510200"/>
    <x v="11"/>
    <x v="1"/>
    <s v="LT"/>
    <n v="340"/>
    <s v="191"/>
    <s v="SAFRINHA 2026"/>
    <n v="48"/>
    <n v="0"/>
    <n v="48"/>
    <n v="16320"/>
    <m/>
    <s v="SORRISO"/>
    <s v="84053283191"/>
    <n v="340"/>
    <n v="0"/>
  </r>
  <r>
    <d v="2026-02-02T08:44:15"/>
    <n v="4518"/>
    <x v="146"/>
    <d v="2026-02-02T00:00:00"/>
    <d v="2026-09-30T00:00:00"/>
    <x v="1"/>
    <x v="2"/>
    <s v="510200"/>
    <x v="11"/>
    <x v="1"/>
    <s v="LT"/>
    <n v="340"/>
    <s v="6040"/>
    <s v="SAFRINHA 2026"/>
    <n v="25"/>
    <n v="0"/>
    <n v="25"/>
    <n v="8500"/>
    <m/>
    <s v="SORRISO"/>
    <s v="84053283191"/>
    <n v="340"/>
    <n v="0"/>
  </r>
  <r>
    <d v="2026-02-02T08:44:15"/>
    <n v="4518"/>
    <x v="146"/>
    <d v="2026-02-02T00:00:00"/>
    <d v="2026-09-30T00:00:00"/>
    <x v="1"/>
    <x v="2"/>
    <s v="510200"/>
    <x v="18"/>
    <x v="1"/>
    <s v="KG"/>
    <n v="190"/>
    <s v="6040"/>
    <s v="SAFRINHA 2026"/>
    <n v="50"/>
    <n v="0"/>
    <n v="50"/>
    <n v="9500"/>
    <m/>
    <s v="SORRISO"/>
    <s v="84053283191"/>
    <n v="190"/>
    <n v="0"/>
  </r>
  <r>
    <d v="2026-02-02T08:44:15"/>
    <n v="4518"/>
    <x v="146"/>
    <d v="2026-02-02T00:00:00"/>
    <d v="2026-09-30T00:00:00"/>
    <x v="1"/>
    <x v="2"/>
    <s v="510200"/>
    <x v="10"/>
    <x v="1"/>
    <s v="LT"/>
    <n v="340"/>
    <s v="6040"/>
    <s v="SAFRINHA 2026"/>
    <n v="25"/>
    <n v="0"/>
    <n v="25"/>
    <n v="8500"/>
    <m/>
    <s v="SORRISO"/>
    <s v="84053283191"/>
    <n v="340"/>
    <n v="0"/>
  </r>
  <r>
    <d v="2026-02-13T16:57:06"/>
    <n v="4561"/>
    <x v="146"/>
    <d v="2026-02-13T00:00:00"/>
    <d v="2026-09-30T00:00:00"/>
    <x v="1"/>
    <x v="2"/>
    <s v="510200"/>
    <x v="18"/>
    <x v="1"/>
    <s v="KG"/>
    <n v="190"/>
    <s v="482"/>
    <s v="SAFRINHA 2026"/>
    <n v="20"/>
    <n v="0"/>
    <n v="20"/>
    <n v="3800"/>
    <m/>
    <s v="SORRISO"/>
    <s v="84053283191"/>
    <n v="190"/>
    <n v="0"/>
  </r>
  <r>
    <d v="2025-09-29T17:34:49"/>
    <n v="321"/>
    <x v="146"/>
    <d v="2025-09-29T00:00:00"/>
    <d v="2026-03-30T00:00:00"/>
    <x v="1"/>
    <x v="0"/>
    <s v="510200"/>
    <x v="65"/>
    <x v="0"/>
    <s v="LT"/>
    <n v="18.5"/>
    <s v="23"/>
    <s v="SAFRA 25/26"/>
    <n v="300"/>
    <n v="0"/>
    <n v="300"/>
    <n v="5550"/>
    <m/>
    <s v="SORRISO"/>
    <s v="84053283191"/>
    <n v="18.5"/>
    <n v="0"/>
  </r>
  <r>
    <d v="2026-01-16T17:30:54"/>
    <n v="506"/>
    <x v="146"/>
    <d v="2026-01-16T00:00:00"/>
    <d v="2026-04-30T00:00:00"/>
    <x v="1"/>
    <x v="0"/>
    <s v="510200"/>
    <x v="86"/>
    <x v="2"/>
    <s v="LT"/>
    <n v="17"/>
    <s v="479"/>
    <s v="SAFRA 25/26"/>
    <n v="160"/>
    <n v="0"/>
    <n v="160"/>
    <n v="2720"/>
    <m/>
    <s v="SORRISO"/>
    <s v="84053283191"/>
    <n v="17"/>
    <n v="0"/>
  </r>
  <r>
    <d v="2025-08-25T10:40:25"/>
    <n v="3995"/>
    <x v="147"/>
    <d v="2025-08-25T00:00:00"/>
    <d v="2026-03-30T00:00:00"/>
    <x v="3"/>
    <x v="0"/>
    <s v="510200"/>
    <x v="72"/>
    <x v="2"/>
    <s v="KG"/>
    <n v="330"/>
    <s v="5556"/>
    <s v="SAFRA 25/26"/>
    <n v="11"/>
    <n v="0"/>
    <n v="11"/>
    <n v="3630"/>
    <m/>
    <s v="NOVA UBIRATA"/>
    <s v="71788069153"/>
    <n v="330"/>
    <n v="0"/>
  </r>
  <r>
    <d v="2025-08-25T10:40:25"/>
    <n v="3995"/>
    <x v="147"/>
    <d v="2025-08-25T00:00:00"/>
    <d v="2026-03-30T00:00:00"/>
    <x v="3"/>
    <x v="0"/>
    <s v="510200"/>
    <x v="29"/>
    <x v="2"/>
    <s v="LT"/>
    <n v="11"/>
    <s v="5556"/>
    <s v="SAFRA 25/26"/>
    <n v="225"/>
    <n v="0"/>
    <n v="225"/>
    <n v="2475"/>
    <m/>
    <s v="NOVA UBIRATA"/>
    <s v="71788069153"/>
    <n v="11"/>
    <n v="0"/>
  </r>
  <r>
    <d v="2025-08-25T10:40:25"/>
    <n v="3995"/>
    <x v="147"/>
    <d v="2025-08-25T00:00:00"/>
    <d v="2026-03-30T00:00:00"/>
    <x v="3"/>
    <x v="0"/>
    <s v="510200"/>
    <x v="71"/>
    <x v="2"/>
    <s v="LT"/>
    <n v="18.7805"/>
    <s v="5556"/>
    <s v="SAFRA 25/26"/>
    <n v="35"/>
    <n v="0"/>
    <n v="35"/>
    <n v="657.3175"/>
    <m/>
    <s v="NOVA UBIRATA"/>
    <s v="71788069153"/>
    <n v="18.7805"/>
    <n v="0"/>
  </r>
  <r>
    <d v="2025-08-25T10:40:25"/>
    <n v="3995"/>
    <x v="147"/>
    <d v="2025-08-25T00:00:00"/>
    <d v="2026-03-30T00:00:00"/>
    <x v="3"/>
    <x v="0"/>
    <s v="510200"/>
    <x v="70"/>
    <x v="2"/>
    <s v="LT"/>
    <n v="35"/>
    <s v="5556"/>
    <s v="SAFRA 25/26"/>
    <n v="20"/>
    <n v="0"/>
    <n v="20"/>
    <n v="700"/>
    <m/>
    <s v="NOVA UBIRATA"/>
    <s v="71788069153"/>
    <n v="35"/>
    <n v="0"/>
  </r>
  <r>
    <d v="2025-05-12T14:17:51"/>
    <n v="217"/>
    <x v="148"/>
    <d v="2025-05-12T00:00:00"/>
    <d v="2025-09-30T00:00:00"/>
    <x v="2"/>
    <x v="0"/>
    <s v="510200"/>
    <x v="32"/>
    <x v="2"/>
    <s v="TON"/>
    <n v="1400"/>
    <m/>
    <s v="SAFRA 25/26"/>
    <n v="10"/>
    <n v="0"/>
    <n v="10"/>
    <n v="14000"/>
    <m/>
    <s v="ITANHANGA"/>
    <s v="38498650020"/>
    <n v="1400"/>
    <n v="0"/>
  </r>
  <r>
    <d v="2025-09-10T10:12:57"/>
    <n v="4021"/>
    <x v="149"/>
    <d v="2025-09-10T00:00:00"/>
    <d v="2026-03-30T00:00:00"/>
    <x v="8"/>
    <x v="1"/>
    <s v="510200"/>
    <x v="25"/>
    <x v="1"/>
    <s v="KG"/>
    <n v="570"/>
    <s v="4412"/>
    <s v="SAFRA 25/26"/>
    <n v="4"/>
    <n v="0"/>
    <n v="4"/>
    <n v="2280"/>
    <m/>
    <s v="SORRISO"/>
    <s v="02491507196"/>
    <n v="570"/>
    <n v="0"/>
  </r>
  <r>
    <d v="2025-09-16T07:29:20"/>
    <n v="4042"/>
    <x v="149"/>
    <d v="2025-09-16T00:00:00"/>
    <d v="2026-03-30T00:00:00"/>
    <x v="8"/>
    <x v="1"/>
    <s v="510200"/>
    <x v="25"/>
    <x v="1"/>
    <s v="KG"/>
    <n v="570"/>
    <s v="4422"/>
    <s v="SAFRA 25/26"/>
    <n v="18"/>
    <n v="0"/>
    <n v="18"/>
    <n v="10260"/>
    <m/>
    <s v="SORRISO"/>
    <s v="02491507196"/>
    <n v="570"/>
    <n v="0"/>
  </r>
  <r>
    <d v="2025-12-03T14:01:10"/>
    <n v="4319"/>
    <x v="149"/>
    <d v="2025-12-03T00:00:00"/>
    <d v="2026-08-30T00:00:00"/>
    <x v="8"/>
    <x v="0"/>
    <s v="510200"/>
    <x v="50"/>
    <x v="2"/>
    <s v="LT"/>
    <n v="450"/>
    <s v="5833"/>
    <s v="SAFRINHA 2026"/>
    <n v="53"/>
    <n v="0"/>
    <n v="53"/>
    <n v="23850"/>
    <m/>
    <s v="SORRISO"/>
    <s v="02491507196"/>
    <n v="450"/>
    <n v="0"/>
  </r>
  <r>
    <d v="2025-12-03T14:01:10"/>
    <n v="4319"/>
    <x v="149"/>
    <d v="2025-12-03T00:00:00"/>
    <d v="2026-08-30T00:00:00"/>
    <x v="8"/>
    <x v="1"/>
    <s v="510200"/>
    <x v="18"/>
    <x v="1"/>
    <s v="KG"/>
    <n v="195"/>
    <s v="5833"/>
    <s v="SAFRINHA 2026"/>
    <n v="7"/>
    <n v="0"/>
    <n v="7"/>
    <n v="1365"/>
    <m/>
    <s v="SORRISO"/>
    <s v="02491507196"/>
    <n v="195"/>
    <n v="0"/>
  </r>
  <r>
    <d v="2025-12-03T14:01:10"/>
    <n v="4319"/>
    <x v="149"/>
    <d v="2025-12-03T00:00:00"/>
    <d v="2026-08-30T00:00:00"/>
    <x v="8"/>
    <x v="0"/>
    <s v="510200"/>
    <x v="19"/>
    <x v="0"/>
    <s v="LT"/>
    <n v="950"/>
    <s v="5833"/>
    <s v="SAFRINHA 2026"/>
    <n v="5"/>
    <n v="0"/>
    <n v="5"/>
    <n v="4750"/>
    <m/>
    <s v="SORRISO"/>
    <s v="02491507196"/>
    <n v="950"/>
    <n v="0"/>
  </r>
  <r>
    <d v="2025-12-03T14:01:10"/>
    <n v="4319"/>
    <x v="149"/>
    <d v="2025-12-03T00:00:00"/>
    <d v="2026-08-30T00:00:00"/>
    <x v="8"/>
    <x v="1"/>
    <s v="510200"/>
    <x v="9"/>
    <x v="1"/>
    <s v="LT"/>
    <n v="50"/>
    <s v="5833"/>
    <s v="SAFRINHA 2026"/>
    <n v="54"/>
    <n v="0"/>
    <n v="54"/>
    <n v="2700"/>
    <m/>
    <s v="SORRISO"/>
    <s v="02491507196"/>
    <n v="50"/>
    <n v="0"/>
  </r>
  <r>
    <d v="2025-09-05T17:24:40"/>
    <n v="288"/>
    <x v="150"/>
    <d v="2025-09-05T00:00:00"/>
    <d v="2025-09-30T00:00:00"/>
    <x v="13"/>
    <x v="0"/>
    <s v="510200"/>
    <x v="33"/>
    <x v="0"/>
    <s v="LT"/>
    <n v="82"/>
    <s v="5225"/>
    <s v="SAFRA 25/26"/>
    <n v="10"/>
    <n v="0"/>
    <n v="10"/>
    <n v="820"/>
    <m/>
    <s v="MATUPA"/>
    <s v="03092637194"/>
    <n v="82"/>
    <n v="0"/>
  </r>
  <r>
    <d v="2025-09-05T17:24:40"/>
    <n v="288"/>
    <x v="150"/>
    <d v="2025-09-05T00:00:00"/>
    <d v="2025-09-30T00:00:00"/>
    <x v="13"/>
    <x v="0"/>
    <s v="510200"/>
    <x v="6"/>
    <x v="0"/>
    <s v="LT"/>
    <n v="67.5"/>
    <s v="5225"/>
    <s v="SAFRA 25/26"/>
    <n v="20"/>
    <n v="0"/>
    <n v="20"/>
    <n v="1350"/>
    <m/>
    <s v="MATUPA"/>
    <s v="03092637194"/>
    <n v="67.5"/>
    <n v="0"/>
  </r>
  <r>
    <d v="2025-09-05T17:24:40"/>
    <n v="288"/>
    <x v="150"/>
    <d v="2025-09-05T00:00:00"/>
    <d v="2025-09-30T00:00:00"/>
    <x v="13"/>
    <x v="0"/>
    <s v="510200"/>
    <x v="15"/>
    <x v="2"/>
    <s v="LT"/>
    <n v="148.5"/>
    <s v="5225"/>
    <s v="SAFRA 25/26"/>
    <n v="10"/>
    <n v="0"/>
    <n v="10"/>
    <n v="1485"/>
    <m/>
    <s v="MATUPA"/>
    <s v="03092637194"/>
    <n v="148.5"/>
    <n v="0"/>
  </r>
  <r>
    <d v="2025-09-05T17:24:40"/>
    <n v="288"/>
    <x v="150"/>
    <d v="2025-09-05T00:00:00"/>
    <d v="2025-09-30T00:00:00"/>
    <x v="13"/>
    <x v="0"/>
    <s v="510200"/>
    <x v="16"/>
    <x v="2"/>
    <s v="KG"/>
    <n v="76"/>
    <s v="5225"/>
    <s v="SAFRA 25/26"/>
    <n v="6"/>
    <n v="0"/>
    <n v="6"/>
    <n v="456"/>
    <m/>
    <s v="MATUPA"/>
    <s v="03092637194"/>
    <n v="76"/>
    <n v="0"/>
  </r>
  <r>
    <d v="2025-09-05T17:24:40"/>
    <n v="288"/>
    <x v="150"/>
    <d v="2025-09-05T00:00:00"/>
    <d v="2025-09-30T00:00:00"/>
    <x v="13"/>
    <x v="0"/>
    <s v="510200"/>
    <x v="7"/>
    <x v="0"/>
    <s v="LT"/>
    <n v="67.5"/>
    <s v="5225"/>
    <s v="SAFRA 25/26"/>
    <n v="20"/>
    <n v="0"/>
    <n v="20"/>
    <n v="1350"/>
    <m/>
    <s v="MATUPA"/>
    <s v="03092637194"/>
    <n v="67.5"/>
    <n v="0"/>
  </r>
  <r>
    <d v="2025-05-12T14:03:47"/>
    <n v="216"/>
    <x v="151"/>
    <d v="2025-05-12T00:00:00"/>
    <d v="2025-09-30T00:00:00"/>
    <x v="2"/>
    <x v="0"/>
    <s v="510200"/>
    <x v="32"/>
    <x v="2"/>
    <s v="TON"/>
    <n v="1400"/>
    <m/>
    <s v="SAFRA 25/26"/>
    <n v="10"/>
    <n v="0"/>
    <n v="10"/>
    <n v="14000"/>
    <m/>
    <s v="ITANHANGA"/>
    <s v="36850535900"/>
    <n v="1400"/>
    <n v="0"/>
  </r>
  <r>
    <d v="2025-05-20T08:16:32"/>
    <n v="223"/>
    <x v="152"/>
    <d v="2025-05-20T00:00:00"/>
    <d v="2026-04-30T00:00:00"/>
    <x v="2"/>
    <x v="2"/>
    <s v="510200"/>
    <x v="18"/>
    <x v="1"/>
    <s v="KG"/>
    <n v="170"/>
    <s v="5160"/>
    <s v="SAFRA 25/26"/>
    <n v="100"/>
    <n v="0"/>
    <n v="100"/>
    <n v="17000"/>
    <m/>
    <s v="TABAPORA"/>
    <s v="71691723991"/>
    <n v="170"/>
    <n v="0"/>
  </r>
  <r>
    <d v="2025-05-20T08:16:32"/>
    <n v="223"/>
    <x v="152"/>
    <d v="2025-05-20T00:00:00"/>
    <d v="2026-04-30T00:00:00"/>
    <x v="2"/>
    <x v="2"/>
    <s v="510200"/>
    <x v="11"/>
    <x v="1"/>
    <s v="LT"/>
    <n v="300"/>
    <s v="5160"/>
    <s v="SAFRA 25/26"/>
    <n v="50"/>
    <n v="0"/>
    <n v="50"/>
    <n v="15000"/>
    <m/>
    <s v="TABAPORA"/>
    <s v="71691723991"/>
    <n v="300"/>
    <n v="0"/>
  </r>
  <r>
    <d v="2025-05-20T08:16:32"/>
    <n v="223"/>
    <x v="152"/>
    <d v="2025-05-20T00:00:00"/>
    <d v="2026-04-30T00:00:00"/>
    <x v="2"/>
    <x v="2"/>
    <s v="510200"/>
    <x v="25"/>
    <x v="1"/>
    <s v="KG"/>
    <n v="560"/>
    <s v="5160"/>
    <s v="SAFRA 25/26"/>
    <n v="50"/>
    <n v="0"/>
    <n v="50"/>
    <n v="28000"/>
    <m/>
    <s v="TABAPORA"/>
    <s v="71691723991"/>
    <n v="560"/>
    <n v="0"/>
  </r>
  <r>
    <d v="2025-04-14T08:02:15"/>
    <n v="174"/>
    <x v="153"/>
    <d v="2025-04-14T00:00:00"/>
    <d v="2026-04-30T00:00:00"/>
    <x v="2"/>
    <x v="2"/>
    <s v="510200"/>
    <x v="25"/>
    <x v="1"/>
    <s v="KG"/>
    <n v="500"/>
    <s v="4857"/>
    <s v="SAFRA 25/26"/>
    <n v="17"/>
    <n v="0"/>
    <n v="17"/>
    <n v="8500"/>
    <m/>
    <s v="TABAPORA"/>
    <s v="04848673186"/>
    <n v="500"/>
    <n v="0"/>
  </r>
  <r>
    <d v="2025-04-14T08:02:15"/>
    <n v="174"/>
    <x v="153"/>
    <d v="2025-04-14T00:00:00"/>
    <d v="2026-04-30T00:00:00"/>
    <x v="2"/>
    <x v="2"/>
    <s v="510200"/>
    <x v="10"/>
    <x v="1"/>
    <s v="LT"/>
    <n v="310"/>
    <s v="4857"/>
    <s v="SAFRA 25/26"/>
    <n v="28"/>
    <n v="0"/>
    <n v="28"/>
    <n v="8680"/>
    <m/>
    <s v="TABAPORA"/>
    <s v="04848673186"/>
    <n v="310"/>
    <n v="0"/>
  </r>
  <r>
    <d v="2025-04-14T08:02:15"/>
    <n v="174"/>
    <x v="153"/>
    <d v="2025-04-14T00:00:00"/>
    <d v="2026-04-30T00:00:00"/>
    <x v="2"/>
    <x v="2"/>
    <s v="510200"/>
    <x v="18"/>
    <x v="1"/>
    <s v="KG"/>
    <n v="187.4"/>
    <s v="4857"/>
    <s v="SAFRA 25/26"/>
    <n v="90"/>
    <n v="0"/>
    <n v="90"/>
    <n v="16866"/>
    <m/>
    <s v="TABAPORA"/>
    <s v="04848673186"/>
    <n v="187.4"/>
    <n v="0"/>
  </r>
  <r>
    <d v="2025-04-14T08:02:15"/>
    <n v="174"/>
    <x v="153"/>
    <d v="2025-04-14T00:00:00"/>
    <d v="2026-04-30T00:00:00"/>
    <x v="2"/>
    <x v="2"/>
    <s v="510200"/>
    <x v="11"/>
    <x v="1"/>
    <s v="LT"/>
    <n v="310"/>
    <s v="4857"/>
    <s v="SAFRA 25/26"/>
    <n v="62"/>
    <n v="0"/>
    <n v="62"/>
    <n v="19220"/>
    <m/>
    <s v="TABAPORA"/>
    <s v="04848673186"/>
    <n v="310"/>
    <n v="0"/>
  </r>
  <r>
    <d v="2025-05-20T07:35:35"/>
    <n v="221"/>
    <x v="153"/>
    <d v="2025-05-20T00:00:00"/>
    <d v="2026-04-30T00:00:00"/>
    <x v="2"/>
    <x v="0"/>
    <s v="510200"/>
    <x v="63"/>
    <x v="2"/>
    <s v="LT"/>
    <n v="61"/>
    <s v="5159"/>
    <s v="SAFRA 25/26"/>
    <n v="200"/>
    <n v="0"/>
    <n v="200"/>
    <n v="12200"/>
    <m/>
    <s v="TABAPORA"/>
    <s v="04848673186"/>
    <n v="61"/>
    <n v="0"/>
  </r>
  <r>
    <d v="2025-05-20T07:35:35"/>
    <n v="221"/>
    <x v="153"/>
    <d v="2025-05-20T00:00:00"/>
    <d v="2026-04-30T00:00:00"/>
    <x v="2"/>
    <x v="0"/>
    <s v="510200"/>
    <x v="6"/>
    <x v="0"/>
    <s v="LT"/>
    <n v="61"/>
    <s v="5159"/>
    <s v="SAFRA 25/26"/>
    <n v="200"/>
    <n v="0"/>
    <n v="200"/>
    <n v="12200"/>
    <m/>
    <s v="TABAPORA"/>
    <s v="04848673186"/>
    <n v="61"/>
    <n v="0"/>
  </r>
  <r>
    <d v="2025-11-28T14:16:00"/>
    <n v="433"/>
    <x v="153"/>
    <d v="2025-11-28T00:00:00"/>
    <d v="2026-09-30T00:00:00"/>
    <x v="2"/>
    <x v="0"/>
    <s v="510200"/>
    <x v="6"/>
    <x v="0"/>
    <s v="LT"/>
    <n v="61"/>
    <s v="161"/>
    <s v="SAFRINHA 2026"/>
    <n v="400"/>
    <n v="0"/>
    <n v="400"/>
    <n v="24400"/>
    <m/>
    <s v="TABAPORA"/>
    <s v="04848673186"/>
    <n v="61"/>
    <n v="0"/>
  </r>
  <r>
    <d v="2026-01-07T07:33:28"/>
    <n v="481"/>
    <x v="153"/>
    <d v="2026-01-07T00:00:00"/>
    <d v="2026-09-30T00:00:00"/>
    <x v="2"/>
    <x v="2"/>
    <s v="510200"/>
    <x v="18"/>
    <x v="1"/>
    <s v="KG"/>
    <n v="205.31"/>
    <s v="164"/>
    <s v="SAFRINHA 2026"/>
    <n v="58"/>
    <n v="0"/>
    <n v="58"/>
    <n v="11907.98"/>
    <m/>
    <s v="TABAPORA"/>
    <s v="04848673186"/>
    <n v="205.31"/>
    <n v="0"/>
  </r>
  <r>
    <d v="2026-01-07T07:33:28"/>
    <n v="481"/>
    <x v="153"/>
    <d v="2026-01-07T00:00:00"/>
    <d v="2026-09-30T00:00:00"/>
    <x v="2"/>
    <x v="2"/>
    <s v="510200"/>
    <x v="11"/>
    <x v="1"/>
    <s v="LT"/>
    <n v="335"/>
    <s v="164"/>
    <s v="SAFRINHA 2026"/>
    <n v="26"/>
    <n v="0"/>
    <n v="26"/>
    <n v="8710"/>
    <m/>
    <s v="TABAPORA"/>
    <s v="04848673186"/>
    <n v="335"/>
    <n v="0"/>
  </r>
  <r>
    <d v="2026-01-07T07:33:28"/>
    <n v="481"/>
    <x v="153"/>
    <d v="2026-01-07T00:00:00"/>
    <d v="2026-09-30T00:00:00"/>
    <x v="2"/>
    <x v="2"/>
    <s v="510200"/>
    <x v="10"/>
    <x v="1"/>
    <s v="LT"/>
    <n v="335"/>
    <s v="164"/>
    <s v="SAFRINHA 2026"/>
    <n v="26"/>
    <n v="0"/>
    <n v="26"/>
    <n v="8710"/>
    <m/>
    <s v="TABAPORA"/>
    <s v="04848673186"/>
    <n v="335"/>
    <n v="0"/>
  </r>
  <r>
    <d v="2026-01-30T14:35:48"/>
    <n v="521"/>
    <x v="153"/>
    <d v="2026-01-30T00:00:00"/>
    <d v="2026-08-30T00:00:00"/>
    <x v="2"/>
    <x v="0"/>
    <s v="510200"/>
    <x v="81"/>
    <x v="2"/>
    <s v="LT"/>
    <n v="18"/>
    <s v="430"/>
    <s v="SAFRINHA 2026"/>
    <n v="60"/>
    <n v="0"/>
    <n v="60"/>
    <n v="1080"/>
    <m/>
    <s v="TABAPORA"/>
    <s v="04848673186"/>
    <n v="18"/>
    <n v="0"/>
  </r>
  <r>
    <d v="2026-01-30T14:35:48"/>
    <n v="521"/>
    <x v="153"/>
    <d v="2026-01-30T00:00:00"/>
    <d v="2026-08-30T00:00:00"/>
    <x v="2"/>
    <x v="2"/>
    <s v="510200"/>
    <x v="74"/>
    <x v="1"/>
    <s v="LT"/>
    <n v="42"/>
    <s v="430"/>
    <s v="SAFRINHA 2026"/>
    <n v="60"/>
    <n v="0"/>
    <n v="60"/>
    <n v="2520"/>
    <m/>
    <s v="TABAPORA"/>
    <s v="04848673186"/>
    <n v="42"/>
    <n v="0"/>
  </r>
  <r>
    <d v="2025-05-19T10:44:31"/>
    <n v="3853"/>
    <x v="154"/>
    <d v="2025-05-08T00:00:00"/>
    <d v="2025-05-19T00:00:00"/>
    <x v="1"/>
    <x v="2"/>
    <s v="510200"/>
    <x v="9"/>
    <x v="1"/>
    <s v="LT"/>
    <n v="42"/>
    <s v="1"/>
    <s v="SAFRA 25/26"/>
    <n v="321"/>
    <n v="0"/>
    <n v="321"/>
    <n v="13482"/>
    <m/>
    <s v="VERA"/>
    <s v="48886750153"/>
    <n v="42"/>
    <n v="0"/>
  </r>
  <r>
    <d v="2025-05-19T10:45:38"/>
    <n v="3854"/>
    <x v="154"/>
    <d v="2025-05-08T00:00:00"/>
    <d v="2025-05-19T00:00:00"/>
    <x v="1"/>
    <x v="2"/>
    <s v="510200"/>
    <x v="9"/>
    <x v="1"/>
    <s v="LT"/>
    <n v="42"/>
    <s v="2"/>
    <s v="SAFRA 25/26"/>
    <n v="192"/>
    <n v="0"/>
    <n v="192"/>
    <n v="8064"/>
    <m/>
    <s v="SORRISO"/>
    <s v="48886750153"/>
    <n v="42"/>
    <n v="0"/>
  </r>
  <r>
    <d v="2025-06-23T14:05:14"/>
    <n v="3898"/>
    <x v="154"/>
    <d v="2025-06-20T00:00:00"/>
    <d v="2026-03-30T00:00:00"/>
    <x v="1"/>
    <x v="2"/>
    <s v="510200"/>
    <x v="14"/>
    <x v="1"/>
    <s v="KG"/>
    <n v="380"/>
    <s v="6"/>
    <s v="SAFRA 25/26"/>
    <n v="195"/>
    <n v="0"/>
    <n v="195"/>
    <n v="74100"/>
    <m/>
    <s v="VERA"/>
    <s v="48886750153"/>
    <n v="380"/>
    <n v="0"/>
  </r>
  <r>
    <d v="2025-06-23T14:05:14"/>
    <n v="3898"/>
    <x v="154"/>
    <d v="2025-06-20T00:00:00"/>
    <d v="2026-03-30T00:00:00"/>
    <x v="1"/>
    <x v="2"/>
    <s v="510200"/>
    <x v="11"/>
    <x v="1"/>
    <s v="LT"/>
    <n v="330"/>
    <s v="6"/>
    <s v="SAFRA 25/26"/>
    <n v="195"/>
    <n v="0"/>
    <n v="195"/>
    <n v="64350"/>
    <m/>
    <s v="VERA"/>
    <s v="48886750153"/>
    <n v="330"/>
    <n v="0"/>
  </r>
  <r>
    <d v="2025-06-23T14:05:14"/>
    <n v="3898"/>
    <x v="154"/>
    <d v="2025-06-20T00:00:00"/>
    <d v="2026-03-30T00:00:00"/>
    <x v="1"/>
    <x v="2"/>
    <s v="510200"/>
    <x v="10"/>
    <x v="1"/>
    <s v="LT"/>
    <n v="330"/>
    <s v="6"/>
    <s v="SAFRA 25/26"/>
    <n v="390"/>
    <n v="0"/>
    <n v="390"/>
    <n v="128700"/>
    <m/>
    <s v="VERA"/>
    <s v="48886750153"/>
    <n v="330"/>
    <n v="0"/>
  </r>
  <r>
    <d v="2025-06-23T14:05:14"/>
    <n v="3898"/>
    <x v="154"/>
    <d v="2025-06-20T00:00:00"/>
    <d v="2026-03-30T00:00:00"/>
    <x v="1"/>
    <x v="2"/>
    <s v="510200"/>
    <x v="17"/>
    <x v="1"/>
    <s v="LT"/>
    <n v="45"/>
    <s v="6"/>
    <s v="SAFRA 25/26"/>
    <n v="267"/>
    <n v="0"/>
    <n v="267"/>
    <n v="12015"/>
    <m/>
    <s v="VERA"/>
    <s v="48886750153"/>
    <n v="45"/>
    <n v="0"/>
  </r>
  <r>
    <d v="2025-06-23T14:05:14"/>
    <n v="3898"/>
    <x v="154"/>
    <d v="2025-06-20T00:00:00"/>
    <d v="2026-03-30T00:00:00"/>
    <x v="1"/>
    <x v="2"/>
    <s v="510200"/>
    <x v="9"/>
    <x v="1"/>
    <s v="LT"/>
    <n v="45"/>
    <s v="6"/>
    <s v="SAFRA 25/26"/>
    <n v="51"/>
    <n v="0"/>
    <n v="51"/>
    <n v="2295"/>
    <m/>
    <s v="VERA"/>
    <s v="48886750153"/>
    <n v="45"/>
    <n v="0"/>
  </r>
  <r>
    <d v="2025-06-23T14:05:14"/>
    <n v="3898"/>
    <x v="154"/>
    <d v="2025-06-20T00:00:00"/>
    <d v="2026-03-30T00:00:00"/>
    <x v="1"/>
    <x v="2"/>
    <s v="510200"/>
    <x v="13"/>
    <x v="1"/>
    <s v="LT"/>
    <n v="45"/>
    <s v="6"/>
    <s v="SAFRA 25/26"/>
    <n v="585"/>
    <n v="0"/>
    <n v="585"/>
    <n v="26325"/>
    <m/>
    <s v="VERA"/>
    <s v="48886750153"/>
    <n v="45"/>
    <n v="0"/>
  </r>
  <r>
    <d v="2025-06-23T14:05:14"/>
    <n v="3898"/>
    <x v="154"/>
    <d v="2025-06-20T00:00:00"/>
    <d v="2026-03-30T00:00:00"/>
    <x v="1"/>
    <x v="0"/>
    <s v="510200"/>
    <x v="34"/>
    <x v="2"/>
    <s v="LT"/>
    <n v="34.071427999999997"/>
    <s v="6"/>
    <s v="SAFRA 25/26"/>
    <n v="420"/>
    <n v="0"/>
    <n v="420"/>
    <n v="14309.999759999999"/>
    <m/>
    <s v="VERA"/>
    <s v="48886750153"/>
    <n v="34.071427999999997"/>
    <n v="0"/>
  </r>
  <r>
    <d v="2025-06-23T15:00:48"/>
    <n v="3900"/>
    <x v="154"/>
    <d v="2025-06-20T00:00:00"/>
    <d v="2026-03-30T00:00:00"/>
    <x v="1"/>
    <x v="2"/>
    <s v="510200"/>
    <x v="10"/>
    <x v="1"/>
    <s v="LT"/>
    <n v="330"/>
    <s v="7"/>
    <s v="SAFRA 25/26"/>
    <n v="210"/>
    <n v="0"/>
    <n v="210"/>
    <n v="69300"/>
    <m/>
    <s v="SORRISO"/>
    <s v="48886750153"/>
    <n v="330"/>
    <n v="0"/>
  </r>
  <r>
    <d v="2025-06-23T15:00:48"/>
    <n v="3900"/>
    <x v="154"/>
    <d v="2025-06-20T00:00:00"/>
    <d v="2026-03-30T00:00:00"/>
    <x v="1"/>
    <x v="2"/>
    <s v="510200"/>
    <x v="17"/>
    <x v="1"/>
    <s v="LT"/>
    <n v="45"/>
    <s v="7"/>
    <s v="SAFRA 25/26"/>
    <n v="315"/>
    <n v="0"/>
    <n v="315"/>
    <n v="14175"/>
    <m/>
    <s v="SORRISO"/>
    <s v="48886750153"/>
    <n v="45"/>
    <n v="0"/>
  </r>
  <r>
    <d v="2025-06-23T15:00:48"/>
    <n v="3900"/>
    <x v="154"/>
    <d v="2025-06-20T00:00:00"/>
    <d v="2026-03-30T00:00:00"/>
    <x v="1"/>
    <x v="2"/>
    <s v="510200"/>
    <x v="14"/>
    <x v="1"/>
    <s v="KG"/>
    <n v="380"/>
    <s v="7"/>
    <s v="SAFRA 25/26"/>
    <n v="105"/>
    <n v="0"/>
    <n v="105"/>
    <n v="39900"/>
    <m/>
    <s v="SORRISO"/>
    <s v="48886750153"/>
    <n v="380"/>
    <n v="0"/>
  </r>
  <r>
    <d v="2025-06-23T15:00:48"/>
    <n v="3900"/>
    <x v="154"/>
    <d v="2025-06-20T00:00:00"/>
    <d v="2026-03-30T00:00:00"/>
    <x v="1"/>
    <x v="2"/>
    <s v="510200"/>
    <x v="9"/>
    <x v="1"/>
    <s v="LT"/>
    <n v="50.75"/>
    <s v="7"/>
    <s v="SAFRA 25/26"/>
    <n v="36"/>
    <n v="0"/>
    <n v="36"/>
    <n v="1827"/>
    <m/>
    <s v="SORRISO"/>
    <s v="48886750153"/>
    <n v="50.75"/>
    <n v="0"/>
  </r>
  <r>
    <d v="2025-06-23T15:00:48"/>
    <n v="3900"/>
    <x v="154"/>
    <d v="2025-06-20T00:00:00"/>
    <d v="2026-03-30T00:00:00"/>
    <x v="1"/>
    <x v="2"/>
    <s v="510200"/>
    <x v="11"/>
    <x v="1"/>
    <s v="LT"/>
    <n v="330"/>
    <s v="7"/>
    <s v="SAFRA 25/26"/>
    <n v="105"/>
    <n v="0"/>
    <n v="105"/>
    <n v="34650"/>
    <m/>
    <s v="SORRISO"/>
    <s v="48886750153"/>
    <n v="330"/>
    <n v="0"/>
  </r>
  <r>
    <d v="2025-06-23T15:00:48"/>
    <n v="3900"/>
    <x v="154"/>
    <d v="2025-06-20T00:00:00"/>
    <d v="2026-03-30T00:00:00"/>
    <x v="1"/>
    <x v="2"/>
    <s v="510200"/>
    <x v="13"/>
    <x v="1"/>
    <s v="LT"/>
    <n v="45"/>
    <s v="7"/>
    <s v="SAFRA 25/26"/>
    <n v="315"/>
    <n v="0"/>
    <n v="315"/>
    <n v="14175"/>
    <m/>
    <s v="SORRISO"/>
    <s v="48886750153"/>
    <n v="45"/>
    <n v="0"/>
  </r>
  <r>
    <d v="2025-10-22T15:42:32"/>
    <n v="4199"/>
    <x v="154"/>
    <d v="2025-10-22T00:00:00"/>
    <d v="2025-10-30T00:00:00"/>
    <x v="1"/>
    <x v="0"/>
    <s v="510200"/>
    <x v="21"/>
    <x v="2"/>
    <s v="KG"/>
    <n v="36"/>
    <s v="5756"/>
    <s v="SAFRA 25/26"/>
    <n v="15"/>
    <n v="0"/>
    <n v="15"/>
    <n v="540"/>
    <m/>
    <s v="VERA"/>
    <s v="48886750153"/>
    <n v="36"/>
    <n v="0"/>
  </r>
  <r>
    <d v="2026-02-24T13:38:30"/>
    <n v="4605"/>
    <x v="154"/>
    <d v="2026-02-24T00:00:00"/>
    <d v="2026-08-30T00:00:00"/>
    <x v="1"/>
    <x v="0"/>
    <s v="510200"/>
    <x v="21"/>
    <x v="2"/>
    <s v="KG"/>
    <n v="38"/>
    <s v="485"/>
    <s v="SAFRINHA 2026"/>
    <n v="15"/>
    <n v="0"/>
    <n v="15"/>
    <n v="570"/>
    <m/>
    <s v="VERA"/>
    <s v="48886750153"/>
    <n v="38"/>
    <n v="0"/>
  </r>
  <r>
    <d v="2026-01-06T13:52:56"/>
    <n v="475"/>
    <x v="154"/>
    <d v="2026-01-06T00:00:00"/>
    <d v="2026-08-30T00:00:00"/>
    <x v="1"/>
    <x v="2"/>
    <s v="510200"/>
    <x v="18"/>
    <x v="1"/>
    <s v="KG"/>
    <n v="200"/>
    <s v="196"/>
    <s v="SAFRINHA 2026"/>
    <n v="480"/>
    <n v="0"/>
    <n v="480"/>
    <n v="96000"/>
    <m/>
    <s v="VERA"/>
    <s v="48886750153"/>
    <n v="200"/>
    <n v="0"/>
  </r>
  <r>
    <d v="2026-01-06T13:52:56"/>
    <n v="475"/>
    <x v="154"/>
    <d v="2026-01-06T00:00:00"/>
    <d v="2026-08-30T00:00:00"/>
    <x v="1"/>
    <x v="2"/>
    <s v="510200"/>
    <x v="9"/>
    <x v="1"/>
    <s v="LT"/>
    <n v="45"/>
    <s v="196"/>
    <s v="SAFRINHA 2026"/>
    <n v="396"/>
    <n v="0"/>
    <n v="396"/>
    <n v="17820"/>
    <m/>
    <s v="VERA"/>
    <s v="48886750153"/>
    <n v="45"/>
    <n v="0"/>
  </r>
  <r>
    <d v="2026-01-06T13:52:56"/>
    <n v="475"/>
    <x v="154"/>
    <d v="2026-01-06T00:00:00"/>
    <d v="2026-08-30T00:00:00"/>
    <x v="1"/>
    <x v="2"/>
    <s v="510200"/>
    <x v="11"/>
    <x v="1"/>
    <s v="LT"/>
    <n v="340"/>
    <s v="196"/>
    <s v="SAFRINHA 2026"/>
    <n v="195"/>
    <n v="0"/>
    <n v="195"/>
    <n v="66300"/>
    <m/>
    <s v="VERA"/>
    <s v="48886750153"/>
    <n v="340"/>
    <n v="0"/>
  </r>
  <r>
    <d v="2026-01-06T13:52:56"/>
    <n v="475"/>
    <x v="154"/>
    <d v="2026-01-06T00:00:00"/>
    <d v="2026-08-30T00:00:00"/>
    <x v="1"/>
    <x v="0"/>
    <s v="510200"/>
    <x v="108"/>
    <x v="2"/>
    <s v="LT"/>
    <n v="240"/>
    <s v="196"/>
    <s v="SAFRINHA 2026"/>
    <n v="150"/>
    <n v="0"/>
    <n v="150"/>
    <n v="36000"/>
    <m/>
    <s v="VERA"/>
    <s v="48886750153"/>
    <n v="240"/>
    <n v="0"/>
  </r>
  <r>
    <d v="2026-01-06T13:52:56"/>
    <n v="475"/>
    <x v="154"/>
    <d v="2026-01-06T00:00:00"/>
    <d v="2026-08-30T00:00:00"/>
    <x v="1"/>
    <x v="2"/>
    <s v="510200"/>
    <x v="25"/>
    <x v="1"/>
    <s v="KG"/>
    <n v="600"/>
    <s v="196"/>
    <s v="SAFRINHA 2026"/>
    <n v="195"/>
    <n v="0"/>
    <n v="195"/>
    <n v="117000"/>
    <m/>
    <s v="VERA"/>
    <s v="48886750153"/>
    <n v="600"/>
    <n v="0"/>
  </r>
  <r>
    <d v="2026-01-06T13:59:17"/>
    <n v="476"/>
    <x v="154"/>
    <d v="2026-01-06T00:00:00"/>
    <d v="2026-08-30T00:00:00"/>
    <x v="1"/>
    <x v="2"/>
    <s v="510200"/>
    <x v="9"/>
    <x v="1"/>
    <s v="LT"/>
    <n v="45"/>
    <s v="197"/>
    <s v="SAFRINHA 2026"/>
    <n v="210"/>
    <n v="0"/>
    <n v="210"/>
    <n v="9450"/>
    <m/>
    <s v="SORRISO"/>
    <s v="48886750153"/>
    <n v="45"/>
    <n v="0"/>
  </r>
  <r>
    <d v="2026-01-06T13:59:17"/>
    <n v="476"/>
    <x v="154"/>
    <d v="2026-01-06T00:00:00"/>
    <d v="2026-08-30T00:00:00"/>
    <x v="1"/>
    <x v="0"/>
    <s v="510200"/>
    <x v="108"/>
    <x v="2"/>
    <s v="LT"/>
    <n v="240"/>
    <s v="197"/>
    <s v="SAFRINHA 2026"/>
    <n v="50"/>
    <n v="0"/>
    <n v="50"/>
    <n v="12000"/>
    <m/>
    <s v="SORRISO"/>
    <s v="48886750153"/>
    <n v="240"/>
    <n v="0"/>
  </r>
  <r>
    <d v="2026-01-06T13:59:17"/>
    <n v="476"/>
    <x v="154"/>
    <d v="2026-01-06T00:00:00"/>
    <d v="2026-08-30T00:00:00"/>
    <x v="1"/>
    <x v="2"/>
    <s v="510200"/>
    <x v="25"/>
    <x v="1"/>
    <s v="KG"/>
    <n v="600"/>
    <s v="197"/>
    <s v="SAFRINHA 2026"/>
    <n v="105"/>
    <n v="0"/>
    <n v="105"/>
    <n v="63000"/>
    <m/>
    <s v="SORRISO"/>
    <s v="48886750153"/>
    <n v="600"/>
    <n v="0"/>
  </r>
  <r>
    <d v="2026-01-06T13:59:17"/>
    <n v="476"/>
    <x v="154"/>
    <d v="2026-01-06T00:00:00"/>
    <d v="2026-08-30T00:00:00"/>
    <x v="1"/>
    <x v="2"/>
    <s v="510200"/>
    <x v="11"/>
    <x v="1"/>
    <s v="LT"/>
    <n v="340"/>
    <s v="197"/>
    <s v="SAFRINHA 2026"/>
    <n v="105"/>
    <n v="0"/>
    <n v="105"/>
    <n v="35700"/>
    <m/>
    <s v="SORRISO"/>
    <s v="48886750153"/>
    <n v="340"/>
    <n v="0"/>
  </r>
  <r>
    <d v="2025-09-30T15:04:37"/>
    <n v="4109"/>
    <x v="155"/>
    <d v="2025-09-30T00:00:00"/>
    <d v="2026-02-28T00:00:00"/>
    <x v="5"/>
    <x v="1"/>
    <s v="510200"/>
    <x v="18"/>
    <x v="1"/>
    <s v="KG"/>
    <n v="185"/>
    <s v="5390"/>
    <s v="SAFRA 25/26"/>
    <n v="125"/>
    <n v="0"/>
    <n v="125"/>
    <n v="23125"/>
    <m/>
    <s v="PARANATINGA"/>
    <s v="03903336971"/>
    <n v="185"/>
    <n v="0"/>
  </r>
  <r>
    <d v="2025-09-30T15:04:37"/>
    <n v="4109"/>
    <x v="155"/>
    <d v="2025-09-30T00:00:00"/>
    <d v="2026-02-28T00:00:00"/>
    <x v="5"/>
    <x v="1"/>
    <s v="510200"/>
    <x v="11"/>
    <x v="1"/>
    <s v="LT"/>
    <n v="341"/>
    <s v="5390"/>
    <s v="SAFRA 25/26"/>
    <n v="63"/>
    <n v="0"/>
    <n v="63"/>
    <n v="21483"/>
    <m/>
    <s v="PARANATINGA"/>
    <s v="03903336971"/>
    <n v="341"/>
    <n v="0"/>
  </r>
  <r>
    <d v="2025-09-30T15:04:37"/>
    <n v="4109"/>
    <x v="155"/>
    <d v="2025-09-30T00:00:00"/>
    <d v="2026-02-28T00:00:00"/>
    <x v="5"/>
    <x v="1"/>
    <s v="510200"/>
    <x v="10"/>
    <x v="1"/>
    <s v="LT"/>
    <n v="341"/>
    <s v="5390"/>
    <s v="SAFRA 25/26"/>
    <n v="63"/>
    <n v="0"/>
    <n v="63"/>
    <n v="21483"/>
    <m/>
    <s v="PARANATINGA"/>
    <s v="03903336971"/>
    <n v="341"/>
    <n v="0"/>
  </r>
  <r>
    <d v="2025-09-30T15:04:37"/>
    <n v="4109"/>
    <x v="155"/>
    <d v="2025-09-30T00:00:00"/>
    <d v="2026-02-28T00:00:00"/>
    <x v="5"/>
    <x v="1"/>
    <s v="510200"/>
    <x v="9"/>
    <x v="1"/>
    <s v="LT"/>
    <n v="46"/>
    <s v="5390"/>
    <s v="SAFRA 25/26"/>
    <n v="126"/>
    <n v="0"/>
    <n v="126"/>
    <n v="5796"/>
    <m/>
    <s v="PARANATINGA"/>
    <s v="03903336971"/>
    <n v="46"/>
    <n v="0"/>
  </r>
  <r>
    <d v="2025-09-30T15:04:37"/>
    <n v="4109"/>
    <x v="155"/>
    <d v="2025-09-30T00:00:00"/>
    <d v="2026-02-28T00:00:00"/>
    <x v="5"/>
    <x v="1"/>
    <s v="510200"/>
    <x v="13"/>
    <x v="1"/>
    <s v="LT"/>
    <n v="45"/>
    <s v="5390"/>
    <s v="SAFRA 25/26"/>
    <n v="108"/>
    <n v="0"/>
    <n v="108"/>
    <n v="4860"/>
    <m/>
    <s v="PARANATINGA"/>
    <s v="03903336971"/>
    <n v="45"/>
    <n v="0"/>
  </r>
  <r>
    <d v="2025-09-30T15:04:37"/>
    <n v="4109"/>
    <x v="155"/>
    <d v="2025-09-30T00:00:00"/>
    <d v="2026-02-28T00:00:00"/>
    <x v="5"/>
    <x v="0"/>
    <s v="510200"/>
    <x v="12"/>
    <x v="0"/>
    <s v="LT"/>
    <n v="238"/>
    <s v="5390"/>
    <s v="SAFRA 25/26"/>
    <n v="100"/>
    <n v="0"/>
    <n v="100"/>
    <n v="23800"/>
    <m/>
    <s v="PARANATINGA"/>
    <s v="03903336971"/>
    <n v="238"/>
    <n v="0"/>
  </r>
  <r>
    <d v="2025-09-30T15:04:37"/>
    <n v="4109"/>
    <x v="155"/>
    <d v="2025-09-30T00:00:00"/>
    <d v="2026-02-28T00:00:00"/>
    <x v="5"/>
    <x v="0"/>
    <s v="510200"/>
    <x v="5"/>
    <x v="0"/>
    <s v="KG"/>
    <n v="25.5"/>
    <s v="5390"/>
    <s v="SAFRA 25/26"/>
    <n v="1250"/>
    <n v="0"/>
    <n v="1250"/>
    <n v="31875"/>
    <m/>
    <s v="PARANATINGA"/>
    <s v="03903336971"/>
    <n v="25.5"/>
    <n v="0"/>
  </r>
  <r>
    <d v="2025-09-30T15:04:37"/>
    <n v="4109"/>
    <x v="155"/>
    <d v="2025-09-30T00:00:00"/>
    <d v="2026-02-28T00:00:00"/>
    <x v="5"/>
    <x v="0"/>
    <s v="510200"/>
    <x v="1"/>
    <x v="0"/>
    <s v="LT"/>
    <n v="163"/>
    <s v="5390"/>
    <s v="SAFRA 25/26"/>
    <n v="260"/>
    <n v="0"/>
    <n v="260"/>
    <n v="42380"/>
    <m/>
    <s v="PARANATINGA"/>
    <s v="03903336971"/>
    <n v="163"/>
    <n v="0"/>
  </r>
  <r>
    <d v="2025-10-24T14:21:26"/>
    <n v="4206"/>
    <x v="155"/>
    <d v="2025-10-24T00:00:00"/>
    <d v="2026-02-28T00:00:00"/>
    <x v="5"/>
    <x v="1"/>
    <s v="510200"/>
    <x v="9"/>
    <x v="1"/>
    <s v="LT"/>
    <n v="46"/>
    <s v="5395"/>
    <s v="SAFRA 25/26"/>
    <n v="15"/>
    <n v="0"/>
    <n v="15"/>
    <n v="690"/>
    <m/>
    <s v="PARANATINGA"/>
    <s v="03903336971"/>
    <n v="46"/>
    <n v="0"/>
  </r>
  <r>
    <d v="2025-10-24T14:21:26"/>
    <n v="4206"/>
    <x v="155"/>
    <d v="2025-10-24T00:00:00"/>
    <d v="2026-02-28T00:00:00"/>
    <x v="5"/>
    <x v="0"/>
    <s v="510200"/>
    <x v="109"/>
    <x v="2"/>
    <s v="SC"/>
    <n v="780"/>
    <s v="5395"/>
    <s v="SAFRA 25/26"/>
    <n v="7"/>
    <n v="0"/>
    <n v="7"/>
    <n v="5460"/>
    <m/>
    <s v="PARANATINGA"/>
    <s v="03903336971"/>
    <n v="780"/>
    <n v="0"/>
  </r>
  <r>
    <d v="2025-10-29T17:04:54"/>
    <n v="4222"/>
    <x v="155"/>
    <d v="2025-10-29T00:00:00"/>
    <d v="2026-02-28T00:00:00"/>
    <x v="5"/>
    <x v="1"/>
    <s v="510200"/>
    <x v="11"/>
    <x v="1"/>
    <s v="LT"/>
    <n v="341"/>
    <s v="5396"/>
    <s v="SAFRA 25/26"/>
    <n v="3"/>
    <n v="0"/>
    <n v="3"/>
    <n v="1023"/>
    <m/>
    <s v="PARANATINGA"/>
    <s v="03903336971"/>
    <n v="341"/>
    <n v="0"/>
  </r>
  <r>
    <d v="2025-10-29T17:04:54"/>
    <n v="4222"/>
    <x v="155"/>
    <d v="2025-10-29T00:00:00"/>
    <d v="2026-02-28T00:00:00"/>
    <x v="5"/>
    <x v="1"/>
    <s v="510200"/>
    <x v="10"/>
    <x v="1"/>
    <s v="LT"/>
    <n v="341"/>
    <s v="5396"/>
    <s v="SAFRA 25/26"/>
    <n v="3"/>
    <n v="0"/>
    <n v="3"/>
    <n v="1023"/>
    <m/>
    <s v="PARANATINGA"/>
    <s v="03903336971"/>
    <n v="341"/>
    <n v="0"/>
  </r>
  <r>
    <d v="2025-10-29T17:04:54"/>
    <n v="4222"/>
    <x v="155"/>
    <d v="2025-10-29T00:00:00"/>
    <d v="2026-02-28T00:00:00"/>
    <x v="5"/>
    <x v="1"/>
    <s v="510200"/>
    <x v="18"/>
    <x v="1"/>
    <s v="KG"/>
    <n v="185"/>
    <s v="5396"/>
    <s v="SAFRA 25/26"/>
    <n v="12"/>
    <n v="0"/>
    <n v="12"/>
    <n v="2220"/>
    <m/>
    <s v="PARANATINGA"/>
    <s v="03903336971"/>
    <n v="185"/>
    <n v="0"/>
  </r>
  <r>
    <d v="2025-10-29T17:04:54"/>
    <n v="4222"/>
    <x v="155"/>
    <d v="2025-10-29T00:00:00"/>
    <d v="2026-02-28T00:00:00"/>
    <x v="5"/>
    <x v="1"/>
    <s v="510200"/>
    <x v="9"/>
    <x v="1"/>
    <s v="LT"/>
    <n v="46"/>
    <s v="5396"/>
    <s v="SAFRA 25/26"/>
    <n v="9"/>
    <n v="0"/>
    <n v="9"/>
    <n v="414"/>
    <m/>
    <s v="PARANATINGA"/>
    <s v="03903336971"/>
    <n v="46"/>
    <n v="0"/>
  </r>
  <r>
    <d v="2025-11-07T13:36:40"/>
    <n v="4247"/>
    <x v="155"/>
    <d v="2025-11-07T00:00:00"/>
    <d v="2026-02-28T00:00:00"/>
    <x v="5"/>
    <x v="0"/>
    <s v="510200"/>
    <x v="3"/>
    <x v="0"/>
    <s v="LT"/>
    <n v="23"/>
    <s v="5776"/>
    <s v="SAFRA 25/26"/>
    <n v="360"/>
    <n v="0"/>
    <n v="360"/>
    <n v="8280"/>
    <m/>
    <s v="PARANATINGA"/>
    <s v="03903336971"/>
    <n v="23"/>
    <n v="0"/>
  </r>
  <r>
    <d v="2025-11-07T13:36:40"/>
    <n v="4247"/>
    <x v="155"/>
    <d v="2025-11-07T00:00:00"/>
    <d v="2026-02-28T00:00:00"/>
    <x v="5"/>
    <x v="0"/>
    <s v="510200"/>
    <x v="2"/>
    <x v="0"/>
    <s v="KG"/>
    <n v="23"/>
    <s v="5776"/>
    <s v="SAFRA 25/26"/>
    <n v="360"/>
    <n v="0"/>
    <n v="360"/>
    <n v="8280"/>
    <m/>
    <s v="PARANATINGA"/>
    <s v="03903336971"/>
    <n v="23"/>
    <n v="0"/>
  </r>
  <r>
    <d v="2025-11-29T10:07:21"/>
    <n v="4311"/>
    <x v="155"/>
    <d v="2025-11-29T00:00:00"/>
    <d v="2026-02-28T00:00:00"/>
    <x v="5"/>
    <x v="0"/>
    <s v="510200"/>
    <x v="2"/>
    <x v="0"/>
    <s v="KG"/>
    <n v="23"/>
    <s v="5785"/>
    <s v="SAFRA 25/26"/>
    <n v="780"/>
    <n v="0"/>
    <n v="780"/>
    <n v="17940"/>
    <m/>
    <s v="PARANATINGA"/>
    <s v="03903336971"/>
    <n v="23"/>
    <n v="0"/>
  </r>
  <r>
    <d v="2025-11-29T10:07:21"/>
    <n v="4311"/>
    <x v="155"/>
    <d v="2025-11-29T00:00:00"/>
    <d v="2026-02-28T00:00:00"/>
    <x v="5"/>
    <x v="0"/>
    <s v="510200"/>
    <x v="57"/>
    <x v="2"/>
    <s v="KG"/>
    <n v="240"/>
    <s v="5785"/>
    <s v="SAFRA 25/26"/>
    <n v="8"/>
    <n v="0"/>
    <n v="8"/>
    <n v="1920"/>
    <m/>
    <s v="PARANATINGA"/>
    <s v="03903336971"/>
    <n v="240"/>
    <n v="0"/>
  </r>
  <r>
    <d v="2025-12-03T14:06:18"/>
    <n v="4321"/>
    <x v="155"/>
    <d v="2025-12-03T00:00:00"/>
    <d v="2026-02-28T00:00:00"/>
    <x v="5"/>
    <x v="0"/>
    <s v="510200"/>
    <x v="3"/>
    <x v="0"/>
    <s v="LT"/>
    <n v="23"/>
    <s v="5836"/>
    <s v="SAFRA 25/26"/>
    <n v="260"/>
    <n v="0"/>
    <n v="260"/>
    <n v="5980"/>
    <m/>
    <s v="PARANATINGA"/>
    <s v="03903336971"/>
    <n v="23"/>
    <n v="0"/>
  </r>
  <r>
    <d v="2025-08-19T08:36:48"/>
    <n v="266"/>
    <x v="156"/>
    <d v="2025-08-19T00:00:00"/>
    <d v="2026-04-30T00:00:00"/>
    <x v="2"/>
    <x v="2"/>
    <s v="510200"/>
    <x v="13"/>
    <x v="1"/>
    <s v="LT"/>
    <n v="48"/>
    <s v="5136"/>
    <s v="SAFRA 25/26"/>
    <n v="12"/>
    <n v="0"/>
    <n v="12"/>
    <n v="576"/>
    <m/>
    <s v="CLAUDIA"/>
    <s v="69916950172"/>
    <n v="48"/>
    <n v="0"/>
  </r>
  <r>
    <d v="2025-08-19T08:36:48"/>
    <n v="266"/>
    <x v="156"/>
    <d v="2025-08-19T00:00:00"/>
    <d v="2026-04-30T00:00:00"/>
    <x v="2"/>
    <x v="2"/>
    <s v="510200"/>
    <x v="9"/>
    <x v="1"/>
    <s v="LT"/>
    <n v="50"/>
    <s v="5136"/>
    <s v="SAFRA 25/26"/>
    <n v="12"/>
    <n v="0"/>
    <n v="12"/>
    <n v="600"/>
    <m/>
    <s v="CLAUDIA"/>
    <s v="69916950172"/>
    <n v="50"/>
    <n v="0"/>
  </r>
  <r>
    <d v="2025-08-19T08:36:48"/>
    <n v="266"/>
    <x v="156"/>
    <d v="2025-08-19T00:00:00"/>
    <d v="2026-04-30T00:00:00"/>
    <x v="2"/>
    <x v="2"/>
    <s v="510200"/>
    <x v="11"/>
    <x v="1"/>
    <s v="LT"/>
    <n v="380"/>
    <s v="5136"/>
    <s v="SAFRA 25/26"/>
    <n v="5"/>
    <n v="0"/>
    <n v="5"/>
    <n v="1900"/>
    <m/>
    <s v="CLAUDIA"/>
    <s v="69916950172"/>
    <n v="380"/>
    <n v="0"/>
  </r>
  <r>
    <d v="2025-08-19T08:36:48"/>
    <n v="266"/>
    <x v="156"/>
    <d v="2025-08-19T00:00:00"/>
    <d v="2026-04-30T00:00:00"/>
    <x v="2"/>
    <x v="2"/>
    <s v="510200"/>
    <x v="18"/>
    <x v="1"/>
    <s v="KG"/>
    <n v="220"/>
    <s v="5136"/>
    <s v="SAFRA 25/26"/>
    <n v="10"/>
    <n v="0"/>
    <n v="10"/>
    <n v="2200"/>
    <m/>
    <s v="CLAUDIA"/>
    <s v="69916950172"/>
    <n v="220"/>
    <n v="0"/>
  </r>
  <r>
    <d v="2025-08-19T08:36:48"/>
    <n v="266"/>
    <x v="156"/>
    <d v="2025-08-19T00:00:00"/>
    <d v="2026-04-30T00:00:00"/>
    <x v="2"/>
    <x v="2"/>
    <s v="510200"/>
    <x v="10"/>
    <x v="1"/>
    <s v="LT"/>
    <n v="380"/>
    <s v="5136"/>
    <s v="SAFRA 25/26"/>
    <n v="5"/>
    <n v="0"/>
    <n v="5"/>
    <n v="1900"/>
    <m/>
    <s v="CLAUDIA"/>
    <s v="69916950172"/>
    <n v="380"/>
    <n v="0"/>
  </r>
  <r>
    <d v="2026-02-20T14:04:09"/>
    <n v="4592"/>
    <x v="157"/>
    <d v="2026-02-20T00:00:00"/>
    <d v="2026-08-30T00:00:00"/>
    <x v="0"/>
    <x v="0"/>
    <s v="510200"/>
    <x v="31"/>
    <x v="0"/>
    <s v="LT"/>
    <n v="170"/>
    <s v="5259"/>
    <s v="SAFRINHA 2026"/>
    <n v="3"/>
    <n v="0"/>
    <n v="3"/>
    <n v="510"/>
    <m/>
    <s v="NOVA UBIRATA"/>
    <s v="90419006168"/>
    <n v="170"/>
    <n v="0"/>
  </r>
  <r>
    <d v="2025-04-11T14:07:33"/>
    <n v="3808"/>
    <x v="158"/>
    <d v="2025-01-14T00:00:00"/>
    <d v="2026-03-30T00:00:00"/>
    <x v="0"/>
    <x v="1"/>
    <s v="510200"/>
    <x v="48"/>
    <x v="1"/>
    <s v="LT"/>
    <n v="68.292714000000004"/>
    <s v="4807"/>
    <s v="SAFRINHA 2026"/>
    <n v="700"/>
    <n v="0"/>
    <n v="700"/>
    <n v="47804.899799999999"/>
    <m/>
    <s v="NOVA UBIRATA"/>
    <s v="27582710010"/>
    <n v="68.292714000000004"/>
    <n v="0"/>
  </r>
  <r>
    <d v="2025-04-11T14:07:33"/>
    <n v="3808"/>
    <x v="158"/>
    <d v="2025-01-14T00:00:00"/>
    <d v="2026-03-30T00:00:00"/>
    <x v="0"/>
    <x v="0"/>
    <s v="510200"/>
    <x v="1"/>
    <x v="0"/>
    <s v="LT"/>
    <n v="155"/>
    <s v="4807"/>
    <s v="SAFRINHA 2026"/>
    <n v="140"/>
    <n v="0"/>
    <n v="140"/>
    <n v="21700"/>
    <m/>
    <s v="NOVA UBIRATA"/>
    <s v="27582710010"/>
    <n v="155"/>
    <n v="0"/>
  </r>
  <r>
    <d v="2025-04-11T14:07:33"/>
    <n v="3808"/>
    <x v="158"/>
    <d v="2025-01-14T00:00:00"/>
    <d v="2026-03-30T00:00:00"/>
    <x v="0"/>
    <x v="0"/>
    <s v="510200"/>
    <x v="12"/>
    <x v="0"/>
    <s v="LT"/>
    <n v="230"/>
    <s v="4807"/>
    <s v="SAFRINHA 2026"/>
    <n v="105"/>
    <n v="0"/>
    <n v="105"/>
    <n v="24150"/>
    <m/>
    <s v="NOVA UBIRATA"/>
    <s v="27582710010"/>
    <n v="230"/>
    <n v="0"/>
  </r>
  <r>
    <d v="2025-04-11T14:07:33"/>
    <n v="3808"/>
    <x v="158"/>
    <d v="2025-01-14T00:00:00"/>
    <d v="2026-03-30T00:00:00"/>
    <x v="0"/>
    <x v="0"/>
    <s v="510200"/>
    <x v="2"/>
    <x v="0"/>
    <s v="KG"/>
    <n v="22.5"/>
    <s v="4807"/>
    <s v="SAFRINHA 2026"/>
    <n v="1400"/>
    <n v="0"/>
    <n v="1400"/>
    <n v="31500"/>
    <m/>
    <s v="NOVA UBIRATA"/>
    <s v="27582710010"/>
    <n v="22.5"/>
    <n v="0"/>
  </r>
  <r>
    <d v="2025-04-11T14:07:33"/>
    <n v="3808"/>
    <x v="158"/>
    <d v="2025-01-14T00:00:00"/>
    <d v="2026-03-30T00:00:00"/>
    <x v="0"/>
    <x v="0"/>
    <s v="510200"/>
    <x v="0"/>
    <x v="0"/>
    <s v="LT"/>
    <n v="18"/>
    <s v="4807"/>
    <s v="SAFRINHA 2026"/>
    <n v="700"/>
    <n v="0"/>
    <n v="700"/>
    <n v="12600"/>
    <m/>
    <s v="NOVA UBIRATA"/>
    <s v="27582710010"/>
    <n v="18"/>
    <n v="0"/>
  </r>
  <r>
    <d v="2025-04-11T14:07:33"/>
    <n v="3808"/>
    <x v="158"/>
    <d v="2025-01-14T00:00:00"/>
    <d v="2026-03-30T00:00:00"/>
    <x v="0"/>
    <x v="1"/>
    <s v="510200"/>
    <x v="14"/>
    <x v="1"/>
    <s v="KG"/>
    <n v="374.846023"/>
    <s v="4807"/>
    <s v="SAFRINHA 2026"/>
    <n v="70"/>
    <n v="0"/>
    <n v="70"/>
    <n v="26239.221610000001"/>
    <m/>
    <s v="NOVA UBIRATA"/>
    <s v="27582710010"/>
    <n v="374.846023"/>
    <n v="0"/>
  </r>
  <r>
    <d v="2025-04-11T14:07:33"/>
    <n v="3808"/>
    <x v="158"/>
    <d v="2025-01-14T00:00:00"/>
    <d v="2026-03-30T00:00:00"/>
    <x v="0"/>
    <x v="1"/>
    <s v="510200"/>
    <x v="11"/>
    <x v="1"/>
    <s v="LT"/>
    <n v="338.27568000000002"/>
    <s v="4807"/>
    <s v="SAFRINHA 2026"/>
    <n v="70"/>
    <n v="0"/>
    <n v="70"/>
    <n v="23679.297600000002"/>
    <m/>
    <s v="NOVA UBIRATA"/>
    <s v="27582710010"/>
    <n v="338.27568000000002"/>
    <n v="0"/>
  </r>
  <r>
    <d v="2025-04-11T14:07:33"/>
    <n v="3808"/>
    <x v="158"/>
    <d v="2025-01-14T00:00:00"/>
    <d v="2026-03-30T00:00:00"/>
    <x v="0"/>
    <x v="1"/>
    <s v="510200"/>
    <x v="10"/>
    <x v="1"/>
    <s v="LT"/>
    <n v="324.561801"/>
    <s v="4807"/>
    <s v="SAFRINHA 2026"/>
    <n v="70"/>
    <n v="0"/>
    <n v="70"/>
    <n v="22719.326069999999"/>
    <m/>
    <s v="NOVA UBIRATA"/>
    <s v="27582710010"/>
    <n v="324.561801"/>
    <n v="0"/>
  </r>
  <r>
    <d v="2025-04-11T14:07:33"/>
    <n v="3808"/>
    <x v="158"/>
    <d v="2025-01-14T00:00:00"/>
    <d v="2026-03-30T00:00:00"/>
    <x v="0"/>
    <x v="1"/>
    <s v="510200"/>
    <x v="23"/>
    <x v="1"/>
    <s v="KG"/>
    <n v="361.13214499999998"/>
    <s v="4807"/>
    <s v="SAFRINHA 2026"/>
    <n v="70"/>
    <n v="0"/>
    <n v="70"/>
    <n v="25279.25015"/>
    <m/>
    <s v="NOVA UBIRATA"/>
    <s v="27582710010"/>
    <n v="361.13214499999998"/>
    <n v="0"/>
  </r>
  <r>
    <d v="2025-04-11T14:07:33"/>
    <n v="3808"/>
    <x v="158"/>
    <d v="2025-01-14T00:00:00"/>
    <d v="2026-03-30T00:00:00"/>
    <x v="0"/>
    <x v="0"/>
    <s v="510200"/>
    <x v="3"/>
    <x v="0"/>
    <s v="LT"/>
    <n v="22.5"/>
    <s v="4807"/>
    <s v="SAFRINHA 2026"/>
    <n v="700"/>
    <n v="0"/>
    <n v="700"/>
    <n v="15750"/>
    <m/>
    <s v="NOVA UBIRATA"/>
    <s v="27582710010"/>
    <n v="22.5"/>
    <n v="0"/>
  </r>
  <r>
    <d v="2025-03-11T10:46:54"/>
    <n v="3735"/>
    <x v="158"/>
    <d v="2025-03-11T00:00:00"/>
    <d v="2025-09-30T00:00:00"/>
    <x v="0"/>
    <x v="0"/>
    <s v="510200"/>
    <x v="0"/>
    <x v="0"/>
    <s v="LT"/>
    <n v="18"/>
    <s v="4806"/>
    <s v="SAFRA 25/26"/>
    <n v="660"/>
    <n v="0"/>
    <n v="660"/>
    <n v="11880"/>
    <m/>
    <s v="NOVA UBIRATA"/>
    <s v="27582710010"/>
    <n v="18"/>
    <n v="0"/>
  </r>
  <r>
    <d v="2025-03-11T10:46:54"/>
    <n v="3735"/>
    <x v="158"/>
    <d v="2025-03-11T00:00:00"/>
    <d v="2025-09-30T00:00:00"/>
    <x v="0"/>
    <x v="0"/>
    <s v="510200"/>
    <x v="5"/>
    <x v="0"/>
    <s v="KG"/>
    <n v="25"/>
    <s v="4806"/>
    <s v="SAFRA 25/26"/>
    <n v="660"/>
    <n v="0"/>
    <n v="660"/>
    <n v="16500"/>
    <m/>
    <s v="NOVA UBIRATA"/>
    <s v="27582710010"/>
    <n v="25"/>
    <n v="0"/>
  </r>
  <r>
    <d v="2025-03-11T10:46:54"/>
    <n v="3735"/>
    <x v="158"/>
    <d v="2025-03-11T00:00:00"/>
    <d v="2025-09-30T00:00:00"/>
    <x v="0"/>
    <x v="0"/>
    <s v="510200"/>
    <x v="8"/>
    <x v="0"/>
    <s v="KG"/>
    <n v="90"/>
    <s v="4806"/>
    <s v="SAFRA 25/26"/>
    <n v="72"/>
    <n v="0"/>
    <n v="72"/>
    <n v="6480"/>
    <m/>
    <s v="NOVA UBIRATA"/>
    <s v="27582710010"/>
    <n v="90"/>
    <n v="0"/>
  </r>
  <r>
    <d v="2025-03-11T10:46:54"/>
    <n v="3735"/>
    <x v="158"/>
    <d v="2025-03-11T00:00:00"/>
    <d v="2025-09-30T00:00:00"/>
    <x v="0"/>
    <x v="0"/>
    <s v="510200"/>
    <x v="2"/>
    <x v="0"/>
    <s v="KG"/>
    <n v="22.5"/>
    <s v="4806"/>
    <s v="SAFRA 25/26"/>
    <n v="1320"/>
    <n v="0"/>
    <n v="1320"/>
    <n v="29700"/>
    <m/>
    <s v="NOVA UBIRATA"/>
    <s v="27582710010"/>
    <n v="22.5"/>
    <n v="0"/>
  </r>
  <r>
    <d v="2025-03-11T10:46:54"/>
    <n v="3735"/>
    <x v="158"/>
    <d v="2025-03-11T00:00:00"/>
    <d v="2025-09-30T00:00:00"/>
    <x v="0"/>
    <x v="0"/>
    <s v="510200"/>
    <x v="1"/>
    <x v="0"/>
    <s v="LT"/>
    <n v="150"/>
    <s v="4806"/>
    <s v="SAFRA 25/26"/>
    <n v="220"/>
    <n v="0"/>
    <n v="220"/>
    <n v="33000"/>
    <m/>
    <s v="NOVA UBIRATA"/>
    <s v="27582710010"/>
    <n v="150"/>
    <n v="0"/>
  </r>
  <r>
    <d v="2025-03-11T10:46:54"/>
    <n v="3735"/>
    <x v="158"/>
    <d v="2025-03-11T00:00:00"/>
    <d v="2025-09-30T00:00:00"/>
    <x v="0"/>
    <x v="0"/>
    <s v="510200"/>
    <x v="46"/>
    <x v="0"/>
    <s v="LT"/>
    <n v="17.5"/>
    <s v="4806"/>
    <s v="SAFRA 25/26"/>
    <n v="1980"/>
    <n v="0"/>
    <n v="1980"/>
    <n v="34650"/>
    <m/>
    <s v="NOVA UBIRATA"/>
    <s v="27582710010"/>
    <n v="17.5"/>
    <n v="0"/>
  </r>
  <r>
    <d v="2025-03-11T10:46:54"/>
    <n v="3735"/>
    <x v="158"/>
    <d v="2025-03-11T00:00:00"/>
    <d v="2025-09-30T00:00:00"/>
    <x v="0"/>
    <x v="0"/>
    <s v="510200"/>
    <x v="3"/>
    <x v="0"/>
    <s v="LT"/>
    <n v="22.5"/>
    <s v="4806"/>
    <s v="SAFRA 25/26"/>
    <n v="1000"/>
    <n v="0"/>
    <n v="1000"/>
    <n v="22500"/>
    <m/>
    <s v="NOVA UBIRATA"/>
    <s v="27582710010"/>
    <n v="22.5"/>
    <n v="0"/>
  </r>
  <r>
    <d v="2025-03-11T10:46:54"/>
    <n v="3735"/>
    <x v="158"/>
    <d v="2025-03-11T00:00:00"/>
    <d v="2025-09-30T00:00:00"/>
    <x v="0"/>
    <x v="1"/>
    <s v="510200"/>
    <x v="11"/>
    <x v="1"/>
    <s v="LT"/>
    <n v="310.39999999999998"/>
    <s v="4806"/>
    <s v="SAFRA 25/26"/>
    <n v="70"/>
    <n v="0"/>
    <n v="70"/>
    <n v="21728"/>
    <m/>
    <s v="NOVA UBIRATA"/>
    <s v="27582710010"/>
    <n v="310.39999999999998"/>
    <n v="0"/>
  </r>
  <r>
    <d v="2025-03-11T10:46:54"/>
    <n v="3735"/>
    <x v="158"/>
    <d v="2025-03-11T00:00:00"/>
    <d v="2025-09-30T00:00:00"/>
    <x v="0"/>
    <x v="1"/>
    <s v="510200"/>
    <x v="25"/>
    <x v="1"/>
    <s v="KG"/>
    <n v="610"/>
    <s v="4806"/>
    <s v="SAFRA 25/26"/>
    <n v="70"/>
    <n v="0"/>
    <n v="70"/>
    <n v="42700"/>
    <m/>
    <s v="NOVA UBIRATA"/>
    <s v="27582710010"/>
    <n v="610"/>
    <n v="0"/>
  </r>
  <r>
    <d v="2025-03-11T10:46:54"/>
    <n v="3735"/>
    <x v="158"/>
    <d v="2025-03-11T00:00:00"/>
    <d v="2025-09-30T00:00:00"/>
    <x v="0"/>
    <x v="0"/>
    <s v="510200"/>
    <x v="22"/>
    <x v="2"/>
    <s v="KG"/>
    <n v="18.07189"/>
    <s v="4806"/>
    <s v="SAFRA 25/26"/>
    <n v="60"/>
    <n v="0"/>
    <n v="60"/>
    <n v="1084.3134"/>
    <m/>
    <s v="NOVA UBIRATA"/>
    <s v="27582710010"/>
    <n v="18.07189"/>
    <n v="0"/>
  </r>
  <r>
    <d v="2025-03-11T10:46:54"/>
    <n v="3735"/>
    <x v="158"/>
    <d v="2025-03-11T00:00:00"/>
    <d v="2025-09-30T00:00:00"/>
    <x v="0"/>
    <x v="1"/>
    <s v="510200"/>
    <x v="14"/>
    <x v="1"/>
    <s v="KG"/>
    <n v="375"/>
    <s v="4806"/>
    <s v="SAFRA 25/26"/>
    <n v="70"/>
    <n v="0"/>
    <n v="70"/>
    <n v="26250"/>
    <m/>
    <s v="NOVA UBIRATA"/>
    <s v="27582710010"/>
    <n v="375"/>
    <n v="0"/>
  </r>
  <r>
    <d v="2025-03-11T10:46:54"/>
    <n v="3735"/>
    <x v="158"/>
    <d v="2025-03-11T00:00:00"/>
    <d v="2025-09-30T00:00:00"/>
    <x v="0"/>
    <x v="0"/>
    <s v="510200"/>
    <x v="110"/>
    <x v="2"/>
    <s v="LT"/>
    <n v="35.322333"/>
    <s v="4806"/>
    <s v="SAFRA 25/26"/>
    <n v="40"/>
    <n v="0"/>
    <n v="40"/>
    <n v="1412.8933200000001"/>
    <m/>
    <s v="NOVA UBIRATA"/>
    <s v="27582710010"/>
    <n v="35.322333"/>
    <n v="0"/>
  </r>
  <r>
    <d v="2025-03-11T10:46:54"/>
    <n v="3735"/>
    <x v="158"/>
    <d v="2025-03-11T00:00:00"/>
    <d v="2025-09-30T00:00:00"/>
    <x v="0"/>
    <x v="0"/>
    <s v="510200"/>
    <x v="111"/>
    <x v="2"/>
    <s v="KG"/>
    <n v="22.179138999999999"/>
    <s v="4806"/>
    <s v="SAFRA 25/26"/>
    <n v="40"/>
    <n v="0"/>
    <n v="40"/>
    <n v="887.16555999999991"/>
    <m/>
    <s v="NOVA UBIRATA"/>
    <s v="27582710010"/>
    <n v="22.179138999999999"/>
    <n v="0"/>
  </r>
  <r>
    <d v="2025-03-11T10:46:54"/>
    <n v="3735"/>
    <x v="158"/>
    <d v="2025-03-11T00:00:00"/>
    <d v="2025-09-30T00:00:00"/>
    <x v="0"/>
    <x v="0"/>
    <s v="510200"/>
    <x v="7"/>
    <x v="0"/>
    <s v="LT"/>
    <n v="72"/>
    <s v="4806"/>
    <s v="SAFRA 25/26"/>
    <n v="105"/>
    <n v="0"/>
    <n v="105"/>
    <n v="7560"/>
    <m/>
    <s v="NOVA UBIRATA"/>
    <s v="27582710010"/>
    <n v="72"/>
    <n v="0"/>
  </r>
  <r>
    <d v="2025-03-11T10:46:54"/>
    <n v="3735"/>
    <x v="158"/>
    <d v="2025-03-11T00:00:00"/>
    <d v="2025-09-30T00:00:00"/>
    <x v="0"/>
    <x v="0"/>
    <s v="510200"/>
    <x v="68"/>
    <x v="2"/>
    <s v="LT"/>
    <n v="13.964643000000001"/>
    <s v="4806"/>
    <s v="SAFRA 25/26"/>
    <n v="125"/>
    <n v="0"/>
    <n v="125"/>
    <n v="1745.580375"/>
    <m/>
    <s v="NOVA UBIRATA"/>
    <s v="27582710010"/>
    <n v="13.964643000000001"/>
    <n v="0"/>
  </r>
  <r>
    <d v="2025-03-11T10:46:54"/>
    <n v="3735"/>
    <x v="158"/>
    <d v="2025-03-11T00:00:00"/>
    <d v="2025-09-30T00:00:00"/>
    <x v="0"/>
    <x v="0"/>
    <s v="510200"/>
    <x v="101"/>
    <x v="2"/>
    <s v="KG"/>
    <n v="55.858570999999998"/>
    <s v="4806"/>
    <s v="SAFRA 25/26"/>
    <n v="10"/>
    <n v="0"/>
    <n v="10"/>
    <n v="558.58570999999995"/>
    <m/>
    <s v="NOVA UBIRATA"/>
    <s v="27582710010"/>
    <n v="55.858570999999998"/>
    <n v="0"/>
  </r>
  <r>
    <d v="2025-03-11T10:46:54"/>
    <n v="3735"/>
    <x v="158"/>
    <d v="2025-03-11T00:00:00"/>
    <d v="2025-09-30T00:00:00"/>
    <x v="0"/>
    <x v="0"/>
    <s v="510200"/>
    <x v="58"/>
    <x v="2"/>
    <s v="LT"/>
    <n v="21.357690000000002"/>
    <s v="4806"/>
    <s v="SAFRA 25/26"/>
    <n v="60"/>
    <n v="0"/>
    <n v="60"/>
    <n v="1281.4614000000001"/>
    <m/>
    <s v="NOVA UBIRATA"/>
    <s v="27582710010"/>
    <n v="21.357690000000002"/>
    <n v="0"/>
  </r>
  <r>
    <d v="2025-03-11T10:46:54"/>
    <n v="3735"/>
    <x v="158"/>
    <d v="2025-03-11T00:00:00"/>
    <d v="2025-09-30T00:00:00"/>
    <x v="0"/>
    <x v="0"/>
    <s v="510200"/>
    <x v="6"/>
    <x v="0"/>
    <s v="LT"/>
    <n v="72"/>
    <s v="4806"/>
    <s v="SAFRA 25/26"/>
    <n v="280"/>
    <n v="0"/>
    <n v="280"/>
    <n v="20160"/>
    <m/>
    <s v="NOVA UBIRATA"/>
    <s v="27582710010"/>
    <n v="72"/>
    <n v="0"/>
  </r>
  <r>
    <d v="2026-03-05T08:01:02"/>
    <n v="4628"/>
    <x v="158"/>
    <d v="2026-03-05T00:00:00"/>
    <d v="2026-03-30T00:00:00"/>
    <x v="0"/>
    <x v="0"/>
    <s v="510200"/>
    <x v="6"/>
    <x v="0"/>
    <s v="LT"/>
    <n v="72"/>
    <s v="5260"/>
    <s v="SAFRINHA 2026"/>
    <n v="140"/>
    <n v="0"/>
    <n v="140"/>
    <n v="10080"/>
    <m/>
    <s v="NOVA UBIRATA"/>
    <s v="27582710010"/>
    <n v="72"/>
    <n v="0"/>
  </r>
  <r>
    <d v="2025-12-04T16:58:50"/>
    <n v="4328"/>
    <x v="159"/>
    <d v="2025-12-04T00:00:00"/>
    <d v="2026-08-30T00:00:00"/>
    <x v="7"/>
    <x v="1"/>
    <s v="510200"/>
    <x v="14"/>
    <x v="1"/>
    <s v="KG"/>
    <n v="385"/>
    <s v="5597"/>
    <s v="SAFRINHA 2026"/>
    <n v="111"/>
    <n v="0"/>
    <n v="111"/>
    <n v="42735"/>
    <m/>
    <s v="SORRISO"/>
    <s v="40930726987"/>
    <n v="385"/>
    <n v="0"/>
  </r>
  <r>
    <d v="2025-11-07T11:19:37"/>
    <n v="4246"/>
    <x v="160"/>
    <d v="2025-11-07T00:00:00"/>
    <d v="2026-05-30T00:00:00"/>
    <x v="8"/>
    <x v="1"/>
    <s v="510200"/>
    <x v="9"/>
    <x v="1"/>
    <s v="LT"/>
    <n v="37.777777"/>
    <s v="5802"/>
    <s v="SAFRA 25/26"/>
    <n v="36"/>
    <n v="0"/>
    <n v="36"/>
    <n v="1359.9999720000001"/>
    <m/>
    <s v="NOVA MUTUM"/>
    <s v="22232567087"/>
    <n v="37.777777"/>
    <n v="0"/>
  </r>
  <r>
    <d v="2026-01-12T12:37:16"/>
    <n v="493"/>
    <x v="161"/>
    <d v="2026-01-12T00:00:00"/>
    <d v="2026-08-30T00:00:00"/>
    <x v="2"/>
    <x v="2"/>
    <s v="510200"/>
    <x v="11"/>
    <x v="1"/>
    <s v="LT"/>
    <n v="338"/>
    <s v="134"/>
    <s v="SAFRINHA 2026"/>
    <n v="30"/>
    <n v="0"/>
    <n v="30"/>
    <n v="10140"/>
    <m/>
    <s v="TABAPORA"/>
    <s v="02652087185"/>
    <n v="338"/>
    <n v="0"/>
  </r>
  <r>
    <d v="2026-01-12T12:37:16"/>
    <n v="493"/>
    <x v="161"/>
    <d v="2026-01-12T00:00:00"/>
    <d v="2026-08-30T00:00:00"/>
    <x v="2"/>
    <x v="2"/>
    <s v="510200"/>
    <x v="9"/>
    <x v="1"/>
    <s v="LT"/>
    <n v="48"/>
    <s v="134"/>
    <s v="SAFRINHA 2026"/>
    <n v="108"/>
    <n v="0"/>
    <n v="108"/>
    <n v="5184"/>
    <m/>
    <s v="TABAPORA"/>
    <s v="02652087185"/>
    <n v="48"/>
    <n v="0"/>
  </r>
  <r>
    <d v="2026-01-12T12:37:16"/>
    <n v="493"/>
    <x v="161"/>
    <d v="2026-01-12T00:00:00"/>
    <d v="2026-08-30T00:00:00"/>
    <x v="2"/>
    <x v="2"/>
    <s v="510200"/>
    <x v="18"/>
    <x v="1"/>
    <s v="KG"/>
    <n v="200"/>
    <s v="134"/>
    <s v="SAFRINHA 2026"/>
    <n v="80"/>
    <n v="0"/>
    <n v="80"/>
    <n v="16000"/>
    <m/>
    <s v="TABAPORA"/>
    <s v="02652087185"/>
    <n v="200"/>
    <n v="0"/>
  </r>
  <r>
    <d v="2026-01-12T12:37:16"/>
    <n v="493"/>
    <x v="161"/>
    <d v="2026-01-12T00:00:00"/>
    <d v="2026-08-30T00:00:00"/>
    <x v="2"/>
    <x v="2"/>
    <s v="510200"/>
    <x v="10"/>
    <x v="1"/>
    <s v="LT"/>
    <n v="338"/>
    <s v="134"/>
    <s v="SAFRINHA 2026"/>
    <n v="30"/>
    <n v="0"/>
    <n v="30"/>
    <n v="10140"/>
    <m/>
    <s v="TABAPORA"/>
    <s v="02652087185"/>
    <n v="338"/>
    <n v="0"/>
  </r>
  <r>
    <d v="2026-02-19T15:51:23"/>
    <n v="555"/>
    <x v="161"/>
    <d v="2026-02-19T00:00:00"/>
    <d v="2026-09-30T00:00:00"/>
    <x v="2"/>
    <x v="2"/>
    <s v="510200"/>
    <x v="20"/>
    <x v="1"/>
    <s v="LT"/>
    <n v="35"/>
    <s v="443"/>
    <s v="SAFRINHA 2026"/>
    <n v="590"/>
    <n v="20"/>
    <n v="570"/>
    <n v="19950"/>
    <m/>
    <s v="TABAPORA"/>
    <s v="02652087185"/>
    <n v="35"/>
    <n v="0"/>
  </r>
  <r>
    <d v="2025-09-19T13:48:21"/>
    <n v="307"/>
    <x v="162"/>
    <d v="2025-09-19T00:00:00"/>
    <d v="2026-04-30T00:00:00"/>
    <x v="13"/>
    <x v="2"/>
    <s v="510200"/>
    <x v="9"/>
    <x v="1"/>
    <s v="LT"/>
    <n v="45"/>
    <s v="77"/>
    <s v="SAFRA 25/26"/>
    <n v="90"/>
    <n v="0"/>
    <n v="90"/>
    <n v="4050"/>
    <m/>
    <s v="ITAUBA"/>
    <s v="94564337904"/>
    <n v="45"/>
    <n v="0"/>
  </r>
  <r>
    <d v="2025-09-19T13:48:21"/>
    <n v="307"/>
    <x v="162"/>
    <d v="2025-09-19T00:00:00"/>
    <d v="2026-04-30T00:00:00"/>
    <x v="13"/>
    <x v="2"/>
    <s v="510200"/>
    <x v="13"/>
    <x v="1"/>
    <s v="LT"/>
    <n v="40.4"/>
    <s v="77"/>
    <s v="SAFRA 25/26"/>
    <n v="300"/>
    <n v="0"/>
    <n v="300"/>
    <n v="12120"/>
    <m/>
    <s v="ITAUBA"/>
    <s v="94564337904"/>
    <n v="40.4"/>
    <n v="0"/>
  </r>
  <r>
    <d v="2025-09-19T13:48:21"/>
    <n v="307"/>
    <x v="162"/>
    <d v="2025-09-19T00:00:00"/>
    <d v="2026-04-30T00:00:00"/>
    <x v="13"/>
    <x v="2"/>
    <s v="510200"/>
    <x v="10"/>
    <x v="1"/>
    <s v="LT"/>
    <n v="295"/>
    <s v="77"/>
    <s v="SAFRA 25/26"/>
    <n v="45"/>
    <n v="0"/>
    <n v="45"/>
    <n v="13275"/>
    <m/>
    <s v="ITAUBA"/>
    <s v="94564337904"/>
    <n v="295"/>
    <n v="0"/>
  </r>
  <r>
    <d v="2025-09-19T13:48:21"/>
    <n v="307"/>
    <x v="162"/>
    <d v="2025-09-19T00:00:00"/>
    <d v="2026-04-30T00:00:00"/>
    <x v="13"/>
    <x v="2"/>
    <s v="510200"/>
    <x v="11"/>
    <x v="1"/>
    <s v="LT"/>
    <n v="295"/>
    <s v="77"/>
    <s v="SAFRA 25/26"/>
    <n v="45"/>
    <n v="0"/>
    <n v="45"/>
    <n v="13275"/>
    <m/>
    <s v="ITAUBA"/>
    <s v="94564337904"/>
    <n v="295"/>
    <n v="0"/>
  </r>
  <r>
    <d v="2025-09-19T13:48:21"/>
    <n v="307"/>
    <x v="162"/>
    <d v="2025-09-19T00:00:00"/>
    <d v="2026-04-30T00:00:00"/>
    <x v="13"/>
    <x v="2"/>
    <s v="510200"/>
    <x v="18"/>
    <x v="1"/>
    <s v="KG"/>
    <n v="180"/>
    <s v="77"/>
    <s v="SAFRA 25/26"/>
    <n v="60"/>
    <n v="0"/>
    <n v="60"/>
    <n v="10800"/>
    <m/>
    <s v="ITAUBA"/>
    <s v="94564337904"/>
    <n v="180"/>
    <n v="0"/>
  </r>
  <r>
    <d v="2026-01-14T08:46:10"/>
    <n v="499"/>
    <x v="162"/>
    <d v="2026-01-14T00:00:00"/>
    <d v="2026-08-30T00:00:00"/>
    <x v="13"/>
    <x v="2"/>
    <s v="510200"/>
    <x v="18"/>
    <x v="1"/>
    <s v="KG"/>
    <n v="180"/>
    <s v="5232"/>
    <s v="SAFRINHA 2026"/>
    <n v="35"/>
    <n v="0"/>
    <n v="35"/>
    <n v="6300"/>
    <m/>
    <s v="ITAUBA"/>
    <s v="94564337904"/>
    <n v="180"/>
    <n v="0"/>
  </r>
  <r>
    <d v="2025-09-05T08:43:38"/>
    <n v="4011"/>
    <x v="163"/>
    <d v="2025-09-05T00:00:00"/>
    <d v="2026-04-30T00:00:00"/>
    <x v="3"/>
    <x v="0"/>
    <s v="510200"/>
    <x v="21"/>
    <x v="2"/>
    <s v="KG"/>
    <n v="39"/>
    <s v="5567"/>
    <s v="SAFRA 25/26"/>
    <n v="165"/>
    <n v="0"/>
    <n v="165"/>
    <n v="6435"/>
    <m/>
    <s v="NOVA MUTUM"/>
    <s v="39687362000219"/>
    <n v="39"/>
    <n v="0"/>
  </r>
  <r>
    <d v="2025-09-11T09:22:29"/>
    <n v="4029"/>
    <x v="163"/>
    <d v="2025-09-10T00:00:00"/>
    <d v="2026-04-30T00:00:00"/>
    <x v="3"/>
    <x v="1"/>
    <s v="510200"/>
    <x v="13"/>
    <x v="1"/>
    <s v="LT"/>
    <n v="30"/>
    <s v="5610"/>
    <s v="SAFRA 25/26"/>
    <n v="3921"/>
    <n v="0"/>
    <n v="3921"/>
    <n v="117630"/>
    <m/>
    <s v="NOVA MUTUM"/>
    <s v="39687362000219"/>
    <n v="30"/>
    <n v="0"/>
  </r>
  <r>
    <d v="2025-09-11T09:22:29"/>
    <n v="4029"/>
    <x v="163"/>
    <d v="2025-09-10T00:00:00"/>
    <d v="2026-04-30T00:00:00"/>
    <x v="3"/>
    <x v="1"/>
    <s v="510200"/>
    <x v="14"/>
    <x v="1"/>
    <s v="KG"/>
    <n v="330"/>
    <s v="5610"/>
    <s v="SAFRA 25/26"/>
    <n v="700"/>
    <n v="0"/>
    <n v="700"/>
    <n v="231000"/>
    <m/>
    <s v="NOVA MUTUM"/>
    <s v="39687362000219"/>
    <n v="330"/>
    <n v="0"/>
  </r>
  <r>
    <d v="2025-09-11T09:22:29"/>
    <n v="4029"/>
    <x v="163"/>
    <d v="2025-09-10T00:00:00"/>
    <d v="2026-04-30T00:00:00"/>
    <x v="3"/>
    <x v="1"/>
    <s v="510200"/>
    <x v="48"/>
    <x v="1"/>
    <s v="LT"/>
    <n v="60"/>
    <s v="5610"/>
    <s v="SAFRA 25/26"/>
    <n v="640"/>
    <n v="0"/>
    <n v="640"/>
    <n v="38400"/>
    <m/>
    <s v="NOVA MUTUM"/>
    <s v="39687362000219"/>
    <n v="60"/>
    <n v="0"/>
  </r>
  <r>
    <d v="2025-09-11T09:22:29"/>
    <n v="4029"/>
    <x v="163"/>
    <d v="2025-09-10T00:00:00"/>
    <d v="2026-04-30T00:00:00"/>
    <x v="3"/>
    <x v="1"/>
    <s v="510200"/>
    <x v="9"/>
    <x v="1"/>
    <s v="LT"/>
    <n v="35"/>
    <s v="5610"/>
    <s v="SAFRA 25/26"/>
    <n v="1962"/>
    <n v="0"/>
    <n v="1962"/>
    <n v="68670"/>
    <m/>
    <s v="NOVA MUTUM"/>
    <s v="39687362000219"/>
    <n v="35"/>
    <n v="0"/>
  </r>
  <r>
    <d v="2025-09-15T16:33:16"/>
    <n v="4041"/>
    <x v="163"/>
    <d v="2025-09-15T00:00:00"/>
    <d v="2026-04-30T00:00:00"/>
    <x v="3"/>
    <x v="0"/>
    <s v="510200"/>
    <x v="7"/>
    <x v="0"/>
    <s v="LT"/>
    <n v="69"/>
    <s v="4421"/>
    <s v="SAFRA 25/26"/>
    <n v="5"/>
    <n v="0"/>
    <n v="5"/>
    <n v="345"/>
    <m/>
    <s v="NOVA MUTUM"/>
    <s v="39687362000219"/>
    <n v="69"/>
    <n v="0"/>
  </r>
  <r>
    <d v="2025-10-21T13:41:39"/>
    <n v="4191"/>
    <x v="163"/>
    <d v="2025-10-21T00:00:00"/>
    <d v="2026-04-30T00:00:00"/>
    <x v="3"/>
    <x v="1"/>
    <s v="510200"/>
    <x v="13"/>
    <x v="1"/>
    <s v="LT"/>
    <n v="30"/>
    <s v="5664"/>
    <s v="SAFRA 25/26"/>
    <n v="402"/>
    <n v="0"/>
    <n v="402"/>
    <n v="12060"/>
    <m/>
    <s v="NOVA MUTUM"/>
    <s v="39687362000219"/>
    <n v="30"/>
    <n v="0"/>
  </r>
  <r>
    <d v="2025-10-21T13:41:39"/>
    <n v="4191"/>
    <x v="163"/>
    <d v="2025-10-21T00:00:00"/>
    <d v="2026-04-30T00:00:00"/>
    <x v="3"/>
    <x v="1"/>
    <s v="510200"/>
    <x v="14"/>
    <x v="1"/>
    <s v="KG"/>
    <n v="330"/>
    <s v="5664"/>
    <s v="SAFRA 25/26"/>
    <n v="100"/>
    <n v="0"/>
    <n v="100"/>
    <n v="33000"/>
    <m/>
    <s v="NOVA MUTUM"/>
    <s v="39687362000219"/>
    <n v="330"/>
    <n v="0"/>
  </r>
  <r>
    <d v="2025-10-21T13:41:39"/>
    <n v="4191"/>
    <x v="163"/>
    <d v="2025-10-21T00:00:00"/>
    <d v="2026-04-30T00:00:00"/>
    <x v="3"/>
    <x v="1"/>
    <s v="510200"/>
    <x v="9"/>
    <x v="1"/>
    <s v="LT"/>
    <n v="35"/>
    <s v="5664"/>
    <s v="SAFRA 25/26"/>
    <n v="102"/>
    <n v="0"/>
    <n v="102"/>
    <n v="3570"/>
    <m/>
    <s v="NOVA MUTUM"/>
    <s v="39687362000219"/>
    <n v="35"/>
    <n v="0"/>
  </r>
  <r>
    <d v="2025-10-28T09:26:32"/>
    <n v="4215"/>
    <x v="163"/>
    <d v="2025-10-22T00:00:00"/>
    <d v="2026-08-30T00:00:00"/>
    <x v="3"/>
    <x v="0"/>
    <s v="510200"/>
    <x v="104"/>
    <x v="0"/>
    <s v="LT"/>
    <n v="240"/>
    <s v="5668"/>
    <s v="SAFRA 25/26"/>
    <n v="45"/>
    <n v="0"/>
    <n v="45"/>
    <n v="10800"/>
    <m/>
    <s v="NOVA MUTUM"/>
    <s v="39687362000219"/>
    <n v="240"/>
    <n v="0"/>
  </r>
  <r>
    <d v="2025-11-07T11:10:57"/>
    <n v="4244"/>
    <x v="163"/>
    <d v="2025-11-07T00:00:00"/>
    <d v="2026-04-30T00:00:00"/>
    <x v="3"/>
    <x v="0"/>
    <s v="510200"/>
    <x v="99"/>
    <x v="2"/>
    <s v="LT"/>
    <n v="21.66"/>
    <s v="5775"/>
    <s v="SAFRA 25/26"/>
    <n v="1320"/>
    <n v="0"/>
    <n v="1320"/>
    <n v="28591.200000000001"/>
    <m/>
    <s v="NOVA MUTUM"/>
    <s v="39687362000219"/>
    <n v="21.66"/>
    <n v="0"/>
  </r>
  <r>
    <d v="2025-11-07T11:10:57"/>
    <n v="4244"/>
    <x v="163"/>
    <d v="2025-11-07T00:00:00"/>
    <d v="2026-04-30T00:00:00"/>
    <x v="3"/>
    <x v="0"/>
    <s v="510200"/>
    <x v="105"/>
    <x v="2"/>
    <s v="LT"/>
    <n v="21.66"/>
    <s v="5775"/>
    <s v="SAFRA 25/26"/>
    <n v="684"/>
    <n v="0"/>
    <n v="684"/>
    <n v="14815.44"/>
    <m/>
    <s v="NOVA MUTUM"/>
    <s v="39687362000219"/>
    <n v="21.66"/>
    <n v="0"/>
  </r>
  <r>
    <d v="2025-11-25T17:26:36"/>
    <n v="4300"/>
    <x v="163"/>
    <d v="2025-11-18T00:00:00"/>
    <d v="2026-04-30T00:00:00"/>
    <x v="3"/>
    <x v="0"/>
    <s v="510200"/>
    <x v="112"/>
    <x v="2"/>
    <s v="LT"/>
    <n v="50"/>
    <s v="5827"/>
    <s v="SAFRA 25/26"/>
    <n v="288"/>
    <n v="0"/>
    <n v="288"/>
    <n v="14400"/>
    <m/>
    <s v="NOVA MUTUM"/>
    <s v="39687362000219"/>
    <n v="50"/>
    <n v="0"/>
  </r>
  <r>
    <d v="2025-11-21T15:08:12"/>
    <n v="4289"/>
    <x v="163"/>
    <d v="2025-11-21T00:00:00"/>
    <d v="2026-04-30T00:00:00"/>
    <x v="3"/>
    <x v="1"/>
    <s v="510200"/>
    <x v="9"/>
    <x v="1"/>
    <s v="LT"/>
    <n v="35"/>
    <s v="5592"/>
    <s v="SAFRA 25/26"/>
    <n v="48"/>
    <n v="0"/>
    <n v="48"/>
    <n v="1680"/>
    <m/>
    <s v="NOVA MUTUM"/>
    <s v="39687362000219"/>
    <n v="35"/>
    <n v="0"/>
  </r>
  <r>
    <d v="2026-01-09T14:34:12"/>
    <n v="4424"/>
    <x v="163"/>
    <d v="2026-01-09T00:00:00"/>
    <d v="2026-09-30T00:00:00"/>
    <x v="3"/>
    <x v="1"/>
    <s v="510200"/>
    <x v="9"/>
    <x v="1"/>
    <s v="LT"/>
    <n v="35"/>
    <s v="5982"/>
    <s v="SAFRINHA 2026"/>
    <n v="600"/>
    <n v="0"/>
    <n v="600"/>
    <n v="21000"/>
    <m/>
    <s v="NOVA MUTUM"/>
    <s v="39687362000219"/>
    <n v="35"/>
    <n v="0"/>
  </r>
  <r>
    <d v="2026-01-09T14:34:12"/>
    <n v="4424"/>
    <x v="163"/>
    <d v="2026-01-09T00:00:00"/>
    <d v="2026-09-30T00:00:00"/>
    <x v="3"/>
    <x v="1"/>
    <s v="510200"/>
    <x v="14"/>
    <x v="1"/>
    <s v="KG"/>
    <n v="330"/>
    <s v="5982"/>
    <s v="SAFRINHA 2026"/>
    <n v="240"/>
    <n v="0"/>
    <n v="240"/>
    <n v="79200"/>
    <m/>
    <s v="NOVA MUTUM"/>
    <s v="39687362000219"/>
    <n v="330"/>
    <n v="0"/>
  </r>
  <r>
    <d v="2026-02-07T11:02:14"/>
    <n v="4547"/>
    <x v="163"/>
    <d v="2026-02-07T00:00:00"/>
    <d v="2026-09-30T00:00:00"/>
    <x v="3"/>
    <x v="1"/>
    <s v="510200"/>
    <x v="9"/>
    <x v="1"/>
    <s v="LT"/>
    <n v="35"/>
    <s v="6058"/>
    <s v="SAFRINHA 2026"/>
    <n v="402"/>
    <n v="0"/>
    <n v="402"/>
    <n v="14070"/>
    <m/>
    <s v="NOVA MUTUM"/>
    <s v="39687362000219"/>
    <n v="35"/>
    <n v="0"/>
  </r>
  <r>
    <d v="2026-02-07T11:02:14"/>
    <n v="4547"/>
    <x v="163"/>
    <d v="2026-02-07T00:00:00"/>
    <d v="2026-09-30T00:00:00"/>
    <x v="3"/>
    <x v="1"/>
    <s v="510200"/>
    <x v="14"/>
    <x v="1"/>
    <s v="KG"/>
    <n v="330"/>
    <s v="6058"/>
    <s v="SAFRINHA 2026"/>
    <n v="120"/>
    <n v="0"/>
    <n v="120"/>
    <n v="39600"/>
    <m/>
    <s v="NOVA MUTUM"/>
    <s v="39687362000219"/>
    <n v="330"/>
    <n v="0"/>
  </r>
  <r>
    <d v="2025-09-11T09:13:47"/>
    <n v="4027"/>
    <x v="164"/>
    <d v="2025-09-10T00:00:00"/>
    <d v="2026-04-30T00:00:00"/>
    <x v="3"/>
    <x v="1"/>
    <s v="510200"/>
    <x v="13"/>
    <x v="1"/>
    <s v="LT"/>
    <n v="30"/>
    <s v="5609"/>
    <s v="SAFRA 25/26"/>
    <n v="2880"/>
    <n v="0"/>
    <n v="2880"/>
    <n v="86400"/>
    <m/>
    <s v="LUCAS DO RIO VERDE"/>
    <s v="89971568000244"/>
    <n v="30"/>
    <n v="0"/>
  </r>
  <r>
    <d v="2025-09-11T09:13:47"/>
    <n v="4027"/>
    <x v="164"/>
    <d v="2025-09-10T00:00:00"/>
    <d v="2026-04-30T00:00:00"/>
    <x v="3"/>
    <x v="1"/>
    <s v="510200"/>
    <x v="18"/>
    <x v="1"/>
    <s v="KG"/>
    <n v="165"/>
    <s v="5609"/>
    <s v="SAFRA 25/26"/>
    <n v="1000"/>
    <n v="0"/>
    <n v="1000"/>
    <n v="165000"/>
    <m/>
    <s v="LUCAS DO RIO VERDE"/>
    <s v="89971568000244"/>
    <n v="165"/>
    <n v="0"/>
  </r>
  <r>
    <d v="2025-09-11T09:13:47"/>
    <n v="4027"/>
    <x v="164"/>
    <d v="2025-09-10T00:00:00"/>
    <d v="2026-04-30T00:00:00"/>
    <x v="3"/>
    <x v="1"/>
    <s v="510200"/>
    <x v="48"/>
    <x v="1"/>
    <s v="LT"/>
    <n v="60"/>
    <s v="5609"/>
    <s v="SAFRA 25/26"/>
    <n v="500"/>
    <n v="0"/>
    <n v="500"/>
    <n v="30000"/>
    <m/>
    <s v="LUCAS DO RIO VERDE"/>
    <s v="89971568000244"/>
    <n v="60"/>
    <n v="0"/>
  </r>
  <r>
    <d v="2025-09-11T09:13:47"/>
    <n v="4027"/>
    <x v="164"/>
    <d v="2025-09-10T00:00:00"/>
    <d v="2026-04-30T00:00:00"/>
    <x v="3"/>
    <x v="1"/>
    <s v="510200"/>
    <x v="9"/>
    <x v="1"/>
    <s v="LT"/>
    <n v="35"/>
    <s v="5609"/>
    <s v="SAFRA 25/26"/>
    <n v="1401"/>
    <n v="0"/>
    <n v="1401"/>
    <n v="49035"/>
    <m/>
    <s v="LUCAS DO RIO VERDE"/>
    <s v="89971568000244"/>
    <n v="35"/>
    <n v="0"/>
  </r>
  <r>
    <d v="2025-10-22T11:01:43"/>
    <n v="4197"/>
    <x v="164"/>
    <d v="2025-10-22T00:00:00"/>
    <d v="2026-04-30T00:00:00"/>
    <x v="3"/>
    <x v="1"/>
    <s v="510200"/>
    <x v="13"/>
    <x v="1"/>
    <s v="LT"/>
    <n v="30"/>
    <s v="5754"/>
    <s v="SAFRA 25/26"/>
    <n v="1500"/>
    <n v="0"/>
    <n v="1500"/>
    <n v="45000"/>
    <m/>
    <s v="LUCAS DO RIO VERDE"/>
    <s v="89971568000244"/>
    <n v="30"/>
    <n v="0"/>
  </r>
  <r>
    <d v="2025-10-22T11:01:43"/>
    <n v="4197"/>
    <x v="164"/>
    <d v="2025-10-22T00:00:00"/>
    <d v="2026-04-30T00:00:00"/>
    <x v="3"/>
    <x v="1"/>
    <s v="510200"/>
    <x v="18"/>
    <x v="1"/>
    <s v="KG"/>
    <n v="165"/>
    <s v="5754"/>
    <s v="SAFRA 25/26"/>
    <n v="150"/>
    <n v="0"/>
    <n v="150"/>
    <n v="24750"/>
    <m/>
    <s v="LUCAS DO RIO VERDE"/>
    <s v="89971568000244"/>
    <n v="165"/>
    <n v="0"/>
  </r>
  <r>
    <d v="2025-10-28T07:26:17"/>
    <n v="4214"/>
    <x v="164"/>
    <d v="2025-10-22T00:00:00"/>
    <d v="2026-08-30T00:00:00"/>
    <x v="3"/>
    <x v="0"/>
    <s v="510200"/>
    <x v="104"/>
    <x v="0"/>
    <s v="LT"/>
    <n v="240"/>
    <s v="5667"/>
    <s v="SAFRA 25/26"/>
    <n v="45"/>
    <n v="0"/>
    <n v="45"/>
    <n v="10800"/>
    <m/>
    <s v="LUCAS DO RIO VERDE"/>
    <s v="89971568000244"/>
    <n v="240"/>
    <n v="0"/>
  </r>
  <r>
    <d v="2025-11-07T11:08:04"/>
    <n v="4243"/>
    <x v="164"/>
    <d v="2025-11-07T00:00:00"/>
    <d v="2026-04-30T00:00:00"/>
    <x v="3"/>
    <x v="0"/>
    <s v="510200"/>
    <x v="105"/>
    <x v="2"/>
    <s v="LT"/>
    <n v="21.66"/>
    <s v="5774"/>
    <s v="SAFRA 25/26"/>
    <n v="1980"/>
    <n v="0"/>
    <n v="1980"/>
    <n v="42886.8"/>
    <m/>
    <s v="LUCAS DO RIO VERDE"/>
    <s v="89971568000244"/>
    <n v="21.66"/>
    <n v="0"/>
  </r>
  <r>
    <d v="2025-11-07T11:08:04"/>
    <n v="4243"/>
    <x v="164"/>
    <d v="2025-11-07T00:00:00"/>
    <d v="2026-04-30T00:00:00"/>
    <x v="3"/>
    <x v="0"/>
    <s v="510200"/>
    <x v="36"/>
    <x v="2"/>
    <s v="LT"/>
    <n v="21.66"/>
    <s v="5774"/>
    <s v="SAFRA 25/26"/>
    <n v="24"/>
    <n v="0"/>
    <n v="24"/>
    <n v="519.84"/>
    <m/>
    <s v="LUCAS DO RIO VERDE"/>
    <s v="89971568000244"/>
    <n v="21.66"/>
    <n v="0"/>
  </r>
  <r>
    <d v="2025-11-21T15:06:34"/>
    <n v="4288"/>
    <x v="164"/>
    <d v="2025-11-21T00:00:00"/>
    <d v="2026-04-30T00:00:00"/>
    <x v="3"/>
    <x v="1"/>
    <s v="510200"/>
    <x v="9"/>
    <x v="1"/>
    <s v="LT"/>
    <n v="35"/>
    <s v="5591"/>
    <s v="SAFRA 25/26"/>
    <n v="48"/>
    <n v="0"/>
    <n v="48"/>
    <n v="1680"/>
    <m/>
    <s v="LUCAS DO RIO VERDE"/>
    <s v="89971568000244"/>
    <n v="35"/>
    <n v="0"/>
  </r>
  <r>
    <d v="2026-02-06T11:12:55"/>
    <n v="4538"/>
    <x v="164"/>
    <d v="2026-02-06T00:00:00"/>
    <d v="2026-09-30T00:00:00"/>
    <x v="8"/>
    <x v="1"/>
    <s v="510200"/>
    <x v="9"/>
    <x v="1"/>
    <s v="LT"/>
    <n v="35"/>
    <s v="6057"/>
    <s v="SAFRINHA 2026"/>
    <n v="201"/>
    <n v="0"/>
    <n v="201"/>
    <n v="7035"/>
    <m/>
    <s v="LUCAS DO RIO VERDE"/>
    <s v="89971568000244"/>
    <n v="35"/>
    <n v="0"/>
  </r>
  <r>
    <d v="2026-02-06T11:12:55"/>
    <n v="4538"/>
    <x v="164"/>
    <d v="2026-02-06T00:00:00"/>
    <d v="2026-09-30T00:00:00"/>
    <x v="8"/>
    <x v="1"/>
    <s v="510200"/>
    <x v="14"/>
    <x v="1"/>
    <s v="KG"/>
    <n v="330"/>
    <s v="6057"/>
    <s v="SAFRINHA 2026"/>
    <n v="80"/>
    <n v="0"/>
    <n v="80"/>
    <n v="26400"/>
    <m/>
    <s v="LUCAS DO RIO VERDE"/>
    <s v="89971568000244"/>
    <n v="330"/>
    <n v="0"/>
  </r>
  <r>
    <d v="2026-02-19T14:49:36"/>
    <n v="4587"/>
    <x v="164"/>
    <d v="2026-02-19T00:00:00"/>
    <d v="2026-09-30T00:00:00"/>
    <x v="8"/>
    <x v="1"/>
    <s v="510200"/>
    <x v="14"/>
    <x v="1"/>
    <s v="KG"/>
    <n v="330"/>
    <s v="387"/>
    <s v="SAFRINHA 2026"/>
    <n v="20"/>
    <n v="0"/>
    <n v="20"/>
    <n v="6600"/>
    <m/>
    <s v="LUCAS DO RIO VERDE"/>
    <s v="89971568000244"/>
    <n v="330"/>
    <n v="0"/>
  </r>
  <r>
    <d v="2026-02-19T14:49:36"/>
    <n v="4587"/>
    <x v="164"/>
    <d v="2026-02-19T00:00:00"/>
    <d v="2026-09-30T00:00:00"/>
    <x v="8"/>
    <x v="1"/>
    <s v="510200"/>
    <x v="9"/>
    <x v="1"/>
    <s v="LT"/>
    <n v="35"/>
    <s v="387"/>
    <s v="SAFRINHA 2026"/>
    <n v="18"/>
    <n v="0"/>
    <n v="18"/>
    <n v="630"/>
    <m/>
    <s v="LUCAS DO RIO VERDE"/>
    <s v="89971568000244"/>
    <n v="35"/>
    <n v="0"/>
  </r>
  <r>
    <d v="2025-05-19T09:32:42"/>
    <n v="3849"/>
    <x v="165"/>
    <d v="2025-05-01T00:00:00"/>
    <d v="2026-03-30T00:00:00"/>
    <x v="0"/>
    <x v="0"/>
    <s v="510200"/>
    <x v="8"/>
    <x v="0"/>
    <s v="KG"/>
    <n v="90"/>
    <s v="4821"/>
    <s v="SAFRA 25/26"/>
    <n v="201"/>
    <n v="0"/>
    <n v="201"/>
    <n v="18090"/>
    <m/>
    <s v="NOVA UBIRATA"/>
    <s v="81451610106"/>
    <n v="90"/>
    <n v="0"/>
  </r>
  <r>
    <d v="2025-05-19T09:32:42"/>
    <n v="3849"/>
    <x v="165"/>
    <d v="2025-05-01T00:00:00"/>
    <d v="2026-03-30T00:00:00"/>
    <x v="0"/>
    <x v="0"/>
    <s v="510200"/>
    <x v="1"/>
    <x v="0"/>
    <s v="LT"/>
    <n v="170"/>
    <s v="4821"/>
    <s v="SAFRA 25/26"/>
    <n v="400"/>
    <n v="0"/>
    <n v="400"/>
    <n v="68000"/>
    <m/>
    <s v="NOVA UBIRATA"/>
    <s v="81451610106"/>
    <n v="170"/>
    <n v="0"/>
  </r>
  <r>
    <d v="2025-05-19T09:32:42"/>
    <n v="3849"/>
    <x v="165"/>
    <d v="2025-05-01T00:00:00"/>
    <d v="2026-03-30T00:00:00"/>
    <x v="0"/>
    <x v="0"/>
    <s v="510200"/>
    <x v="2"/>
    <x v="0"/>
    <s v="KG"/>
    <n v="25"/>
    <s v="4821"/>
    <s v="SAFRA 25/26"/>
    <n v="4000"/>
    <n v="0"/>
    <n v="4000"/>
    <n v="100000"/>
    <m/>
    <s v="NOVA UBIRATA"/>
    <s v="81451610106"/>
    <n v="25"/>
    <n v="0"/>
  </r>
  <r>
    <d v="2025-05-19T09:32:42"/>
    <n v="3849"/>
    <x v="165"/>
    <d v="2025-05-01T00:00:00"/>
    <d v="2026-03-30T00:00:00"/>
    <x v="0"/>
    <x v="0"/>
    <s v="510200"/>
    <x v="0"/>
    <x v="0"/>
    <s v="LT"/>
    <n v="18"/>
    <s v="4821"/>
    <s v="SAFRA 25/26"/>
    <n v="2000"/>
    <n v="0"/>
    <n v="2000"/>
    <n v="36000"/>
    <m/>
    <s v="NOVA UBIRATA"/>
    <s v="81451610106"/>
    <n v="18"/>
    <n v="0"/>
  </r>
  <r>
    <d v="2025-05-19T09:32:42"/>
    <n v="3849"/>
    <x v="165"/>
    <d v="2025-05-01T00:00:00"/>
    <d v="2026-03-30T00:00:00"/>
    <x v="0"/>
    <x v="0"/>
    <s v="510200"/>
    <x v="3"/>
    <x v="0"/>
    <s v="LT"/>
    <n v="25"/>
    <s v="4821"/>
    <s v="SAFRA 25/26"/>
    <n v="2000"/>
    <n v="0"/>
    <n v="2000"/>
    <n v="50000"/>
    <m/>
    <s v="NOVA UBIRATA"/>
    <s v="81451610106"/>
    <n v="25"/>
    <n v="0"/>
  </r>
  <r>
    <d v="2025-05-19T09:32:42"/>
    <n v="3849"/>
    <x v="165"/>
    <d v="2025-05-01T00:00:00"/>
    <d v="2026-03-30T00:00:00"/>
    <x v="0"/>
    <x v="0"/>
    <s v="510200"/>
    <x v="5"/>
    <x v="0"/>
    <s v="KG"/>
    <n v="27"/>
    <s v="4821"/>
    <s v="SAFRA 25/26"/>
    <n v="2000"/>
    <n v="0"/>
    <n v="2000"/>
    <n v="54000"/>
    <m/>
    <s v="NOVA UBIRATA"/>
    <s v="81451610106"/>
    <n v="27"/>
    <n v="0"/>
  </r>
  <r>
    <d v="2025-05-19T09:32:42"/>
    <n v="3849"/>
    <x v="165"/>
    <d v="2025-05-01T00:00:00"/>
    <d v="2026-03-30T00:00:00"/>
    <x v="0"/>
    <x v="0"/>
    <s v="510200"/>
    <x v="41"/>
    <x v="0"/>
    <s v="LT"/>
    <n v="82"/>
    <s v="4821"/>
    <s v="SAFRA 25/26"/>
    <n v="600"/>
    <n v="0"/>
    <n v="600"/>
    <n v="49200"/>
    <m/>
    <s v="NOVA UBIRATA"/>
    <s v="81451610106"/>
    <n v="82"/>
    <n v="0"/>
  </r>
  <r>
    <d v="2025-05-19T09:32:42"/>
    <n v="3849"/>
    <x v="165"/>
    <d v="2025-05-01T00:00:00"/>
    <d v="2026-03-30T00:00:00"/>
    <x v="0"/>
    <x v="0"/>
    <s v="510200"/>
    <x v="6"/>
    <x v="0"/>
    <s v="LT"/>
    <n v="73"/>
    <s v="4821"/>
    <s v="SAFRA 25/26"/>
    <n v="500"/>
    <n v="0"/>
    <n v="500"/>
    <n v="36500"/>
    <m/>
    <s v="NOVA UBIRATA"/>
    <s v="81451610106"/>
    <n v="73"/>
    <n v="0"/>
  </r>
  <r>
    <d v="2025-05-19T09:32:42"/>
    <n v="3849"/>
    <x v="165"/>
    <d v="2025-05-01T00:00:00"/>
    <d v="2026-03-30T00:00:00"/>
    <x v="0"/>
    <x v="0"/>
    <s v="510200"/>
    <x v="7"/>
    <x v="0"/>
    <s v="LT"/>
    <n v="73"/>
    <s v="4821"/>
    <s v="SAFRA 25/26"/>
    <n v="300"/>
    <n v="0"/>
    <n v="300"/>
    <n v="21900"/>
    <m/>
    <s v="NOVA UBIRATA"/>
    <s v="81451610106"/>
    <n v="73"/>
    <n v="0"/>
  </r>
  <r>
    <d v="2025-05-19T09:32:42"/>
    <n v="3849"/>
    <x v="165"/>
    <d v="2025-05-01T00:00:00"/>
    <d v="2026-03-30T00:00:00"/>
    <x v="0"/>
    <x v="0"/>
    <s v="510200"/>
    <x v="4"/>
    <x v="0"/>
    <s v="KG"/>
    <n v="28"/>
    <s v="4821"/>
    <s v="SAFRA 25/26"/>
    <n v="3000"/>
    <n v="0"/>
    <n v="3000"/>
    <n v="84000"/>
    <m/>
    <s v="NOVA UBIRATA"/>
    <s v="81451610106"/>
    <n v="28"/>
    <n v="0"/>
  </r>
  <r>
    <d v="2025-05-19T10:16:42"/>
    <n v="3850"/>
    <x v="165"/>
    <d v="2025-05-01T00:00:00"/>
    <d v="2026-08-30T00:00:00"/>
    <x v="0"/>
    <x v="0"/>
    <s v="510200"/>
    <x v="3"/>
    <x v="0"/>
    <s v="LT"/>
    <n v="26"/>
    <s v="4822"/>
    <s v="SAFRINHA 2026"/>
    <n v="2000"/>
    <n v="0"/>
    <n v="2000"/>
    <n v="52000"/>
    <m/>
    <s v="NOVA UBIRATA"/>
    <s v="81451610106"/>
    <n v="26"/>
    <n v="0"/>
  </r>
  <r>
    <d v="2025-05-19T10:16:42"/>
    <n v="3850"/>
    <x v="165"/>
    <d v="2025-05-01T00:00:00"/>
    <d v="2026-08-30T00:00:00"/>
    <x v="0"/>
    <x v="0"/>
    <s v="510200"/>
    <x v="2"/>
    <x v="0"/>
    <s v="KG"/>
    <n v="25"/>
    <s v="4822"/>
    <s v="SAFRINHA 2026"/>
    <n v="4000"/>
    <n v="0"/>
    <n v="4000"/>
    <n v="100000"/>
    <m/>
    <s v="NOVA UBIRATA"/>
    <s v="81451610106"/>
    <n v="25"/>
    <n v="0"/>
  </r>
  <r>
    <d v="2025-05-19T10:16:42"/>
    <n v="3850"/>
    <x v="165"/>
    <d v="2025-05-01T00:00:00"/>
    <d v="2026-08-30T00:00:00"/>
    <x v="0"/>
    <x v="0"/>
    <s v="510200"/>
    <x v="4"/>
    <x v="0"/>
    <s v="KG"/>
    <n v="28"/>
    <s v="4822"/>
    <s v="SAFRINHA 2026"/>
    <n v="3000"/>
    <n v="0"/>
    <n v="3000"/>
    <n v="84000"/>
    <m/>
    <s v="NOVA UBIRATA"/>
    <s v="81451610106"/>
    <n v="28"/>
    <n v="0"/>
  </r>
  <r>
    <d v="2025-05-19T10:16:42"/>
    <n v="3850"/>
    <x v="165"/>
    <d v="2025-05-01T00:00:00"/>
    <d v="2026-08-30T00:00:00"/>
    <x v="0"/>
    <x v="0"/>
    <s v="510200"/>
    <x v="1"/>
    <x v="0"/>
    <s v="LT"/>
    <n v="170"/>
    <s v="4822"/>
    <s v="SAFRINHA 2026"/>
    <n v="200"/>
    <n v="0"/>
    <n v="200"/>
    <n v="34000"/>
    <m/>
    <s v="NOVA UBIRATA"/>
    <s v="81451610106"/>
    <n v="170"/>
    <n v="0"/>
  </r>
  <r>
    <d v="2025-05-19T10:16:42"/>
    <n v="3850"/>
    <x v="165"/>
    <d v="2025-05-01T00:00:00"/>
    <d v="2026-08-30T00:00:00"/>
    <x v="0"/>
    <x v="1"/>
    <s v="510200"/>
    <x v="9"/>
    <x v="1"/>
    <s v="LT"/>
    <n v="52"/>
    <s v="4822"/>
    <s v="SAFRINHA 2026"/>
    <n v="201"/>
    <n v="0"/>
    <n v="201"/>
    <n v="10452"/>
    <m/>
    <s v="NOVA UBIRATA"/>
    <s v="81451610106"/>
    <n v="52"/>
    <n v="0"/>
  </r>
  <r>
    <d v="2025-05-19T10:16:42"/>
    <n v="3850"/>
    <x v="165"/>
    <d v="2025-05-01T00:00:00"/>
    <d v="2026-08-30T00:00:00"/>
    <x v="0"/>
    <x v="1"/>
    <s v="510200"/>
    <x v="11"/>
    <x v="1"/>
    <s v="LT"/>
    <n v="350"/>
    <s v="4822"/>
    <s v="SAFRINHA 2026"/>
    <n v="40"/>
    <n v="0"/>
    <n v="40"/>
    <n v="14000"/>
    <m/>
    <s v="NOVA UBIRATA"/>
    <s v="81451610106"/>
    <n v="350"/>
    <n v="0"/>
  </r>
  <r>
    <d v="2025-05-19T10:16:42"/>
    <n v="3850"/>
    <x v="165"/>
    <d v="2025-05-01T00:00:00"/>
    <d v="2026-08-30T00:00:00"/>
    <x v="0"/>
    <x v="0"/>
    <s v="510200"/>
    <x v="7"/>
    <x v="0"/>
    <s v="LT"/>
    <n v="73"/>
    <s v="4822"/>
    <s v="SAFRINHA 2026"/>
    <n v="200"/>
    <n v="0"/>
    <n v="200"/>
    <n v="14600"/>
    <m/>
    <s v="NOVA UBIRATA"/>
    <s v="81451610106"/>
    <n v="73"/>
    <n v="0"/>
  </r>
  <r>
    <d v="2025-05-19T10:16:42"/>
    <n v="3850"/>
    <x v="165"/>
    <d v="2025-05-01T00:00:00"/>
    <d v="2026-08-30T00:00:00"/>
    <x v="0"/>
    <x v="0"/>
    <s v="510200"/>
    <x v="6"/>
    <x v="0"/>
    <s v="LT"/>
    <n v="73"/>
    <s v="4822"/>
    <s v="SAFRINHA 2026"/>
    <n v="400"/>
    <n v="0"/>
    <n v="400"/>
    <n v="29200"/>
    <m/>
    <s v="NOVA UBIRATA"/>
    <s v="81451610106"/>
    <n v="73"/>
    <n v="0"/>
  </r>
  <r>
    <d v="2025-05-19T10:16:42"/>
    <n v="3850"/>
    <x v="165"/>
    <d v="2025-05-01T00:00:00"/>
    <d v="2026-08-30T00:00:00"/>
    <x v="0"/>
    <x v="0"/>
    <s v="510200"/>
    <x v="12"/>
    <x v="0"/>
    <s v="LT"/>
    <n v="245"/>
    <s v="4822"/>
    <s v="SAFRINHA 2026"/>
    <n v="200"/>
    <n v="0"/>
    <n v="200"/>
    <n v="49000"/>
    <m/>
    <s v="NOVA UBIRATA"/>
    <s v="81451610106"/>
    <n v="245"/>
    <n v="0"/>
  </r>
  <r>
    <d v="2025-05-19T10:16:42"/>
    <n v="3850"/>
    <x v="165"/>
    <d v="2025-05-01T00:00:00"/>
    <d v="2026-08-30T00:00:00"/>
    <x v="0"/>
    <x v="1"/>
    <s v="510200"/>
    <x v="14"/>
    <x v="1"/>
    <s v="KG"/>
    <n v="400"/>
    <s v="4822"/>
    <s v="SAFRINHA 2026"/>
    <n v="80"/>
    <n v="0"/>
    <n v="80"/>
    <n v="32000"/>
    <m/>
    <s v="NOVA UBIRATA"/>
    <s v="81451610106"/>
    <n v="400"/>
    <n v="0"/>
  </r>
  <r>
    <d v="2025-05-19T10:16:42"/>
    <n v="3850"/>
    <x v="165"/>
    <d v="2025-05-01T00:00:00"/>
    <d v="2026-08-30T00:00:00"/>
    <x v="0"/>
    <x v="1"/>
    <s v="510200"/>
    <x v="10"/>
    <x v="1"/>
    <s v="LT"/>
    <n v="350"/>
    <s v="4822"/>
    <s v="SAFRINHA 2026"/>
    <n v="40"/>
    <n v="0"/>
    <n v="40"/>
    <n v="14000"/>
    <m/>
    <s v="NOVA UBIRATA"/>
    <s v="81451610106"/>
    <n v="350"/>
    <n v="0"/>
  </r>
  <r>
    <d v="2025-05-19T10:16:42"/>
    <n v="3850"/>
    <x v="165"/>
    <d v="2025-05-01T00:00:00"/>
    <d v="2026-08-30T00:00:00"/>
    <x v="0"/>
    <x v="0"/>
    <s v="510200"/>
    <x v="0"/>
    <x v="0"/>
    <s v="LT"/>
    <n v="18"/>
    <s v="4822"/>
    <s v="SAFRINHA 2026"/>
    <n v="2000"/>
    <n v="0"/>
    <n v="2000"/>
    <n v="36000"/>
    <m/>
    <s v="NOVA UBIRATA"/>
    <s v="81451610106"/>
    <n v="18"/>
    <n v="0"/>
  </r>
  <r>
    <d v="2025-05-15T15:38:54"/>
    <n v="3845"/>
    <x v="165"/>
    <d v="2025-05-15T00:00:00"/>
    <d v="2026-03-30T00:00:00"/>
    <x v="0"/>
    <x v="1"/>
    <s v="510200"/>
    <x v="9"/>
    <x v="1"/>
    <s v="LT"/>
    <n v="52"/>
    <s v="4820"/>
    <s v="SAFRA 25/26"/>
    <n v="201"/>
    <n v="0"/>
    <n v="201"/>
    <n v="10452"/>
    <m/>
    <s v="NOVA UBIRATA"/>
    <s v="81451610106"/>
    <n v="52"/>
    <n v="0"/>
  </r>
  <r>
    <d v="2025-05-15T15:38:54"/>
    <n v="3845"/>
    <x v="165"/>
    <d v="2025-05-15T00:00:00"/>
    <d v="2026-03-30T00:00:00"/>
    <x v="0"/>
    <x v="1"/>
    <s v="510200"/>
    <x v="11"/>
    <x v="1"/>
    <s v="LT"/>
    <n v="350"/>
    <s v="4820"/>
    <s v="SAFRA 25/26"/>
    <n v="100"/>
    <n v="0"/>
    <n v="100"/>
    <n v="35000"/>
    <m/>
    <s v="NOVA UBIRATA"/>
    <s v="81451610106"/>
    <n v="350"/>
    <n v="0"/>
  </r>
  <r>
    <d v="2025-05-15T15:38:54"/>
    <n v="3845"/>
    <x v="165"/>
    <d v="2025-05-15T00:00:00"/>
    <d v="2026-03-30T00:00:00"/>
    <x v="0"/>
    <x v="1"/>
    <s v="510200"/>
    <x v="13"/>
    <x v="1"/>
    <s v="LT"/>
    <n v="48"/>
    <s v="4820"/>
    <s v="SAFRA 25/26"/>
    <n v="201"/>
    <n v="0"/>
    <n v="201"/>
    <n v="9648"/>
    <m/>
    <s v="NOVA UBIRATA"/>
    <s v="81451610106"/>
    <n v="48"/>
    <n v="0"/>
  </r>
  <r>
    <d v="2025-05-15T15:38:54"/>
    <n v="3845"/>
    <x v="165"/>
    <d v="2025-05-15T00:00:00"/>
    <d v="2026-03-30T00:00:00"/>
    <x v="0"/>
    <x v="1"/>
    <s v="510200"/>
    <x v="10"/>
    <x v="1"/>
    <s v="LT"/>
    <n v="350"/>
    <s v="4820"/>
    <s v="SAFRA 25/26"/>
    <n v="100"/>
    <n v="0"/>
    <n v="100"/>
    <n v="35000"/>
    <m/>
    <s v="NOVA UBIRATA"/>
    <s v="81451610106"/>
    <n v="350"/>
    <n v="0"/>
  </r>
  <r>
    <d v="2025-05-15T15:38:54"/>
    <n v="3845"/>
    <x v="165"/>
    <d v="2025-05-15T00:00:00"/>
    <d v="2026-03-30T00:00:00"/>
    <x v="0"/>
    <x v="0"/>
    <s v="510200"/>
    <x v="12"/>
    <x v="0"/>
    <s v="LT"/>
    <n v="245"/>
    <s v="4820"/>
    <s v="SAFRA 25/26"/>
    <n v="200"/>
    <n v="0"/>
    <n v="200"/>
    <n v="49000"/>
    <m/>
    <s v="NOVA UBIRATA"/>
    <s v="81451610106"/>
    <n v="245"/>
    <n v="0"/>
  </r>
  <r>
    <d v="2025-05-15T15:38:54"/>
    <n v="3845"/>
    <x v="165"/>
    <d v="2025-05-15T00:00:00"/>
    <d v="2026-03-30T00:00:00"/>
    <x v="0"/>
    <x v="1"/>
    <s v="510200"/>
    <x v="14"/>
    <x v="1"/>
    <s v="KG"/>
    <n v="400"/>
    <s v="4820"/>
    <s v="SAFRA 25/26"/>
    <n v="100"/>
    <n v="0"/>
    <n v="100"/>
    <n v="40000"/>
    <m/>
    <s v="NOVA UBIRATA"/>
    <s v="81451610106"/>
    <n v="400"/>
    <n v="0"/>
  </r>
  <r>
    <d v="2025-09-10T10:16:35"/>
    <n v="4022"/>
    <x v="165"/>
    <d v="2025-09-09T00:00:00"/>
    <d v="2026-03-30T00:00:00"/>
    <x v="0"/>
    <x v="1"/>
    <s v="510200"/>
    <x v="11"/>
    <x v="1"/>
    <s v="LT"/>
    <n v="350"/>
    <s v="5605"/>
    <s v="SAFRA 25/26"/>
    <n v="50"/>
    <n v="0"/>
    <n v="50"/>
    <n v="17500"/>
    <m/>
    <s v="NOVA UBIRATA"/>
    <s v="81451610106"/>
    <n v="350"/>
    <n v="0"/>
  </r>
  <r>
    <d v="2025-09-10T10:16:35"/>
    <n v="4022"/>
    <x v="165"/>
    <d v="2025-09-09T00:00:00"/>
    <d v="2026-03-30T00:00:00"/>
    <x v="0"/>
    <x v="1"/>
    <s v="510200"/>
    <x v="10"/>
    <x v="1"/>
    <s v="LT"/>
    <n v="350"/>
    <s v="5605"/>
    <s v="SAFRA 25/26"/>
    <n v="50"/>
    <n v="0"/>
    <n v="50"/>
    <n v="17500"/>
    <m/>
    <s v="NOVA UBIRATA"/>
    <s v="81451610106"/>
    <n v="350"/>
    <n v="0"/>
  </r>
  <r>
    <d v="2025-09-10T10:16:35"/>
    <n v="4022"/>
    <x v="165"/>
    <d v="2025-09-09T00:00:00"/>
    <d v="2026-03-30T00:00:00"/>
    <x v="0"/>
    <x v="1"/>
    <s v="510200"/>
    <x v="13"/>
    <x v="1"/>
    <s v="LT"/>
    <n v="48"/>
    <s v="5605"/>
    <s v="SAFRA 25/26"/>
    <n v="801"/>
    <n v="0"/>
    <n v="801"/>
    <n v="38448"/>
    <m/>
    <s v="NOVA UBIRATA"/>
    <s v="81451610106"/>
    <n v="48"/>
    <n v="0"/>
  </r>
  <r>
    <d v="2025-09-10T10:16:35"/>
    <n v="4022"/>
    <x v="165"/>
    <d v="2025-09-09T00:00:00"/>
    <d v="2026-03-30T00:00:00"/>
    <x v="0"/>
    <x v="1"/>
    <s v="510200"/>
    <x v="14"/>
    <x v="1"/>
    <s v="KG"/>
    <n v="400"/>
    <s v="5605"/>
    <s v="SAFRA 25/26"/>
    <n v="50"/>
    <n v="0"/>
    <n v="50"/>
    <n v="20000"/>
    <m/>
    <s v="NOVA UBIRATA"/>
    <s v="81451610106"/>
    <n v="400"/>
    <n v="0"/>
  </r>
  <r>
    <d v="2025-11-12T07:37:01"/>
    <n v="4260"/>
    <x v="165"/>
    <d v="2025-11-12T00:00:00"/>
    <d v="2026-03-30T00:00:00"/>
    <x v="0"/>
    <x v="0"/>
    <s v="510200"/>
    <x v="7"/>
    <x v="0"/>
    <s v="LT"/>
    <n v="73"/>
    <s v="5809"/>
    <s v="SAFRA 25/26"/>
    <n v="120"/>
    <n v="0"/>
    <n v="120"/>
    <n v="8760"/>
    <m/>
    <s v="NOVA UBIRATA"/>
    <s v="81451610106"/>
    <n v="73"/>
    <n v="0"/>
  </r>
  <r>
    <d v="2025-12-15T10:27:13"/>
    <n v="4354"/>
    <x v="165"/>
    <d v="2025-12-15T00:00:00"/>
    <d v="2026-08-30T00:00:00"/>
    <x v="0"/>
    <x v="1"/>
    <s v="510200"/>
    <x v="10"/>
    <x v="1"/>
    <s v="LT"/>
    <n v="350"/>
    <s v="5849"/>
    <s v="SAFRINHA 2026"/>
    <n v="110"/>
    <n v="0"/>
    <n v="110"/>
    <n v="38500"/>
    <m/>
    <s v="NOVA UBIRATA"/>
    <s v="81451610106"/>
    <n v="350"/>
    <n v="0"/>
  </r>
  <r>
    <d v="2025-12-15T10:27:13"/>
    <n v="4354"/>
    <x v="165"/>
    <d v="2025-12-15T00:00:00"/>
    <d v="2026-08-30T00:00:00"/>
    <x v="0"/>
    <x v="1"/>
    <s v="510200"/>
    <x v="14"/>
    <x v="1"/>
    <s v="KG"/>
    <n v="400"/>
    <s v="5849"/>
    <s v="SAFRINHA 2026"/>
    <n v="70"/>
    <n v="0"/>
    <n v="70"/>
    <n v="28000"/>
    <m/>
    <s v="NOVA UBIRATA"/>
    <s v="81451610106"/>
    <n v="400"/>
    <n v="0"/>
  </r>
  <r>
    <d v="2025-12-15T10:27:13"/>
    <n v="4354"/>
    <x v="165"/>
    <d v="2025-12-15T00:00:00"/>
    <d v="2026-08-30T00:00:00"/>
    <x v="0"/>
    <x v="1"/>
    <s v="510200"/>
    <x v="9"/>
    <x v="1"/>
    <s v="LT"/>
    <n v="52"/>
    <s v="5849"/>
    <s v="SAFRINHA 2026"/>
    <n v="102"/>
    <n v="0"/>
    <n v="102"/>
    <n v="5304"/>
    <m/>
    <s v="NOVA UBIRATA"/>
    <s v="81451610106"/>
    <n v="52"/>
    <n v="0"/>
  </r>
  <r>
    <d v="2025-12-15T10:27:13"/>
    <n v="4354"/>
    <x v="165"/>
    <d v="2025-12-15T00:00:00"/>
    <d v="2026-08-30T00:00:00"/>
    <x v="0"/>
    <x v="1"/>
    <s v="510200"/>
    <x v="11"/>
    <x v="1"/>
    <s v="LT"/>
    <n v="350"/>
    <s v="5849"/>
    <s v="SAFRINHA 2026"/>
    <n v="110"/>
    <n v="0"/>
    <n v="110"/>
    <n v="38500"/>
    <m/>
    <s v="NOVA UBIRATA"/>
    <s v="81451610106"/>
    <n v="350"/>
    <n v="0"/>
  </r>
  <r>
    <d v="2026-01-28T09:04:43"/>
    <n v="4500"/>
    <x v="165"/>
    <d v="2026-01-28T00:00:00"/>
    <d v="2026-08-30T00:00:00"/>
    <x v="0"/>
    <x v="0"/>
    <s v="510200"/>
    <x v="7"/>
    <x v="0"/>
    <s v="LT"/>
    <n v="73"/>
    <s v="6038"/>
    <s v="SAFRINHA 2026"/>
    <n v="200"/>
    <n v="0"/>
    <n v="200"/>
    <n v="14600"/>
    <m/>
    <s v="NOVA UBIRATA"/>
    <s v="81451610106"/>
    <n v="73"/>
    <n v="0"/>
  </r>
  <r>
    <d v="2026-02-27T10:20:19"/>
    <n v="4614"/>
    <x v="165"/>
    <d v="2026-02-27T00:00:00"/>
    <d v="2026-08-30T00:00:00"/>
    <x v="0"/>
    <x v="0"/>
    <s v="510200"/>
    <x v="0"/>
    <x v="0"/>
    <s v="LT"/>
    <n v="18"/>
    <s v="6109"/>
    <s v="SAFRINHA 2026"/>
    <n v="180"/>
    <n v="0"/>
    <n v="180"/>
    <n v="3240"/>
    <m/>
    <s v="NOVA UBIRATA"/>
    <s v="81451610106"/>
    <n v="18"/>
    <n v="0"/>
  </r>
  <r>
    <d v="2026-02-27T10:20:19"/>
    <n v="4614"/>
    <x v="165"/>
    <d v="2026-02-27T00:00:00"/>
    <d v="2026-08-30T00:00:00"/>
    <x v="0"/>
    <x v="0"/>
    <s v="510200"/>
    <x v="2"/>
    <x v="0"/>
    <s v="KG"/>
    <n v="25"/>
    <s v="6109"/>
    <s v="SAFRINHA 2026"/>
    <n v="360"/>
    <n v="360"/>
    <n v="0"/>
    <n v="0"/>
    <m/>
    <s v="NOVA UBIRATA"/>
    <s v="81451610106"/>
    <n v="25"/>
    <n v="0"/>
  </r>
  <r>
    <d v="2026-02-27T10:20:19"/>
    <n v="4614"/>
    <x v="165"/>
    <d v="2026-02-27T00:00:00"/>
    <d v="2026-08-30T00:00:00"/>
    <x v="0"/>
    <x v="0"/>
    <s v="510200"/>
    <x v="4"/>
    <x v="0"/>
    <s v="KG"/>
    <n v="28"/>
    <s v="6109"/>
    <s v="SAFRINHA 2026"/>
    <n v="270"/>
    <n v="0"/>
    <n v="270"/>
    <n v="7560"/>
    <m/>
    <s v="NOVA UBIRATA"/>
    <s v="81451610106"/>
    <n v="28"/>
    <n v="0"/>
  </r>
  <r>
    <d v="2026-02-27T10:20:19"/>
    <n v="4614"/>
    <x v="165"/>
    <d v="2026-02-27T00:00:00"/>
    <d v="2026-08-30T00:00:00"/>
    <x v="0"/>
    <x v="0"/>
    <s v="510200"/>
    <x v="3"/>
    <x v="0"/>
    <s v="LT"/>
    <n v="26"/>
    <s v="6109"/>
    <s v="SAFRINHA 2026"/>
    <n v="180"/>
    <n v="0"/>
    <n v="180"/>
    <n v="4680"/>
    <m/>
    <s v="NOVA UBIRATA"/>
    <s v="81451610106"/>
    <n v="26"/>
    <n v="0"/>
  </r>
  <r>
    <d v="2026-02-27T10:20:19"/>
    <n v="4614"/>
    <x v="165"/>
    <d v="2026-02-27T00:00:00"/>
    <d v="2026-08-30T00:00:00"/>
    <x v="0"/>
    <x v="0"/>
    <s v="510200"/>
    <x v="1"/>
    <x v="0"/>
    <s v="LT"/>
    <n v="170"/>
    <s v="6109"/>
    <s v="SAFRINHA 2026"/>
    <n v="20"/>
    <n v="0"/>
    <n v="20"/>
    <n v="3400"/>
    <m/>
    <s v="NOVA UBIRATA"/>
    <s v="81451610106"/>
    <n v="170"/>
    <n v="0"/>
  </r>
  <r>
    <d v="2026-02-27T10:20:19"/>
    <n v="4614"/>
    <x v="165"/>
    <d v="2026-02-27T00:00:00"/>
    <d v="2026-08-30T00:00:00"/>
    <x v="0"/>
    <x v="0"/>
    <s v="510200"/>
    <x v="6"/>
    <x v="0"/>
    <s v="LT"/>
    <n v="73"/>
    <s v="6109"/>
    <s v="SAFRINHA 2026"/>
    <n v="40"/>
    <n v="0"/>
    <n v="40"/>
    <n v="2920"/>
    <m/>
    <s v="NOVA UBIRATA"/>
    <s v="81451610106"/>
    <n v="73"/>
    <n v="0"/>
  </r>
  <r>
    <d v="2026-03-12T10:43:22"/>
    <n v="4647"/>
    <x v="165"/>
    <d v="2026-03-12T00:00:00"/>
    <d v="2026-08-30T00:00:00"/>
    <x v="0"/>
    <x v="0"/>
    <s v="510200"/>
    <x v="6"/>
    <x v="0"/>
    <s v="LT"/>
    <n v="73"/>
    <s v="6124"/>
    <s v="SAFRINHA 2026"/>
    <n v="160"/>
    <n v="60"/>
    <n v="100"/>
    <n v="7300"/>
    <m/>
    <s v="NOVA UBIRATA"/>
    <s v="81451610106"/>
    <n v="73"/>
    <n v="0"/>
  </r>
  <r>
    <d v="2025-03-11T15:29:35"/>
    <n v="3736"/>
    <x v="166"/>
    <d v="2025-03-10T00:00:00"/>
    <d v="2026-03-30T00:00:00"/>
    <x v="0"/>
    <x v="0"/>
    <s v="510200"/>
    <x v="5"/>
    <x v="0"/>
    <s v="KG"/>
    <n v="25.539593"/>
    <s v="4813"/>
    <s v="SAFRA 25/26"/>
    <n v="1300"/>
    <n v="0"/>
    <n v="1300"/>
    <n v="33201.4709"/>
    <m/>
    <s v="SORRISO"/>
    <s v="90796381100"/>
    <n v="25.539593"/>
    <n v="0"/>
  </r>
  <r>
    <d v="2025-03-11T15:29:35"/>
    <n v="3736"/>
    <x v="166"/>
    <d v="2025-03-10T00:00:00"/>
    <d v="2026-03-30T00:00:00"/>
    <x v="0"/>
    <x v="0"/>
    <s v="510200"/>
    <x v="3"/>
    <x v="0"/>
    <s v="LT"/>
    <n v="23.575009000000001"/>
    <s v="4813"/>
    <s v="SAFRA 25/26"/>
    <n v="1960"/>
    <n v="0"/>
    <n v="1960"/>
    <n v="46207.017640000005"/>
    <m/>
    <s v="SORRISO"/>
    <s v="90796381100"/>
    <n v="23.575009000000001"/>
    <n v="0"/>
  </r>
  <r>
    <d v="2025-03-11T15:29:35"/>
    <n v="3736"/>
    <x v="166"/>
    <d v="2025-03-10T00:00:00"/>
    <d v="2026-03-30T00:00:00"/>
    <x v="0"/>
    <x v="0"/>
    <s v="510200"/>
    <x v="41"/>
    <x v="0"/>
    <s v="LT"/>
    <n v="78.583365000000001"/>
    <s v="4813"/>
    <s v="SAFRA 25/26"/>
    <n v="520"/>
    <n v="0"/>
    <n v="520"/>
    <n v="40863.349800000004"/>
    <m/>
    <s v="SORRISO"/>
    <s v="90796381100"/>
    <n v="78.583365000000001"/>
    <n v="0"/>
  </r>
  <r>
    <d v="2025-03-11T15:29:35"/>
    <n v="3736"/>
    <x v="166"/>
    <d v="2025-03-10T00:00:00"/>
    <d v="2026-03-30T00:00:00"/>
    <x v="0"/>
    <x v="0"/>
    <s v="510200"/>
    <x v="2"/>
    <x v="0"/>
    <s v="KG"/>
    <n v="20.628132999999998"/>
    <s v="4813"/>
    <s v="SAFRA 25/26"/>
    <n v="2600"/>
    <n v="0"/>
    <n v="2600"/>
    <n v="53633.145799999998"/>
    <m/>
    <s v="SORRISO"/>
    <s v="90796381100"/>
    <n v="20.628132999999998"/>
    <n v="0"/>
  </r>
  <r>
    <d v="2025-03-11T15:29:35"/>
    <n v="3736"/>
    <x v="166"/>
    <d v="2025-03-10T00:00:00"/>
    <d v="2026-03-30T00:00:00"/>
    <x v="0"/>
    <x v="0"/>
    <s v="510200"/>
    <x v="1"/>
    <x v="0"/>
    <s v="LT"/>
    <n v="164.183111"/>
    <s v="4813"/>
    <s v="SAFRA 25/26"/>
    <n v="320"/>
    <n v="0"/>
    <n v="320"/>
    <n v="52538.595520000003"/>
    <m/>
    <s v="SORRISO"/>
    <s v="90796381100"/>
    <n v="164.183111"/>
    <n v="0"/>
  </r>
  <r>
    <d v="2025-03-11T15:29:35"/>
    <n v="3736"/>
    <x v="166"/>
    <d v="2025-03-10T00:00:00"/>
    <d v="2026-03-30T00:00:00"/>
    <x v="0"/>
    <x v="0"/>
    <s v="510200"/>
    <x v="63"/>
    <x v="2"/>
    <s v="LT"/>
    <n v="73.671903999999998"/>
    <s v="4813"/>
    <s v="SAFRA 25/26"/>
    <n v="220"/>
    <n v="0"/>
    <n v="220"/>
    <n v="16207.818879999999"/>
    <m/>
    <s v="SORRISO"/>
    <s v="90796381100"/>
    <n v="73.671903999999998"/>
    <n v="0"/>
  </r>
  <r>
    <d v="2025-03-11T15:29:35"/>
    <n v="3736"/>
    <x v="166"/>
    <d v="2025-03-10T00:00:00"/>
    <d v="2026-03-30T00:00:00"/>
    <x v="0"/>
    <x v="0"/>
    <s v="510200"/>
    <x v="8"/>
    <x v="0"/>
    <s v="KG"/>
    <n v="88.406283999999999"/>
    <s v="4813"/>
    <s v="SAFRA 25/26"/>
    <n v="261"/>
    <n v="0"/>
    <n v="261"/>
    <n v="23074.040123999999"/>
    <m/>
    <s v="SORRISO"/>
    <s v="90796381100"/>
    <n v="88.406283999999999"/>
    <n v="0"/>
  </r>
  <r>
    <d v="2025-03-11T15:29:35"/>
    <n v="3736"/>
    <x v="166"/>
    <d v="2025-03-10T00:00:00"/>
    <d v="2026-03-30T00:00:00"/>
    <x v="0"/>
    <x v="0"/>
    <s v="510200"/>
    <x v="43"/>
    <x v="0"/>
    <s v="KG"/>
    <n v="66.795858999999993"/>
    <s v="4813"/>
    <s v="SAFRA 25/26"/>
    <n v="390"/>
    <n v="0"/>
    <n v="390"/>
    <n v="26050.385009999998"/>
    <m/>
    <s v="SORRISO"/>
    <s v="90796381100"/>
    <n v="66.795858999999993"/>
    <n v="0"/>
  </r>
  <r>
    <d v="2025-03-11T15:29:35"/>
    <n v="3736"/>
    <x v="166"/>
    <d v="2025-03-10T00:00:00"/>
    <d v="2026-03-30T00:00:00"/>
    <x v="0"/>
    <x v="0"/>
    <s v="510200"/>
    <x v="62"/>
    <x v="2"/>
    <s v="KG"/>
    <n v="23.575009000000001"/>
    <s v="4813"/>
    <s v="SAFRA 25/26"/>
    <n v="660"/>
    <n v="0"/>
    <n v="660"/>
    <n v="15559.505940000001"/>
    <m/>
    <s v="SORRISO"/>
    <s v="90796381100"/>
    <n v="23.575009000000001"/>
    <n v="0"/>
  </r>
  <r>
    <d v="2025-03-11T15:29:35"/>
    <n v="3736"/>
    <x v="166"/>
    <d v="2025-03-10T00:00:00"/>
    <d v="2026-03-30T00:00:00"/>
    <x v="0"/>
    <x v="0"/>
    <s v="510200"/>
    <x v="7"/>
    <x v="0"/>
    <s v="LT"/>
    <n v="73.671903999999998"/>
    <s v="4813"/>
    <s v="SAFRA 25/26"/>
    <n v="60"/>
    <n v="0"/>
    <n v="60"/>
    <n v="4420.3142399999997"/>
    <m/>
    <s v="SORRISO"/>
    <s v="90796381100"/>
    <n v="73.671903999999998"/>
    <n v="0"/>
  </r>
  <r>
    <d v="2025-03-11T15:29:35"/>
    <n v="3736"/>
    <x v="166"/>
    <d v="2025-03-10T00:00:00"/>
    <d v="2026-03-30T00:00:00"/>
    <x v="0"/>
    <x v="0"/>
    <s v="510200"/>
    <x v="33"/>
    <x v="0"/>
    <s v="LT"/>
    <n v="73.671903999999998"/>
    <s v="4813"/>
    <s v="SAFRA 25/26"/>
    <n v="40"/>
    <n v="0"/>
    <n v="40"/>
    <n v="2946.8761599999998"/>
    <m/>
    <s v="SORRISO"/>
    <s v="90796381100"/>
    <n v="73.671903999999998"/>
    <n v="0"/>
  </r>
  <r>
    <d v="2025-03-11T15:29:35"/>
    <n v="3736"/>
    <x v="166"/>
    <d v="2025-03-10T00:00:00"/>
    <d v="2026-03-30T00:00:00"/>
    <x v="0"/>
    <x v="0"/>
    <s v="510200"/>
    <x v="24"/>
    <x v="2"/>
    <s v="LT"/>
    <n v="73.671903999999998"/>
    <s v="4813"/>
    <s v="SAFRA 25/26"/>
    <n v="70"/>
    <n v="0"/>
    <n v="70"/>
    <n v="5157.0332799999996"/>
    <m/>
    <s v="SORRISO"/>
    <s v="90796381100"/>
    <n v="73.671903999999998"/>
    <n v="0"/>
  </r>
  <r>
    <d v="2025-03-11T15:29:35"/>
    <n v="3736"/>
    <x v="166"/>
    <d v="2025-03-10T00:00:00"/>
    <d v="2026-03-30T00:00:00"/>
    <x v="0"/>
    <x v="0"/>
    <s v="510200"/>
    <x v="4"/>
    <x v="0"/>
    <s v="KG"/>
    <n v="23.575009000000001"/>
    <s v="4813"/>
    <s v="SAFRA 25/26"/>
    <n v="2330"/>
    <n v="0"/>
    <n v="2330"/>
    <n v="54929.770970000005"/>
    <m/>
    <s v="SORRISO"/>
    <s v="90796381100"/>
    <n v="23.575009000000001"/>
    <n v="0"/>
  </r>
  <r>
    <d v="2025-06-25T11:07:42"/>
    <n v="3906"/>
    <x v="166"/>
    <d v="2025-06-25T00:00:00"/>
    <d v="2026-08-30T00:00:00"/>
    <x v="0"/>
    <x v="1"/>
    <s v="510200"/>
    <x v="18"/>
    <x v="1"/>
    <s v="KG"/>
    <n v="180"/>
    <s v="5479"/>
    <s v="SAFRINHA 2026"/>
    <n v="80"/>
    <n v="0"/>
    <n v="80"/>
    <n v="14400"/>
    <m/>
    <s v="SORRISO"/>
    <s v="90796381100"/>
    <n v="180"/>
    <n v="0"/>
  </r>
  <r>
    <d v="2025-06-25T11:07:42"/>
    <n v="3906"/>
    <x v="166"/>
    <d v="2025-06-25T00:00:00"/>
    <d v="2026-08-30T00:00:00"/>
    <x v="0"/>
    <x v="0"/>
    <s v="510200"/>
    <x v="3"/>
    <x v="0"/>
    <s v="LT"/>
    <n v="23.5"/>
    <s v="5479"/>
    <s v="SAFRINHA 2026"/>
    <n v="1200"/>
    <n v="0"/>
    <n v="1200"/>
    <n v="28200"/>
    <m/>
    <s v="SORRISO"/>
    <s v="90796381100"/>
    <n v="23.5"/>
    <n v="0"/>
  </r>
  <r>
    <d v="2025-06-25T11:07:42"/>
    <n v="3906"/>
    <x v="166"/>
    <d v="2025-06-25T00:00:00"/>
    <d v="2026-08-30T00:00:00"/>
    <x v="0"/>
    <x v="0"/>
    <s v="510200"/>
    <x v="46"/>
    <x v="0"/>
    <s v="LT"/>
    <n v="14"/>
    <s v="5479"/>
    <s v="SAFRINHA 2026"/>
    <n v="2400"/>
    <n v="0"/>
    <n v="2400"/>
    <n v="33600"/>
    <m/>
    <s v="SORRISO"/>
    <s v="90796381100"/>
    <n v="14"/>
    <n v="0"/>
  </r>
  <r>
    <d v="2025-06-25T11:07:42"/>
    <n v="3906"/>
    <x v="166"/>
    <d v="2025-06-25T00:00:00"/>
    <d v="2026-08-30T00:00:00"/>
    <x v="0"/>
    <x v="0"/>
    <s v="510200"/>
    <x v="12"/>
    <x v="0"/>
    <s v="LT"/>
    <n v="225"/>
    <s v="5479"/>
    <s v="SAFRINHA 2026"/>
    <n v="85"/>
    <n v="0"/>
    <n v="85"/>
    <n v="19125"/>
    <m/>
    <s v="SORRISO"/>
    <s v="90796381100"/>
    <n v="225"/>
    <n v="0"/>
  </r>
  <r>
    <d v="2025-06-25T11:07:42"/>
    <n v="3906"/>
    <x v="166"/>
    <d v="2025-06-25T00:00:00"/>
    <d v="2026-08-30T00:00:00"/>
    <x v="0"/>
    <x v="0"/>
    <s v="510200"/>
    <x v="4"/>
    <x v="0"/>
    <s v="KG"/>
    <n v="24"/>
    <s v="5479"/>
    <s v="SAFRINHA 2026"/>
    <n v="1800"/>
    <n v="0"/>
    <n v="1800"/>
    <n v="43200"/>
    <m/>
    <s v="SORRISO"/>
    <s v="90796381100"/>
    <n v="24"/>
    <n v="0"/>
  </r>
  <r>
    <d v="2025-06-25T11:07:42"/>
    <n v="3906"/>
    <x v="166"/>
    <d v="2025-06-25T00:00:00"/>
    <d v="2026-08-30T00:00:00"/>
    <x v="0"/>
    <x v="1"/>
    <s v="510200"/>
    <x v="9"/>
    <x v="1"/>
    <s v="LT"/>
    <n v="48"/>
    <s v="5479"/>
    <s v="SAFRINHA 2026"/>
    <n v="102"/>
    <n v="0"/>
    <n v="102"/>
    <n v="4896"/>
    <m/>
    <s v="SORRISO"/>
    <s v="90796381100"/>
    <n v="48"/>
    <n v="0"/>
  </r>
  <r>
    <d v="2025-06-25T11:07:42"/>
    <n v="3906"/>
    <x v="166"/>
    <d v="2025-06-25T00:00:00"/>
    <d v="2026-08-30T00:00:00"/>
    <x v="0"/>
    <x v="1"/>
    <s v="510200"/>
    <x v="11"/>
    <x v="1"/>
    <s v="LT"/>
    <n v="320"/>
    <s v="5479"/>
    <s v="SAFRINHA 2026"/>
    <n v="20"/>
    <n v="0"/>
    <n v="20"/>
    <n v="6400"/>
    <m/>
    <s v="SORRISO"/>
    <s v="90796381100"/>
    <n v="320"/>
    <n v="0"/>
  </r>
  <r>
    <d v="2025-06-25T11:07:42"/>
    <n v="3906"/>
    <x v="166"/>
    <d v="2025-06-25T00:00:00"/>
    <d v="2026-08-30T00:00:00"/>
    <x v="0"/>
    <x v="0"/>
    <s v="510200"/>
    <x v="1"/>
    <x v="0"/>
    <s v="LT"/>
    <n v="157"/>
    <s v="5479"/>
    <s v="SAFRINHA 2026"/>
    <n v="240"/>
    <n v="0"/>
    <n v="240"/>
    <n v="37680"/>
    <m/>
    <s v="SORRISO"/>
    <s v="90796381100"/>
    <n v="157"/>
    <n v="0"/>
  </r>
  <r>
    <d v="2025-06-25T11:07:42"/>
    <n v="3906"/>
    <x v="166"/>
    <d v="2025-06-25T00:00:00"/>
    <d v="2026-08-30T00:00:00"/>
    <x v="0"/>
    <x v="0"/>
    <s v="510200"/>
    <x v="2"/>
    <x v="0"/>
    <s v="KG"/>
    <n v="23"/>
    <s v="5479"/>
    <s v="SAFRINHA 2026"/>
    <n v="3600"/>
    <n v="0"/>
    <n v="3600"/>
    <n v="82800"/>
    <m/>
    <s v="SORRISO"/>
    <s v="90796381100"/>
    <n v="23"/>
    <n v="0"/>
  </r>
  <r>
    <d v="2025-06-25T11:07:42"/>
    <n v="3906"/>
    <x v="166"/>
    <d v="2025-06-25T00:00:00"/>
    <d v="2026-08-30T00:00:00"/>
    <x v="0"/>
    <x v="1"/>
    <s v="510200"/>
    <x v="10"/>
    <x v="1"/>
    <s v="LT"/>
    <n v="320"/>
    <s v="5479"/>
    <s v="SAFRINHA 2026"/>
    <n v="20"/>
    <n v="0"/>
    <n v="20"/>
    <n v="6400"/>
    <m/>
    <s v="SORRISO"/>
    <s v="90796381100"/>
    <n v="320"/>
    <n v="0"/>
  </r>
  <r>
    <d v="2025-03-11T15:50:07"/>
    <n v="3737"/>
    <x v="166"/>
    <d v="2025-08-27T00:00:00"/>
    <d v="2026-03-30T00:00:00"/>
    <x v="0"/>
    <x v="1"/>
    <s v="510200"/>
    <x v="9"/>
    <x v="1"/>
    <s v="LT"/>
    <n v="44.235123999999999"/>
    <s v="5561"/>
    <s v="SAFRA 25/26"/>
    <n v="120"/>
    <n v="0"/>
    <n v="120"/>
    <n v="5308.2148799999995"/>
    <m/>
    <s v="SORRISO"/>
    <s v="90796381100"/>
    <n v="44.235123999999999"/>
    <n v="0"/>
  </r>
  <r>
    <d v="2025-03-11T15:50:07"/>
    <n v="3737"/>
    <x v="166"/>
    <d v="2025-08-27T00:00:00"/>
    <d v="2026-03-30T00:00:00"/>
    <x v="0"/>
    <x v="1"/>
    <s v="510200"/>
    <x v="13"/>
    <x v="1"/>
    <s v="LT"/>
    <n v="41.696412000000002"/>
    <s v="5561"/>
    <s v="SAFRA 25/26"/>
    <n v="123"/>
    <n v="0"/>
    <n v="123"/>
    <n v="5128.658676"/>
    <m/>
    <s v="SORRISO"/>
    <s v="90796381100"/>
    <n v="41.696412000000002"/>
    <n v="0"/>
  </r>
  <r>
    <d v="2025-03-11T15:50:07"/>
    <n v="3737"/>
    <x v="166"/>
    <d v="2025-08-27T00:00:00"/>
    <d v="2026-03-30T00:00:00"/>
    <x v="0"/>
    <x v="1"/>
    <s v="510200"/>
    <x v="17"/>
    <x v="1"/>
    <s v="LT"/>
    <n v="41.696412000000002"/>
    <s v="5561"/>
    <s v="SAFRA 25/26"/>
    <n v="123"/>
    <n v="0"/>
    <n v="123"/>
    <n v="5128.658676"/>
    <m/>
    <s v="SORRISO"/>
    <s v="90796381100"/>
    <n v="41.696412000000002"/>
    <n v="0"/>
  </r>
  <r>
    <d v="2025-03-11T15:50:07"/>
    <n v="3737"/>
    <x v="166"/>
    <d v="2025-08-27T00:00:00"/>
    <d v="2026-03-30T00:00:00"/>
    <x v="0"/>
    <x v="1"/>
    <s v="510200"/>
    <x v="25"/>
    <x v="1"/>
    <s v="KG"/>
    <n v="625.06153700000004"/>
    <s v="5561"/>
    <s v="SAFRA 25/26"/>
    <n v="65"/>
    <n v="0"/>
    <n v="65"/>
    <n v="40628.999905000004"/>
    <m/>
    <s v="SORRISO"/>
    <s v="90796381100"/>
    <n v="625.06153700000004"/>
    <n v="0"/>
  </r>
  <r>
    <d v="2025-03-11T15:50:07"/>
    <n v="3737"/>
    <x v="166"/>
    <d v="2025-08-27T00:00:00"/>
    <d v="2026-03-30T00:00:00"/>
    <x v="0"/>
    <x v="0"/>
    <s v="510200"/>
    <x v="12"/>
    <x v="0"/>
    <s v="LT"/>
    <n v="221.17562100000001"/>
    <s v="5561"/>
    <s v="SAFRA 25/26"/>
    <n v="120"/>
    <n v="0"/>
    <n v="120"/>
    <n v="26541.074520000002"/>
    <m/>
    <s v="SORRISO"/>
    <s v="90796381100"/>
    <n v="221.17562100000001"/>
    <n v="0"/>
  </r>
  <r>
    <d v="2025-03-11T15:50:07"/>
    <n v="3737"/>
    <x v="166"/>
    <d v="2025-08-27T00:00:00"/>
    <d v="2026-03-30T00:00:00"/>
    <x v="0"/>
    <x v="1"/>
    <s v="510200"/>
    <x v="18"/>
    <x v="1"/>
    <s v="KG"/>
    <n v="177.90213"/>
    <s v="5561"/>
    <s v="SAFRA 25/26"/>
    <n v="122"/>
    <n v="0"/>
    <n v="122"/>
    <n v="21704.059860000001"/>
    <m/>
    <s v="SORRISO"/>
    <s v="90796381100"/>
    <n v="177.90213"/>
    <n v="0"/>
  </r>
  <r>
    <d v="2025-09-15T10:44:54"/>
    <n v="4040"/>
    <x v="166"/>
    <d v="2025-09-15T00:00:00"/>
    <d v="2026-03-30T00:00:00"/>
    <x v="0"/>
    <x v="1"/>
    <s v="510200"/>
    <x v="14"/>
    <x v="1"/>
    <s v="KG"/>
    <n v="388"/>
    <s v="5541"/>
    <s v="SAFRA 25/26"/>
    <n v="38"/>
    <n v="0"/>
    <n v="38"/>
    <n v="14744"/>
    <m/>
    <s v="SORRISO"/>
    <s v="90796381100"/>
    <n v="388"/>
    <n v="0"/>
  </r>
  <r>
    <d v="2025-10-04T07:49:51"/>
    <n v="4125"/>
    <x v="166"/>
    <d v="2025-10-04T00:00:00"/>
    <d v="2026-03-30T00:00:00"/>
    <x v="0"/>
    <x v="0"/>
    <s v="510200"/>
    <x v="37"/>
    <x v="2"/>
    <s v="LT"/>
    <n v="27"/>
    <s v="5256"/>
    <s v="SAFRA 25/26"/>
    <n v="200"/>
    <n v="0"/>
    <n v="200"/>
    <n v="5400"/>
    <m/>
    <s v="SORRISO"/>
    <s v="90796381100"/>
    <n v="27"/>
    <n v="0"/>
  </r>
  <r>
    <d v="2025-10-10T09:12:53"/>
    <n v="4143"/>
    <x v="166"/>
    <d v="2025-10-10T00:00:00"/>
    <d v="2026-03-30T00:00:00"/>
    <x v="0"/>
    <x v="1"/>
    <s v="510200"/>
    <x v="14"/>
    <x v="1"/>
    <s v="KG"/>
    <n v="388"/>
    <s v="5677"/>
    <s v="SAFRA 25/26"/>
    <n v="7"/>
    <n v="0"/>
    <n v="7"/>
    <n v="2716"/>
    <m/>
    <s v="SORRISO"/>
    <s v="90796381100"/>
    <n v="388"/>
    <n v="0"/>
  </r>
  <r>
    <d v="2025-10-18T10:52:41"/>
    <n v="4177"/>
    <x v="166"/>
    <d v="2025-10-18T00:00:00"/>
    <d v="2026-03-30T00:00:00"/>
    <x v="0"/>
    <x v="0"/>
    <s v="510200"/>
    <x v="3"/>
    <x v="0"/>
    <s v="LT"/>
    <n v="23.57"/>
    <s v="5689"/>
    <s v="SAFRA 25/26"/>
    <n v="200"/>
    <n v="0"/>
    <n v="200"/>
    <n v="4714"/>
    <m/>
    <s v="SORRISO"/>
    <s v="90796381100"/>
    <n v="23.57"/>
    <n v="0"/>
  </r>
  <r>
    <d v="2025-10-29T09:59:01"/>
    <n v="4220"/>
    <x v="166"/>
    <d v="2025-10-29T00:00:00"/>
    <d v="2026-03-30T00:00:00"/>
    <x v="0"/>
    <x v="0"/>
    <s v="510200"/>
    <x v="1"/>
    <x v="0"/>
    <s v="LT"/>
    <n v="164.18"/>
    <s v="5766"/>
    <s v="SAFRA 25/26"/>
    <n v="20"/>
    <n v="0"/>
    <n v="20"/>
    <n v="3283.6000000000004"/>
    <m/>
    <s v="SORRISO"/>
    <s v="90796381100"/>
    <n v="164.18"/>
    <n v="0"/>
  </r>
  <r>
    <d v="2025-10-29T09:59:01"/>
    <n v="4220"/>
    <x v="166"/>
    <d v="2025-10-29T00:00:00"/>
    <d v="2026-03-30T00:00:00"/>
    <x v="0"/>
    <x v="0"/>
    <s v="510200"/>
    <x v="2"/>
    <x v="0"/>
    <s v="KG"/>
    <n v="20.63"/>
    <s v="5766"/>
    <s v="SAFRA 25/26"/>
    <n v="100"/>
    <n v="0"/>
    <n v="100"/>
    <n v="2063"/>
    <m/>
    <s v="SORRISO"/>
    <s v="90796381100"/>
    <n v="20.63"/>
    <n v="0"/>
  </r>
  <r>
    <d v="2025-11-03T13:35:02"/>
    <n v="4232"/>
    <x v="166"/>
    <d v="2025-11-03T00:00:00"/>
    <d v="2026-03-30T00:00:00"/>
    <x v="0"/>
    <x v="0"/>
    <s v="510200"/>
    <x v="3"/>
    <x v="0"/>
    <s v="LT"/>
    <n v="23.57"/>
    <s v="5768"/>
    <s v="SAFRA 25/26"/>
    <n v="300"/>
    <n v="0"/>
    <n v="300"/>
    <n v="7071"/>
    <m/>
    <s v="SORRISO"/>
    <s v="90796381100"/>
    <n v="23.57"/>
    <n v="0"/>
  </r>
  <r>
    <d v="2025-11-14T08:55:06"/>
    <n v="4269"/>
    <x v="166"/>
    <d v="2025-11-14T00:00:00"/>
    <d v="2026-03-30T00:00:00"/>
    <x v="0"/>
    <x v="0"/>
    <s v="510200"/>
    <x v="2"/>
    <x v="0"/>
    <s v="KG"/>
    <n v="20.63"/>
    <s v="5813"/>
    <s v="SAFRA 25/26"/>
    <n v="500"/>
    <n v="0"/>
    <n v="500"/>
    <n v="10315"/>
    <m/>
    <s v="SORRISO"/>
    <s v="90796381100"/>
    <n v="20.63"/>
    <n v="0"/>
  </r>
  <r>
    <d v="2025-11-14T08:55:06"/>
    <n v="4269"/>
    <x v="166"/>
    <d v="2025-11-14T00:00:00"/>
    <d v="2026-03-30T00:00:00"/>
    <x v="0"/>
    <x v="0"/>
    <s v="510200"/>
    <x v="1"/>
    <x v="0"/>
    <s v="LT"/>
    <n v="164.18"/>
    <s v="5813"/>
    <s v="SAFRA 25/26"/>
    <n v="60"/>
    <n v="0"/>
    <n v="60"/>
    <n v="9850.8000000000011"/>
    <m/>
    <s v="SORRISO"/>
    <s v="90796381100"/>
    <n v="164.18"/>
    <n v="0"/>
  </r>
  <r>
    <d v="2025-11-14T08:55:06"/>
    <n v="4269"/>
    <x v="166"/>
    <d v="2025-11-14T00:00:00"/>
    <d v="2026-03-30T00:00:00"/>
    <x v="0"/>
    <x v="0"/>
    <s v="510200"/>
    <x v="3"/>
    <x v="0"/>
    <s v="LT"/>
    <n v="23.57"/>
    <s v="5813"/>
    <s v="SAFRA 25/26"/>
    <n v="240"/>
    <n v="0"/>
    <n v="240"/>
    <n v="5656.8"/>
    <m/>
    <s v="SORRISO"/>
    <s v="90796381100"/>
    <n v="23.57"/>
    <n v="0"/>
  </r>
  <r>
    <d v="2026-01-06T17:28:09"/>
    <n v="4412"/>
    <x v="166"/>
    <d v="2026-01-06T00:00:00"/>
    <d v="2026-08-30T00:00:00"/>
    <x v="0"/>
    <x v="0"/>
    <s v="510200"/>
    <x v="4"/>
    <x v="0"/>
    <s v="KG"/>
    <n v="24"/>
    <s v="5921"/>
    <s v="SAFRINHA 2026"/>
    <n v="600"/>
    <n v="0"/>
    <n v="600"/>
    <n v="14400"/>
    <m/>
    <s v="SORRISO"/>
    <s v="90796381100"/>
    <n v="24"/>
    <n v="0"/>
  </r>
  <r>
    <d v="2026-01-13T13:00:20"/>
    <n v="4438"/>
    <x v="166"/>
    <d v="2026-01-12T00:00:00"/>
    <d v="2026-08-30T00:00:00"/>
    <x v="0"/>
    <x v="0"/>
    <s v="510200"/>
    <x v="8"/>
    <x v="0"/>
    <s v="KG"/>
    <n v="88"/>
    <s v="6008"/>
    <s v="SAFRINHA 2026"/>
    <n v="120"/>
    <n v="0"/>
    <n v="120"/>
    <n v="10560"/>
    <m/>
    <s v="SORRISO"/>
    <s v="90796381100"/>
    <n v="88"/>
    <n v="0"/>
  </r>
  <r>
    <d v="2026-01-14T10:27:01"/>
    <n v="4446"/>
    <x v="166"/>
    <d v="2026-01-14T00:00:00"/>
    <d v="2026-08-30T00:00:00"/>
    <x v="0"/>
    <x v="1"/>
    <s v="510200"/>
    <x v="18"/>
    <x v="1"/>
    <s v="KG"/>
    <n v="180"/>
    <s v="6011"/>
    <s v="SAFRINHA 2026"/>
    <n v="16"/>
    <n v="0"/>
    <n v="16"/>
    <n v="2880"/>
    <m/>
    <s v="SORRISO"/>
    <s v="90796381100"/>
    <n v="180"/>
    <n v="0"/>
  </r>
  <r>
    <d v="2026-01-15T07:24:01"/>
    <n v="4447"/>
    <x v="166"/>
    <d v="2026-01-15T00:00:00"/>
    <d v="2026-08-30T00:00:00"/>
    <x v="0"/>
    <x v="0"/>
    <s v="510200"/>
    <x v="51"/>
    <x v="2"/>
    <s v="KG"/>
    <n v="480"/>
    <s v="6014"/>
    <s v="SAFRINHA 2026"/>
    <n v="27"/>
    <n v="0"/>
    <n v="27"/>
    <n v="12960"/>
    <m/>
    <s v="SORRISO"/>
    <s v="90796381100"/>
    <n v="480"/>
    <n v="0"/>
  </r>
  <r>
    <d v="2026-01-19T10:19:10"/>
    <n v="4461"/>
    <x v="166"/>
    <d v="2026-01-19T00:00:00"/>
    <d v="2026-08-30T00:00:00"/>
    <x v="0"/>
    <x v="0"/>
    <s v="510200"/>
    <x v="89"/>
    <x v="2"/>
    <s v="LT"/>
    <n v="75"/>
    <s v="6019"/>
    <s v="SAFRINHA 2026"/>
    <n v="10"/>
    <n v="0"/>
    <n v="10"/>
    <n v="750"/>
    <m/>
    <s v="SORRISO"/>
    <s v="90796381100"/>
    <n v="75"/>
    <n v="0"/>
  </r>
  <r>
    <d v="2026-01-19T10:19:10"/>
    <n v="4461"/>
    <x v="166"/>
    <d v="2026-01-19T00:00:00"/>
    <d v="2026-08-30T00:00:00"/>
    <x v="0"/>
    <x v="0"/>
    <s v="510200"/>
    <x v="16"/>
    <x v="2"/>
    <s v="KG"/>
    <n v="75"/>
    <s v="6019"/>
    <s v="SAFRINHA 2026"/>
    <n v="6"/>
    <n v="0"/>
    <n v="6"/>
    <n v="450"/>
    <m/>
    <s v="SORRISO"/>
    <s v="90796381100"/>
    <n v="75"/>
    <n v="0"/>
  </r>
  <r>
    <d v="2026-01-27T09:43:46"/>
    <n v="4495"/>
    <x v="166"/>
    <d v="2026-01-27T00:00:00"/>
    <d v="2026-08-30T00:00:00"/>
    <x v="0"/>
    <x v="0"/>
    <s v="510200"/>
    <x v="1"/>
    <x v="0"/>
    <s v="LT"/>
    <n v="157"/>
    <s v="6035"/>
    <s v="SAFRINHA 2026"/>
    <n v="100"/>
    <n v="0"/>
    <n v="100"/>
    <n v="15700"/>
    <m/>
    <s v="SORRISO"/>
    <s v="90796381100"/>
    <n v="157"/>
    <n v="0"/>
  </r>
  <r>
    <d v="2026-02-05T09:07:32"/>
    <n v="4530"/>
    <x v="166"/>
    <d v="2026-02-05T00:00:00"/>
    <d v="2026-08-30T00:00:00"/>
    <x v="0"/>
    <x v="1"/>
    <s v="510200"/>
    <x v="18"/>
    <x v="1"/>
    <s v="KG"/>
    <n v="180"/>
    <s v="6044"/>
    <s v="SAFRINHA 2026"/>
    <n v="4"/>
    <n v="0"/>
    <n v="4"/>
    <n v="720"/>
    <m/>
    <s v="SORRISO"/>
    <s v="90796381100"/>
    <n v="180"/>
    <n v="0"/>
  </r>
  <r>
    <d v="2026-02-05T09:07:32"/>
    <n v="4530"/>
    <x v="166"/>
    <d v="2026-02-05T00:00:00"/>
    <d v="2026-08-30T00:00:00"/>
    <x v="0"/>
    <x v="1"/>
    <s v="510200"/>
    <x v="9"/>
    <x v="1"/>
    <s v="LT"/>
    <n v="48"/>
    <s v="6044"/>
    <s v="SAFRINHA 2026"/>
    <n v="6"/>
    <n v="0"/>
    <n v="6"/>
    <n v="288"/>
    <m/>
    <s v="SORRISO"/>
    <s v="90796381100"/>
    <n v="48"/>
    <n v="0"/>
  </r>
  <r>
    <d v="2026-02-26T09:38:02"/>
    <n v="565"/>
    <x v="167"/>
    <d v="2026-02-26T00:00:00"/>
    <d v="2026-02-27T00:00:00"/>
    <x v="11"/>
    <x v="0"/>
    <s v="610200"/>
    <x v="21"/>
    <x v="2"/>
    <s v="KG"/>
    <n v="46"/>
    <s v="392"/>
    <s v="SAFRINHA 2026"/>
    <n v="150"/>
    <n v="0"/>
    <n v="150"/>
    <n v="6900"/>
    <m/>
    <s v="ALTAMIRA"/>
    <s v="52928250182"/>
    <n v="46"/>
    <n v="0"/>
  </r>
  <r>
    <d v="2025-12-19T10:36:37"/>
    <n v="4370"/>
    <x v="168"/>
    <d v="2025-12-19T00:00:00"/>
    <d v="2026-03-30T00:00:00"/>
    <x v="9"/>
    <x v="0"/>
    <s v="510200"/>
    <x v="27"/>
    <x v="2"/>
    <s v="KG"/>
    <n v="2460"/>
    <s v="5907"/>
    <s v="SAFRA 25/26"/>
    <n v="5"/>
    <n v="0"/>
    <n v="5"/>
    <n v="12300"/>
    <m/>
    <s v="VERA"/>
    <s v="98746006168"/>
    <n v="2460"/>
    <n v="0"/>
  </r>
  <r>
    <d v="2025-12-23T07:45:40"/>
    <n v="4376"/>
    <x v="168"/>
    <d v="2025-12-23T00:00:00"/>
    <d v="2026-03-30T00:00:00"/>
    <x v="9"/>
    <x v="0"/>
    <s v="510200"/>
    <x v="41"/>
    <x v="0"/>
    <s v="LT"/>
    <n v="65"/>
    <s v="5910"/>
    <s v="SAFRA 25/26"/>
    <n v="60"/>
    <n v="0"/>
    <n v="60"/>
    <n v="3900"/>
    <m/>
    <s v="VERA"/>
    <s v="98746006168"/>
    <n v="65"/>
    <n v="0"/>
  </r>
  <r>
    <d v="2025-09-04T10:42:00"/>
    <n v="282"/>
    <x v="169"/>
    <d v="2025-09-04T00:00:00"/>
    <d v="2025-10-30T00:00:00"/>
    <x v="13"/>
    <x v="0"/>
    <s v="510200"/>
    <x v="113"/>
    <x v="2"/>
    <s v="SC"/>
    <n v="683.85"/>
    <s v="39"/>
    <s v="SAFRINHA 2026"/>
    <n v="250"/>
    <n v="0"/>
    <n v="250"/>
    <n v="170962.5"/>
    <m/>
    <s v="SINOP"/>
    <s v="96439785915"/>
    <n v="683.85"/>
    <n v="0"/>
  </r>
  <r>
    <d v="2025-09-05T15:10:03"/>
    <n v="287"/>
    <x v="169"/>
    <d v="2025-09-05T00:00:00"/>
    <d v="2025-10-30T00:00:00"/>
    <x v="13"/>
    <x v="2"/>
    <s v="510200"/>
    <x v="14"/>
    <x v="1"/>
    <s v="KG"/>
    <n v="342"/>
    <s v="43"/>
    <s v="SAFRA 25/26"/>
    <n v="25"/>
    <n v="0"/>
    <n v="25"/>
    <n v="8550"/>
    <m/>
    <s v="SINOP"/>
    <s v="96439785915"/>
    <n v="342"/>
    <n v="0"/>
  </r>
  <r>
    <d v="2025-11-26T08:35:00"/>
    <n v="4302"/>
    <x v="170"/>
    <d v="2025-11-21T00:00:00"/>
    <d v="2025-11-27T00:00:00"/>
    <x v="8"/>
    <x v="0"/>
    <s v="510200"/>
    <x v="21"/>
    <x v="2"/>
    <s v="KG"/>
    <n v="45"/>
    <s v="5675"/>
    <s v="SAFRA 25/26"/>
    <n v="150"/>
    <n v="0"/>
    <n v="150"/>
    <n v="6750"/>
    <m/>
    <s v="PORTO DOS GAUCHOS"/>
    <s v="75019590991"/>
    <n v="45"/>
    <n v="0"/>
  </r>
  <r>
    <d v="2025-08-05T07:27:54"/>
    <n v="3967"/>
    <x v="171"/>
    <d v="2025-08-04T00:00:00"/>
    <d v="2026-04-30T00:00:00"/>
    <x v="5"/>
    <x v="0"/>
    <s v="510200"/>
    <x v="90"/>
    <x v="2"/>
    <s v="TON"/>
    <n v="1380"/>
    <s v="5124"/>
    <s v="SAFRA 25/26"/>
    <n v="50"/>
    <n v="0"/>
    <n v="50"/>
    <n v="69000"/>
    <m/>
    <s v="SORRISO"/>
    <s v="64436055949"/>
    <n v="1380"/>
    <n v="0"/>
  </r>
  <r>
    <d v="2025-09-23T10:50:51"/>
    <n v="4067"/>
    <x v="171"/>
    <d v="2025-09-23T00:00:00"/>
    <d v="2026-04-30T00:00:00"/>
    <x v="5"/>
    <x v="1"/>
    <s v="510200"/>
    <x v="9"/>
    <x v="1"/>
    <s v="LT"/>
    <n v="46"/>
    <s v="5383"/>
    <s v="SAFRA 25/26"/>
    <n v="60"/>
    <n v="0"/>
    <n v="60"/>
    <n v="2760"/>
    <m/>
    <s v="SORRISO"/>
    <s v="64436055949"/>
    <n v="46"/>
    <n v="0"/>
  </r>
  <r>
    <d v="2025-09-23T10:50:51"/>
    <n v="4067"/>
    <x v="171"/>
    <d v="2025-09-23T00:00:00"/>
    <d v="2026-04-30T00:00:00"/>
    <x v="5"/>
    <x v="1"/>
    <s v="510200"/>
    <x v="13"/>
    <x v="1"/>
    <s v="LT"/>
    <n v="46"/>
    <s v="5383"/>
    <s v="SAFRA 25/26"/>
    <n v="117"/>
    <n v="0"/>
    <n v="117"/>
    <n v="5382"/>
    <m/>
    <s v="SORRISO"/>
    <s v="64436055949"/>
    <n v="46"/>
    <n v="0"/>
  </r>
  <r>
    <d v="2026-01-15T10:27:05"/>
    <n v="4450"/>
    <x v="171"/>
    <d v="2026-01-15T00:00:00"/>
    <d v="2026-09-30T00:00:00"/>
    <x v="5"/>
    <x v="1"/>
    <s v="510200"/>
    <x v="9"/>
    <x v="1"/>
    <s v="LT"/>
    <n v="48"/>
    <s v="5954"/>
    <s v="SAFRINHA 2026"/>
    <n v="120"/>
    <n v="0"/>
    <n v="120"/>
    <n v="5760"/>
    <m/>
    <s v="SORRISO"/>
    <s v="64436055949"/>
    <n v="48"/>
    <n v="0"/>
  </r>
  <r>
    <d v="2026-01-15T10:27:05"/>
    <n v="4450"/>
    <x v="171"/>
    <d v="2026-01-15T00:00:00"/>
    <d v="2026-09-30T00:00:00"/>
    <x v="5"/>
    <x v="0"/>
    <s v="510200"/>
    <x v="64"/>
    <x v="2"/>
    <s v="LT"/>
    <n v="11.5"/>
    <s v="5954"/>
    <s v="SAFRINHA 2026"/>
    <n v="250"/>
    <n v="0"/>
    <n v="250"/>
    <n v="2875"/>
    <m/>
    <s v="SORRISO"/>
    <s v="64436055949"/>
    <n v="11.5"/>
    <n v="0"/>
  </r>
  <r>
    <d v="2026-02-16T07:54:18"/>
    <n v="4568"/>
    <x v="171"/>
    <d v="2026-02-16T00:00:00"/>
    <d v="2026-08-30T00:00:00"/>
    <x v="5"/>
    <x v="0"/>
    <s v="510200"/>
    <x v="114"/>
    <x v="2"/>
    <s v="SC"/>
    <n v="640"/>
    <s v="5967"/>
    <s v="SAFRINHA 2026"/>
    <n v="68"/>
    <n v="0"/>
    <n v="68"/>
    <n v="43520"/>
    <m/>
    <s v="SORRISO"/>
    <s v="64436055949"/>
    <n v="640"/>
    <n v="0"/>
  </r>
  <r>
    <d v="2025-06-10T10:14:46"/>
    <n v="3888"/>
    <x v="172"/>
    <d v="2025-06-10T00:00:00"/>
    <d v="2025-10-30T00:00:00"/>
    <x v="0"/>
    <x v="1"/>
    <s v="510200"/>
    <x v="14"/>
    <x v="1"/>
    <s v="KG"/>
    <n v="367"/>
    <s v="5476"/>
    <s v="SAFRA 25/26"/>
    <n v="100"/>
    <n v="0"/>
    <n v="100"/>
    <n v="36700"/>
    <m/>
    <s v="SORRISO"/>
    <s v="17917697053"/>
    <n v="367"/>
    <n v="0"/>
  </r>
  <r>
    <d v="2025-06-10T10:14:46"/>
    <n v="3888"/>
    <x v="172"/>
    <d v="2025-06-10T00:00:00"/>
    <d v="2025-10-30T00:00:00"/>
    <x v="0"/>
    <x v="1"/>
    <s v="510200"/>
    <x v="9"/>
    <x v="1"/>
    <s v="LT"/>
    <n v="48"/>
    <s v="5476"/>
    <s v="SAFRA 25/26"/>
    <n v="300"/>
    <n v="0"/>
    <n v="300"/>
    <n v="14400"/>
    <m/>
    <s v="SORRISO"/>
    <s v="17917697053"/>
    <n v="48"/>
    <n v="0"/>
  </r>
  <r>
    <d v="2025-06-10T10:14:46"/>
    <n v="3888"/>
    <x v="172"/>
    <d v="2025-06-10T00:00:00"/>
    <d v="2025-10-30T00:00:00"/>
    <x v="0"/>
    <x v="1"/>
    <s v="510200"/>
    <x v="13"/>
    <x v="1"/>
    <s v="LT"/>
    <n v="42"/>
    <s v="5476"/>
    <s v="SAFRA 25/26"/>
    <n v="801"/>
    <n v="0"/>
    <n v="801"/>
    <n v="33642"/>
    <m/>
    <s v="SORRISO"/>
    <s v="17917697053"/>
    <n v="42"/>
    <n v="0"/>
  </r>
  <r>
    <d v="2025-06-10T10:14:46"/>
    <n v="3888"/>
    <x v="172"/>
    <d v="2025-06-10T00:00:00"/>
    <d v="2025-10-30T00:00:00"/>
    <x v="0"/>
    <x v="1"/>
    <s v="510200"/>
    <x v="10"/>
    <x v="1"/>
    <s v="LT"/>
    <n v="320"/>
    <s v="5476"/>
    <s v="SAFRA 25/26"/>
    <n v="100"/>
    <n v="0"/>
    <n v="100"/>
    <n v="32000"/>
    <m/>
    <s v="SORRISO"/>
    <s v="17917697053"/>
    <n v="320"/>
    <n v="0"/>
  </r>
  <r>
    <d v="2025-06-10T10:14:46"/>
    <n v="3888"/>
    <x v="172"/>
    <d v="2025-06-10T00:00:00"/>
    <d v="2025-10-30T00:00:00"/>
    <x v="0"/>
    <x v="0"/>
    <s v="510200"/>
    <x v="12"/>
    <x v="0"/>
    <s v="LT"/>
    <n v="221"/>
    <s v="5476"/>
    <s v="SAFRA 25/26"/>
    <n v="200"/>
    <n v="0"/>
    <n v="200"/>
    <n v="44200"/>
    <m/>
    <s v="SORRISO"/>
    <s v="17917697053"/>
    <n v="221"/>
    <n v="0"/>
  </r>
  <r>
    <d v="2025-06-10T10:14:46"/>
    <n v="3888"/>
    <x v="172"/>
    <d v="2025-06-10T00:00:00"/>
    <d v="2025-10-30T00:00:00"/>
    <x v="0"/>
    <x v="1"/>
    <s v="510200"/>
    <x v="11"/>
    <x v="1"/>
    <s v="LT"/>
    <n v="320"/>
    <s v="5476"/>
    <s v="SAFRA 25/26"/>
    <n v="100"/>
    <n v="0"/>
    <n v="100"/>
    <n v="32000"/>
    <m/>
    <s v="SORRISO"/>
    <s v="17917697053"/>
    <n v="320"/>
    <n v="0"/>
  </r>
  <r>
    <d v="2025-06-10T10:14:46"/>
    <n v="3888"/>
    <x v="172"/>
    <d v="2025-06-10T00:00:00"/>
    <d v="2025-10-30T00:00:00"/>
    <x v="0"/>
    <x v="1"/>
    <s v="510200"/>
    <x v="76"/>
    <x v="1"/>
    <s v="LT"/>
    <n v="65"/>
    <s v="5476"/>
    <s v="SAFRA 25/26"/>
    <n v="201"/>
    <n v="0"/>
    <n v="201"/>
    <n v="13065"/>
    <m/>
    <s v="SORRISO"/>
    <s v="17917697053"/>
    <n v="65"/>
    <n v="0"/>
  </r>
  <r>
    <d v="2025-06-10T10:19:13"/>
    <n v="3889"/>
    <x v="172"/>
    <d v="2025-06-10T00:00:00"/>
    <d v="2025-10-30T00:00:00"/>
    <x v="0"/>
    <x v="1"/>
    <s v="510200"/>
    <x v="11"/>
    <x v="1"/>
    <s v="LT"/>
    <n v="320"/>
    <s v="5477"/>
    <s v="SAFRA 25/26"/>
    <n v="65"/>
    <n v="0"/>
    <n v="65"/>
    <n v="20800"/>
    <m/>
    <s v="NOVA SANTA HELENA"/>
    <s v="17917697053"/>
    <n v="320"/>
    <n v="0"/>
  </r>
  <r>
    <d v="2025-06-10T10:19:13"/>
    <n v="3889"/>
    <x v="172"/>
    <d v="2025-06-10T00:00:00"/>
    <d v="2025-10-30T00:00:00"/>
    <x v="0"/>
    <x v="1"/>
    <s v="510200"/>
    <x v="9"/>
    <x v="1"/>
    <s v="LT"/>
    <n v="48"/>
    <s v="5477"/>
    <s v="SAFRA 25/26"/>
    <n v="105"/>
    <n v="0"/>
    <n v="105"/>
    <n v="5040"/>
    <m/>
    <s v="NOVA SANTA HELENA"/>
    <s v="17917697053"/>
    <n v="48"/>
    <n v="0"/>
  </r>
  <r>
    <d v="2025-06-10T10:19:13"/>
    <n v="3889"/>
    <x v="172"/>
    <d v="2025-06-10T00:00:00"/>
    <d v="2025-10-30T00:00:00"/>
    <x v="0"/>
    <x v="0"/>
    <s v="510200"/>
    <x v="12"/>
    <x v="0"/>
    <s v="LT"/>
    <n v="221"/>
    <s v="5477"/>
    <s v="SAFRA 25/26"/>
    <n v="130"/>
    <n v="0"/>
    <n v="130"/>
    <n v="28730"/>
    <m/>
    <s v="NOVA SANTA HELENA"/>
    <s v="17917697053"/>
    <n v="221"/>
    <n v="0"/>
  </r>
  <r>
    <d v="2025-06-10T10:19:13"/>
    <n v="3889"/>
    <x v="172"/>
    <d v="2025-06-10T00:00:00"/>
    <d v="2025-10-30T00:00:00"/>
    <x v="0"/>
    <x v="1"/>
    <s v="510200"/>
    <x v="76"/>
    <x v="1"/>
    <s v="LT"/>
    <n v="65"/>
    <s v="5477"/>
    <s v="SAFRA 25/26"/>
    <n v="66"/>
    <n v="0"/>
    <n v="66"/>
    <n v="4290"/>
    <m/>
    <s v="NOVA SANTA HELENA"/>
    <s v="17917697053"/>
    <n v="65"/>
    <n v="0"/>
  </r>
  <r>
    <d v="2025-06-10T10:19:13"/>
    <n v="3889"/>
    <x v="172"/>
    <d v="2025-06-10T00:00:00"/>
    <d v="2025-10-30T00:00:00"/>
    <x v="0"/>
    <x v="1"/>
    <s v="510200"/>
    <x v="13"/>
    <x v="1"/>
    <s v="LT"/>
    <n v="42"/>
    <s v="5477"/>
    <s v="SAFRA 25/26"/>
    <n v="105"/>
    <n v="0"/>
    <n v="105"/>
    <n v="4410"/>
    <m/>
    <s v="NOVA SANTA HELENA"/>
    <s v="17917697053"/>
    <n v="42"/>
    <n v="0"/>
  </r>
  <r>
    <d v="2025-06-10T10:19:13"/>
    <n v="3889"/>
    <x v="172"/>
    <d v="2025-06-10T00:00:00"/>
    <d v="2025-10-30T00:00:00"/>
    <x v="0"/>
    <x v="1"/>
    <s v="510200"/>
    <x v="14"/>
    <x v="1"/>
    <s v="KG"/>
    <n v="347"/>
    <s v="5477"/>
    <s v="SAFRA 25/26"/>
    <n v="65"/>
    <n v="0"/>
    <n v="65"/>
    <n v="22555"/>
    <m/>
    <s v="NOVA SANTA HELENA"/>
    <s v="17917697053"/>
    <n v="347"/>
    <n v="0"/>
  </r>
  <r>
    <d v="2025-06-10T10:19:13"/>
    <n v="3889"/>
    <x v="172"/>
    <d v="2025-06-10T00:00:00"/>
    <d v="2025-10-30T00:00:00"/>
    <x v="0"/>
    <x v="1"/>
    <s v="510200"/>
    <x v="10"/>
    <x v="1"/>
    <s v="LT"/>
    <n v="320"/>
    <s v="5477"/>
    <s v="SAFRA 25/26"/>
    <n v="65"/>
    <n v="0"/>
    <n v="65"/>
    <n v="20800"/>
    <m/>
    <s v="NOVA SANTA HELENA"/>
    <s v="17917697053"/>
    <n v="320"/>
    <n v="0"/>
  </r>
  <r>
    <d v="2025-12-05T09:36:29"/>
    <n v="4329"/>
    <x v="172"/>
    <d v="2025-12-05T00:00:00"/>
    <d v="2026-03-30T00:00:00"/>
    <x v="0"/>
    <x v="1"/>
    <s v="510200"/>
    <x v="10"/>
    <x v="1"/>
    <s v="LT"/>
    <n v="320"/>
    <s v="5842"/>
    <s v="SAFRINHA 2026"/>
    <n v="130"/>
    <n v="0"/>
    <n v="130"/>
    <n v="41600"/>
    <m/>
    <s v="SORRISO"/>
    <s v="17917697053"/>
    <n v="320"/>
    <n v="0"/>
  </r>
  <r>
    <d v="2025-12-05T09:36:29"/>
    <n v="4329"/>
    <x v="172"/>
    <d v="2025-12-05T00:00:00"/>
    <d v="2026-03-30T00:00:00"/>
    <x v="0"/>
    <x v="1"/>
    <s v="510200"/>
    <x v="11"/>
    <x v="1"/>
    <s v="LT"/>
    <n v="320"/>
    <s v="5842"/>
    <s v="SAFRINHA 2026"/>
    <n v="130"/>
    <n v="0"/>
    <n v="130"/>
    <n v="41600"/>
    <m/>
    <s v="SORRISO"/>
    <s v="17917697053"/>
    <n v="320"/>
    <n v="0"/>
  </r>
  <r>
    <d v="2025-12-31T09:45:54"/>
    <n v="4397"/>
    <x v="172"/>
    <d v="2025-12-31T00:00:00"/>
    <d v="2026-03-30T00:00:00"/>
    <x v="0"/>
    <x v="1"/>
    <s v="510200"/>
    <x v="18"/>
    <x v="1"/>
    <s v="KG"/>
    <n v="175"/>
    <s v="5917"/>
    <s v="SAFRINHA 2026"/>
    <n v="250"/>
    <n v="0"/>
    <n v="250"/>
    <n v="43750"/>
    <m/>
    <s v="SORRISO"/>
    <s v="17917697053"/>
    <n v="175"/>
    <n v="0"/>
  </r>
  <r>
    <d v="2025-12-31T09:46:54"/>
    <n v="4398"/>
    <x v="172"/>
    <d v="2025-12-31T00:00:00"/>
    <d v="2026-03-30T00:00:00"/>
    <x v="0"/>
    <x v="1"/>
    <s v="510200"/>
    <x v="18"/>
    <x v="1"/>
    <s v="KG"/>
    <n v="175"/>
    <s v="5918"/>
    <s v="SAFRINHA 2026"/>
    <n v="100"/>
    <n v="0"/>
    <n v="100"/>
    <n v="17500"/>
    <m/>
    <s v="NOVA SANTA HELENA"/>
    <s v="17917697053"/>
    <n v="175"/>
    <n v="0"/>
  </r>
  <r>
    <d v="2026-01-06T10:21:38"/>
    <n v="4407"/>
    <x v="172"/>
    <d v="2026-01-06T00:00:00"/>
    <d v="2026-03-30T00:00:00"/>
    <x v="0"/>
    <x v="1"/>
    <s v="510200"/>
    <x v="9"/>
    <x v="1"/>
    <s v="LT"/>
    <n v="48"/>
    <s v="5920"/>
    <s v="SAFRINHA 2026"/>
    <n v="102"/>
    <n v="0"/>
    <n v="102"/>
    <n v="4896"/>
    <m/>
    <s v="NOVA SANTA HELENA"/>
    <s v="17917697053"/>
    <n v="48"/>
    <n v="0"/>
  </r>
  <r>
    <d v="2026-01-13T13:02:45"/>
    <n v="4439"/>
    <x v="172"/>
    <d v="2026-01-07T00:00:00"/>
    <d v="2026-04-30T00:00:00"/>
    <x v="0"/>
    <x v="0"/>
    <s v="510200"/>
    <x v="3"/>
    <x v="0"/>
    <s v="LT"/>
    <n v="22"/>
    <s v="5936"/>
    <s v="SAFRINHA 2026"/>
    <n v="640"/>
    <n v="0"/>
    <n v="640"/>
    <n v="14080"/>
    <m/>
    <s v="NOVA SANTA HELENA"/>
    <s v="17917697053"/>
    <n v="22"/>
    <n v="0"/>
  </r>
  <r>
    <d v="2026-01-13T13:08:53"/>
    <n v="4440"/>
    <x v="172"/>
    <d v="2026-01-07T00:00:00"/>
    <d v="2026-04-30T00:00:00"/>
    <x v="0"/>
    <x v="0"/>
    <s v="510200"/>
    <x v="3"/>
    <x v="0"/>
    <s v="LT"/>
    <n v="22"/>
    <s v="5934"/>
    <s v="SAFRINHA 2026"/>
    <n v="660"/>
    <n v="0"/>
    <n v="660"/>
    <n v="14520"/>
    <m/>
    <s v="SORRISO"/>
    <s v="17917697053"/>
    <n v="22"/>
    <n v="0"/>
  </r>
  <r>
    <d v="2026-03-04T09:53:13"/>
    <n v="4623"/>
    <x v="172"/>
    <d v="2026-03-04T00:00:00"/>
    <d v="2026-04-30T00:00:00"/>
    <x v="0"/>
    <x v="0"/>
    <s v="510200"/>
    <x v="3"/>
    <x v="0"/>
    <s v="LT"/>
    <n v="22"/>
    <s v="6112"/>
    <s v="SAFRINHA 2026"/>
    <n v="480"/>
    <n v="0"/>
    <n v="480"/>
    <n v="10560"/>
    <m/>
    <s v="NOVA SANTA HELENA"/>
    <s v="17917697053"/>
    <n v="22"/>
    <n v="0"/>
  </r>
  <r>
    <d v="2025-09-12T14:05:50"/>
    <n v="293"/>
    <x v="173"/>
    <d v="2025-09-12T00:00:00"/>
    <d v="2026-04-30T00:00:00"/>
    <x v="13"/>
    <x v="2"/>
    <s v="510200"/>
    <x v="11"/>
    <x v="1"/>
    <s v="LT"/>
    <n v="345"/>
    <s v="45"/>
    <s v="SAFRA 25/26"/>
    <n v="5"/>
    <n v="0"/>
    <n v="5"/>
    <n v="1725"/>
    <m/>
    <s v="UNIAO DO SUL"/>
    <s v="03999681136"/>
    <n v="345"/>
    <n v="0"/>
  </r>
  <r>
    <d v="2025-09-12T14:05:50"/>
    <n v="293"/>
    <x v="173"/>
    <d v="2025-09-12T00:00:00"/>
    <d v="2026-04-30T00:00:00"/>
    <x v="13"/>
    <x v="2"/>
    <s v="510200"/>
    <x v="13"/>
    <x v="1"/>
    <s v="LT"/>
    <n v="47"/>
    <s v="45"/>
    <s v="SAFRA 25/26"/>
    <n v="21"/>
    <n v="0"/>
    <n v="21"/>
    <n v="987"/>
    <m/>
    <s v="UNIAO DO SUL"/>
    <s v="03999681136"/>
    <n v="47"/>
    <n v="0"/>
  </r>
  <r>
    <d v="2025-09-12T14:05:50"/>
    <n v="293"/>
    <x v="173"/>
    <d v="2025-09-12T00:00:00"/>
    <d v="2026-04-30T00:00:00"/>
    <x v="13"/>
    <x v="2"/>
    <s v="510200"/>
    <x v="10"/>
    <x v="1"/>
    <s v="LT"/>
    <n v="345"/>
    <s v="45"/>
    <s v="SAFRA 25/26"/>
    <n v="5"/>
    <n v="0"/>
    <n v="5"/>
    <n v="1725"/>
    <m/>
    <s v="UNIAO DO SUL"/>
    <s v="03999681136"/>
    <n v="345"/>
    <n v="0"/>
  </r>
  <r>
    <d v="2025-09-12T14:05:50"/>
    <n v="293"/>
    <x v="173"/>
    <d v="2025-09-12T00:00:00"/>
    <d v="2026-04-30T00:00:00"/>
    <x v="13"/>
    <x v="0"/>
    <s v="510200"/>
    <x v="12"/>
    <x v="0"/>
    <s v="LT"/>
    <n v="240"/>
    <s v="45"/>
    <s v="SAFRA 25/26"/>
    <n v="10"/>
    <n v="0"/>
    <n v="10"/>
    <n v="2400"/>
    <m/>
    <s v="UNIAO DO SUL"/>
    <s v="03999681136"/>
    <n v="240"/>
    <n v="0"/>
  </r>
  <r>
    <d v="2025-09-12T14:05:50"/>
    <n v="293"/>
    <x v="173"/>
    <d v="2025-09-12T00:00:00"/>
    <d v="2026-04-30T00:00:00"/>
    <x v="13"/>
    <x v="2"/>
    <s v="510200"/>
    <x v="14"/>
    <x v="1"/>
    <s v="KG"/>
    <n v="400"/>
    <s v="45"/>
    <s v="SAFRA 25/26"/>
    <n v="5"/>
    <n v="0"/>
    <n v="5"/>
    <n v="2000"/>
    <m/>
    <s v="UNIAO DO SUL"/>
    <s v="03999681136"/>
    <n v="400"/>
    <n v="0"/>
  </r>
  <r>
    <d v="2025-09-12T14:05:50"/>
    <n v="293"/>
    <x v="173"/>
    <d v="2025-09-12T00:00:00"/>
    <d v="2026-04-30T00:00:00"/>
    <x v="13"/>
    <x v="2"/>
    <s v="510200"/>
    <x v="9"/>
    <x v="1"/>
    <s v="LT"/>
    <n v="54"/>
    <s v="45"/>
    <s v="SAFRA 25/26"/>
    <n v="12"/>
    <n v="0"/>
    <n v="12"/>
    <n v="648"/>
    <m/>
    <s v="UNIAO DO SUL"/>
    <s v="03999681136"/>
    <n v="54"/>
    <n v="0"/>
  </r>
  <r>
    <d v="2025-09-12T14:09:48"/>
    <n v="294"/>
    <x v="173"/>
    <d v="2025-09-12T00:00:00"/>
    <d v="2026-08-30T00:00:00"/>
    <x v="13"/>
    <x v="2"/>
    <s v="510200"/>
    <x v="14"/>
    <x v="1"/>
    <s v="KG"/>
    <n v="400"/>
    <s v="46"/>
    <s v="SAFRINHA 2026"/>
    <n v="8"/>
    <n v="0"/>
    <n v="8"/>
    <n v="3200"/>
    <m/>
    <s v="UNIAO DO SUL"/>
    <s v="03999681136"/>
    <n v="400"/>
    <n v="0"/>
  </r>
  <r>
    <d v="2025-09-12T14:09:48"/>
    <n v="294"/>
    <x v="173"/>
    <d v="2025-09-12T00:00:00"/>
    <d v="2026-08-30T00:00:00"/>
    <x v="13"/>
    <x v="0"/>
    <s v="510200"/>
    <x v="19"/>
    <x v="0"/>
    <s v="LT"/>
    <n v="950"/>
    <s v="46"/>
    <s v="SAFRINHA 2026"/>
    <n v="4"/>
    <n v="0"/>
    <n v="4"/>
    <n v="3800"/>
    <m/>
    <s v="UNIAO DO SUL"/>
    <s v="03999681136"/>
    <n v="950"/>
    <n v="0"/>
  </r>
  <r>
    <d v="2025-09-12T14:09:48"/>
    <n v="294"/>
    <x v="173"/>
    <d v="2025-09-12T00:00:00"/>
    <d v="2026-08-30T00:00:00"/>
    <x v="13"/>
    <x v="2"/>
    <s v="510200"/>
    <x v="9"/>
    <x v="1"/>
    <s v="LT"/>
    <n v="54"/>
    <s v="46"/>
    <s v="SAFRINHA 2026"/>
    <n v="42"/>
    <n v="0"/>
    <n v="42"/>
    <n v="2268"/>
    <m/>
    <s v="UNIAO DO SUL"/>
    <s v="03999681136"/>
    <n v="54"/>
    <n v="0"/>
  </r>
  <r>
    <d v="2025-09-12T14:09:48"/>
    <n v="294"/>
    <x v="173"/>
    <d v="2025-09-12T00:00:00"/>
    <d v="2026-08-30T00:00:00"/>
    <x v="13"/>
    <x v="2"/>
    <s v="510200"/>
    <x v="11"/>
    <x v="1"/>
    <s v="LT"/>
    <n v="345"/>
    <s v="46"/>
    <s v="SAFRINHA 2026"/>
    <n v="4"/>
    <n v="0"/>
    <n v="4"/>
    <n v="1380"/>
    <m/>
    <s v="UNIAO DO SUL"/>
    <s v="03999681136"/>
    <n v="345"/>
    <n v="0"/>
  </r>
  <r>
    <d v="2025-09-12T14:09:48"/>
    <n v="294"/>
    <x v="173"/>
    <d v="2025-09-12T00:00:00"/>
    <d v="2026-08-30T00:00:00"/>
    <x v="13"/>
    <x v="2"/>
    <s v="510200"/>
    <x v="10"/>
    <x v="1"/>
    <s v="LT"/>
    <n v="345"/>
    <s v="46"/>
    <s v="SAFRINHA 2026"/>
    <n v="4"/>
    <n v="0"/>
    <n v="4"/>
    <n v="1380"/>
    <m/>
    <s v="UNIAO DO SUL"/>
    <s v="03999681136"/>
    <n v="345"/>
    <n v="0"/>
  </r>
  <r>
    <d v="2025-09-12T14:22:38"/>
    <n v="295"/>
    <x v="173"/>
    <d v="2025-09-12T00:00:00"/>
    <d v="2026-04-30T00:00:00"/>
    <x v="13"/>
    <x v="0"/>
    <s v="510200"/>
    <x v="39"/>
    <x v="0"/>
    <s v="LT"/>
    <n v="19.5"/>
    <s v="50"/>
    <s v="SAFRA 25/26"/>
    <n v="40"/>
    <n v="0"/>
    <n v="40"/>
    <n v="780"/>
    <m/>
    <s v="UNIAO DO SUL"/>
    <s v="03999681136"/>
    <n v="19.5"/>
    <n v="0"/>
  </r>
  <r>
    <d v="2025-09-12T14:22:38"/>
    <n v="295"/>
    <x v="173"/>
    <d v="2025-09-12T00:00:00"/>
    <d v="2026-04-30T00:00:00"/>
    <x v="13"/>
    <x v="0"/>
    <s v="510200"/>
    <x v="5"/>
    <x v="0"/>
    <s v="KG"/>
    <n v="25"/>
    <s v="50"/>
    <s v="SAFRA 25/26"/>
    <n v="200"/>
    <n v="0"/>
    <n v="200"/>
    <n v="5000"/>
    <m/>
    <s v="UNIAO DO SUL"/>
    <s v="03999681136"/>
    <n v="25"/>
    <n v="0"/>
  </r>
  <r>
    <d v="2025-09-12T14:22:38"/>
    <n v="295"/>
    <x v="173"/>
    <d v="2025-09-12T00:00:00"/>
    <d v="2026-04-30T00:00:00"/>
    <x v="13"/>
    <x v="0"/>
    <s v="510200"/>
    <x v="3"/>
    <x v="0"/>
    <s v="LT"/>
    <n v="24"/>
    <s v="50"/>
    <s v="SAFRA 25/26"/>
    <n v="120"/>
    <n v="0"/>
    <n v="120"/>
    <n v="2880"/>
    <m/>
    <s v="UNIAO DO SUL"/>
    <s v="03999681136"/>
    <n v="24"/>
    <n v="0"/>
  </r>
  <r>
    <d v="2025-09-12T14:22:38"/>
    <n v="295"/>
    <x v="173"/>
    <d v="2025-09-12T00:00:00"/>
    <d v="2026-04-30T00:00:00"/>
    <x v="13"/>
    <x v="0"/>
    <s v="510200"/>
    <x v="46"/>
    <x v="0"/>
    <s v="LT"/>
    <n v="17.5"/>
    <s v="50"/>
    <s v="SAFRA 25/26"/>
    <n v="300"/>
    <n v="0"/>
    <n v="300"/>
    <n v="5250"/>
    <m/>
    <s v="UNIAO DO SUL"/>
    <s v="03999681136"/>
    <n v="17.5"/>
    <n v="0"/>
  </r>
  <r>
    <d v="2025-09-12T14:22:38"/>
    <n v="295"/>
    <x v="173"/>
    <d v="2025-09-12T00:00:00"/>
    <d v="2026-04-30T00:00:00"/>
    <x v="13"/>
    <x v="0"/>
    <s v="510200"/>
    <x v="0"/>
    <x v="0"/>
    <s v="LT"/>
    <n v="14"/>
    <s v="50"/>
    <s v="SAFRA 25/26"/>
    <n v="160"/>
    <n v="0"/>
    <n v="160"/>
    <n v="2240"/>
    <m/>
    <s v="UNIAO DO SUL"/>
    <s v="03999681136"/>
    <n v="14"/>
    <n v="0"/>
  </r>
  <r>
    <d v="2025-09-12T14:22:38"/>
    <n v="295"/>
    <x v="173"/>
    <d v="2025-09-12T00:00:00"/>
    <d v="2026-04-30T00:00:00"/>
    <x v="13"/>
    <x v="0"/>
    <s v="510200"/>
    <x v="2"/>
    <x v="0"/>
    <s v="KG"/>
    <n v="22.5"/>
    <s v="50"/>
    <s v="SAFRA 25/26"/>
    <n v="240"/>
    <n v="0"/>
    <n v="240"/>
    <n v="5400"/>
    <m/>
    <s v="UNIAO DO SUL"/>
    <s v="03999681136"/>
    <n v="22.5"/>
    <n v="0"/>
  </r>
  <r>
    <d v="2025-09-12T14:22:38"/>
    <n v="295"/>
    <x v="173"/>
    <d v="2025-09-12T00:00:00"/>
    <d v="2026-04-30T00:00:00"/>
    <x v="13"/>
    <x v="0"/>
    <s v="510200"/>
    <x v="8"/>
    <x v="0"/>
    <s v="KG"/>
    <n v="80"/>
    <s v="50"/>
    <s v="SAFRA 25/26"/>
    <n v="30"/>
    <n v="0"/>
    <n v="30"/>
    <n v="2400"/>
    <m/>
    <s v="UNIAO DO SUL"/>
    <s v="03999681136"/>
    <n v="80"/>
    <n v="0"/>
  </r>
  <r>
    <d v="2025-09-12T14:22:38"/>
    <n v="295"/>
    <x v="173"/>
    <d v="2025-09-12T00:00:00"/>
    <d v="2026-04-30T00:00:00"/>
    <x v="13"/>
    <x v="0"/>
    <s v="510200"/>
    <x v="1"/>
    <x v="0"/>
    <s v="LT"/>
    <n v="157"/>
    <s v="50"/>
    <s v="SAFRA 25/26"/>
    <n v="60"/>
    <n v="0"/>
    <n v="60"/>
    <n v="9420"/>
    <m/>
    <s v="UNIAO DO SUL"/>
    <s v="03999681136"/>
    <n v="157"/>
    <n v="0"/>
  </r>
  <r>
    <d v="2025-09-12T14:28:13"/>
    <n v="296"/>
    <x v="173"/>
    <d v="2025-09-12T00:00:00"/>
    <d v="2026-08-30T00:00:00"/>
    <x v="13"/>
    <x v="0"/>
    <s v="510200"/>
    <x v="1"/>
    <x v="0"/>
    <s v="LT"/>
    <n v="160"/>
    <s v="49"/>
    <s v="SAFRINHA 2026"/>
    <n v="40"/>
    <n v="0"/>
    <n v="40"/>
    <n v="6400"/>
    <m/>
    <s v="UNIAO DO SUL"/>
    <s v="03999681136"/>
    <n v="160"/>
    <n v="0"/>
  </r>
  <r>
    <d v="2025-09-12T14:28:13"/>
    <n v="296"/>
    <x v="173"/>
    <d v="2025-09-12T00:00:00"/>
    <d v="2026-08-30T00:00:00"/>
    <x v="13"/>
    <x v="0"/>
    <s v="510200"/>
    <x v="2"/>
    <x v="0"/>
    <s v="KG"/>
    <n v="22.5"/>
    <s v="49"/>
    <s v="SAFRINHA 2026"/>
    <n v="400"/>
    <n v="0"/>
    <n v="400"/>
    <n v="9000"/>
    <m/>
    <s v="UNIAO DO SUL"/>
    <s v="03999681136"/>
    <n v="22.5"/>
    <n v="0"/>
  </r>
  <r>
    <d v="2025-09-12T14:28:13"/>
    <n v="296"/>
    <x v="173"/>
    <d v="2025-09-12T00:00:00"/>
    <d v="2026-08-30T00:00:00"/>
    <x v="13"/>
    <x v="0"/>
    <s v="510200"/>
    <x v="78"/>
    <x v="0"/>
    <s v="KG"/>
    <n v="28"/>
    <s v="49"/>
    <s v="SAFRINHA 2026"/>
    <n v="200"/>
    <n v="0"/>
    <n v="200"/>
    <n v="5600"/>
    <m/>
    <s v="UNIAO DO SUL"/>
    <s v="03999681136"/>
    <n v="28"/>
    <n v="0"/>
  </r>
  <r>
    <d v="2025-09-12T14:28:13"/>
    <n v="296"/>
    <x v="173"/>
    <d v="2025-09-12T00:00:00"/>
    <d v="2026-08-30T00:00:00"/>
    <x v="13"/>
    <x v="0"/>
    <s v="510200"/>
    <x v="46"/>
    <x v="0"/>
    <s v="LT"/>
    <n v="17.5"/>
    <s v="49"/>
    <s v="SAFRINHA 2026"/>
    <n v="200"/>
    <n v="0"/>
    <n v="200"/>
    <n v="3500"/>
    <m/>
    <s v="UNIAO DO SUL"/>
    <s v="03999681136"/>
    <n v="17.5"/>
    <n v="0"/>
  </r>
  <r>
    <d v="2025-10-18T11:43:51"/>
    <n v="366"/>
    <x v="173"/>
    <d v="2025-10-18T00:00:00"/>
    <d v="2026-04-30T00:00:00"/>
    <x v="13"/>
    <x v="2"/>
    <s v="510200"/>
    <x v="11"/>
    <x v="1"/>
    <s v="LT"/>
    <n v="300"/>
    <s v="401"/>
    <s v="SAFRA 25/26"/>
    <n v="50"/>
    <n v="0"/>
    <n v="50"/>
    <n v="15000"/>
    <m/>
    <s v="UNIAO DO SUL"/>
    <s v="03999681136"/>
    <n v="300"/>
    <n v="0"/>
  </r>
  <r>
    <d v="2025-10-24T09:15:44"/>
    <n v="381"/>
    <x v="173"/>
    <d v="2025-10-24T00:00:00"/>
    <d v="2026-04-30T00:00:00"/>
    <x v="13"/>
    <x v="0"/>
    <s v="510200"/>
    <x v="7"/>
    <x v="0"/>
    <s v="LT"/>
    <n v="67"/>
    <s v="403"/>
    <s v="SAFRA 25/26"/>
    <n v="140"/>
    <n v="0"/>
    <n v="140"/>
    <n v="9380"/>
    <m/>
    <s v="UNIAO DO SUL"/>
    <s v="03999681136"/>
    <n v="67"/>
    <n v="0"/>
  </r>
  <r>
    <d v="2025-10-24T09:15:44"/>
    <n v="381"/>
    <x v="173"/>
    <d v="2025-10-24T00:00:00"/>
    <d v="2026-04-30T00:00:00"/>
    <x v="13"/>
    <x v="0"/>
    <s v="510200"/>
    <x v="6"/>
    <x v="0"/>
    <s v="LT"/>
    <n v="67"/>
    <s v="403"/>
    <s v="SAFRA 25/26"/>
    <n v="40"/>
    <n v="0"/>
    <n v="40"/>
    <n v="2680"/>
    <m/>
    <s v="UNIAO DO SUL"/>
    <s v="03999681136"/>
    <n v="67"/>
    <n v="0"/>
  </r>
  <r>
    <d v="2025-11-13T07:17:42"/>
    <n v="410"/>
    <x v="173"/>
    <d v="2025-11-13T00:00:00"/>
    <d v="2026-04-30T00:00:00"/>
    <x v="13"/>
    <x v="0"/>
    <s v="510200"/>
    <x v="6"/>
    <x v="0"/>
    <s v="LT"/>
    <n v="67"/>
    <s v="413"/>
    <s v="SAFRA 25/26"/>
    <n v="100"/>
    <n v="0"/>
    <n v="100"/>
    <n v="6700"/>
    <m/>
    <s v="UNIAO DO SUL"/>
    <s v="03999681136"/>
    <n v="67"/>
    <n v="0"/>
  </r>
  <r>
    <d v="2025-09-17T10:57:18"/>
    <n v="4046"/>
    <x v="174"/>
    <d v="2025-09-17T00:00:00"/>
    <d v="2025-11-30T00:00:00"/>
    <x v="3"/>
    <x v="1"/>
    <s v="510200"/>
    <x v="18"/>
    <x v="1"/>
    <s v="KG"/>
    <n v="170"/>
    <s v="5617"/>
    <s v="SAFRA 25/26"/>
    <n v="60"/>
    <n v="0"/>
    <n v="60"/>
    <n v="10200"/>
    <m/>
    <s v="NOVA MUTUM"/>
    <s v="48820784904"/>
    <n v="170"/>
    <n v="0"/>
  </r>
  <r>
    <d v="2025-09-17T10:58:29"/>
    <n v="4047"/>
    <x v="174"/>
    <d v="2025-09-17T00:00:00"/>
    <d v="2025-11-30T00:00:00"/>
    <x v="3"/>
    <x v="1"/>
    <s v="510200"/>
    <x v="18"/>
    <x v="1"/>
    <s v="KG"/>
    <n v="170"/>
    <s v="5618"/>
    <s v="SAFRA 25/26"/>
    <n v="120"/>
    <n v="0"/>
    <n v="120"/>
    <n v="20400"/>
    <m/>
    <s v="LUCAS DO RIO VERDE"/>
    <s v="48820784904"/>
    <n v="170"/>
    <n v="0"/>
  </r>
  <r>
    <d v="2025-10-18T11:16:10"/>
    <n v="4178"/>
    <x v="174"/>
    <d v="2025-10-18T00:00:00"/>
    <d v="2025-11-30T00:00:00"/>
    <x v="7"/>
    <x v="1"/>
    <s v="510200"/>
    <x v="18"/>
    <x v="1"/>
    <s v="KG"/>
    <n v="170"/>
    <s v="5697"/>
    <s v="SAFRA 25/26"/>
    <n v="15"/>
    <n v="0"/>
    <n v="15"/>
    <n v="2550"/>
    <m/>
    <s v="NOVA MUTUM"/>
    <s v="48820784904"/>
    <n v="170"/>
    <n v="0"/>
  </r>
  <r>
    <d v="2025-05-14T09:26:33"/>
    <n v="219"/>
    <x v="175"/>
    <d v="2025-05-14T00:00:00"/>
    <d v="2026-05-30T00:00:00"/>
    <x v="13"/>
    <x v="0"/>
    <s v="510200"/>
    <x v="44"/>
    <x v="0"/>
    <s v="KG"/>
    <n v="110"/>
    <m/>
    <s v="SAFRA 25/26"/>
    <n v="1000"/>
    <n v="0"/>
    <n v="1000"/>
    <n v="110000"/>
    <m/>
    <s v="NOVA CANAA DO NORTE"/>
    <s v="08738866900"/>
    <n v="110"/>
    <n v="0"/>
  </r>
  <r>
    <d v="2025-05-14T09:26:33"/>
    <n v="219"/>
    <x v="175"/>
    <d v="2025-05-14T00:00:00"/>
    <d v="2026-05-30T00:00:00"/>
    <x v="13"/>
    <x v="0"/>
    <s v="510200"/>
    <x v="115"/>
    <x v="2"/>
    <s v="LT"/>
    <n v="166.65"/>
    <m/>
    <s v="SAFRA 25/26"/>
    <n v="1002"/>
    <n v="0"/>
    <n v="1002"/>
    <n v="166983.30000000002"/>
    <m/>
    <s v="NOVA CANAA DO NORTE"/>
    <s v="08738866900"/>
    <n v="166.65"/>
    <n v="0"/>
  </r>
  <r>
    <d v="2025-05-14T09:32:30"/>
    <n v="220"/>
    <x v="175"/>
    <d v="2025-05-14T00:00:00"/>
    <d v="2026-09-30T00:00:00"/>
    <x v="13"/>
    <x v="2"/>
    <s v="510200"/>
    <x v="9"/>
    <x v="1"/>
    <s v="LT"/>
    <n v="46.5"/>
    <s v="5218"/>
    <s v="SAFRINHA 2026"/>
    <n v="750"/>
    <n v="0"/>
    <n v="750"/>
    <n v="34875"/>
    <m/>
    <s v="NOVA CANAA DO NORTE"/>
    <s v="08738866900"/>
    <n v="46.5"/>
    <n v="0"/>
  </r>
  <r>
    <d v="2025-05-14T09:32:30"/>
    <n v="220"/>
    <x v="175"/>
    <d v="2025-05-14T00:00:00"/>
    <d v="2026-09-30T00:00:00"/>
    <x v="13"/>
    <x v="0"/>
    <s v="510200"/>
    <x v="116"/>
    <x v="2"/>
    <s v="KG"/>
    <n v="75"/>
    <s v="5218"/>
    <s v="SAFRINHA 2026"/>
    <n v="750"/>
    <n v="0"/>
    <n v="750"/>
    <n v="56250"/>
    <m/>
    <s v="NOVA CANAA DO NORTE"/>
    <s v="08738866900"/>
    <n v="75"/>
    <n v="0"/>
  </r>
  <r>
    <d v="2025-06-25T15:41:53"/>
    <n v="240"/>
    <x v="175"/>
    <d v="2025-06-25T00:00:00"/>
    <d v="2026-05-15T00:00:00"/>
    <x v="13"/>
    <x v="0"/>
    <s v="510200"/>
    <x v="6"/>
    <x v="0"/>
    <s v="LT"/>
    <n v="67"/>
    <s v="26"/>
    <s v="SAFRA 25/26"/>
    <n v="680"/>
    <n v="0"/>
    <n v="680"/>
    <n v="45560"/>
    <m/>
    <s v="NOVA CANAA DO NORTE"/>
    <s v="08738866900"/>
    <n v="67"/>
    <n v="0"/>
  </r>
  <r>
    <d v="2025-06-25T15:41:53"/>
    <n v="240"/>
    <x v="175"/>
    <d v="2025-06-25T00:00:00"/>
    <d v="2026-05-15T00:00:00"/>
    <x v="13"/>
    <x v="0"/>
    <s v="510200"/>
    <x v="12"/>
    <x v="0"/>
    <s v="LT"/>
    <n v="210"/>
    <s v="26"/>
    <s v="SAFRA 25/26"/>
    <n v="500"/>
    <n v="0"/>
    <n v="500"/>
    <n v="105000"/>
    <m/>
    <s v="NOVA CANAA DO NORTE"/>
    <s v="08738866900"/>
    <n v="210"/>
    <n v="0"/>
  </r>
  <r>
    <d v="2025-06-25T15:41:53"/>
    <n v="240"/>
    <x v="175"/>
    <d v="2025-06-25T00:00:00"/>
    <d v="2026-05-15T00:00:00"/>
    <x v="13"/>
    <x v="2"/>
    <s v="510200"/>
    <x v="14"/>
    <x v="1"/>
    <s v="KG"/>
    <n v="360"/>
    <s v="26"/>
    <s v="SAFRA 25/26"/>
    <n v="250"/>
    <n v="0"/>
    <n v="250"/>
    <n v="90000"/>
    <m/>
    <s v="NOVA CANAA DO NORTE"/>
    <s v="08738866900"/>
    <n v="360"/>
    <n v="0"/>
  </r>
  <r>
    <d v="2025-06-25T15:41:53"/>
    <n v="240"/>
    <x v="175"/>
    <d v="2025-06-25T00:00:00"/>
    <d v="2026-05-15T00:00:00"/>
    <x v="13"/>
    <x v="2"/>
    <s v="510200"/>
    <x v="9"/>
    <x v="1"/>
    <s v="LT"/>
    <n v="46.5"/>
    <s v="26"/>
    <s v="SAFRA 25/26"/>
    <n v="504"/>
    <n v="0"/>
    <n v="504"/>
    <n v="23436"/>
    <m/>
    <s v="NOVA CANAA DO NORTE"/>
    <s v="08738866900"/>
    <n v="46.5"/>
    <n v="0"/>
  </r>
  <r>
    <d v="2025-06-25T15:41:53"/>
    <n v="240"/>
    <x v="175"/>
    <d v="2025-06-25T00:00:00"/>
    <d v="2026-05-15T00:00:00"/>
    <x v="13"/>
    <x v="0"/>
    <s v="510200"/>
    <x v="7"/>
    <x v="0"/>
    <s v="LT"/>
    <n v="67"/>
    <s v="26"/>
    <s v="SAFRA 25/26"/>
    <n v="560"/>
    <n v="0"/>
    <n v="560"/>
    <n v="37520"/>
    <m/>
    <s v="NOVA CANAA DO NORTE"/>
    <s v="08738866900"/>
    <n v="67"/>
    <n v="0"/>
  </r>
  <r>
    <d v="2025-06-25T15:41:53"/>
    <n v="240"/>
    <x v="175"/>
    <d v="2025-06-25T00:00:00"/>
    <d v="2026-05-15T00:00:00"/>
    <x v="13"/>
    <x v="2"/>
    <s v="510200"/>
    <x v="10"/>
    <x v="1"/>
    <s v="LT"/>
    <n v="300"/>
    <s v="26"/>
    <s v="SAFRA 25/26"/>
    <n v="250"/>
    <n v="0"/>
    <n v="250"/>
    <n v="75000"/>
    <m/>
    <s v="NOVA CANAA DO NORTE"/>
    <s v="08738866900"/>
    <n v="300"/>
    <n v="0"/>
  </r>
  <r>
    <d v="2025-06-25T15:41:53"/>
    <n v="240"/>
    <x v="175"/>
    <d v="2025-06-25T00:00:00"/>
    <d v="2026-05-15T00:00:00"/>
    <x v="13"/>
    <x v="2"/>
    <s v="510200"/>
    <x v="11"/>
    <x v="1"/>
    <s v="LT"/>
    <n v="300"/>
    <s v="26"/>
    <s v="SAFRA 25/26"/>
    <n v="250"/>
    <n v="0"/>
    <n v="250"/>
    <n v="75000"/>
    <m/>
    <s v="NOVA CANAA DO NORTE"/>
    <s v="08738866900"/>
    <n v="300"/>
    <n v="0"/>
  </r>
  <r>
    <d v="2025-06-25T15:41:53"/>
    <n v="240"/>
    <x v="175"/>
    <d v="2025-06-25T00:00:00"/>
    <d v="2026-05-15T00:00:00"/>
    <x v="13"/>
    <x v="2"/>
    <s v="510200"/>
    <x v="13"/>
    <x v="1"/>
    <s v="LT"/>
    <n v="42.25"/>
    <s v="26"/>
    <s v="SAFRA 25/26"/>
    <n v="2976"/>
    <n v="0"/>
    <n v="2976"/>
    <n v="125736"/>
    <m/>
    <s v="NOVA CANAA DO NORTE"/>
    <s v="08738866900"/>
    <n v="42.25"/>
    <n v="0"/>
  </r>
  <r>
    <d v="2025-06-25T15:41:53"/>
    <n v="240"/>
    <x v="175"/>
    <d v="2025-06-25T00:00:00"/>
    <d v="2026-05-15T00:00:00"/>
    <x v="13"/>
    <x v="0"/>
    <s v="510200"/>
    <x v="64"/>
    <x v="2"/>
    <s v="LT"/>
    <n v="12.8"/>
    <s v="26"/>
    <s v="SAFRA 25/26"/>
    <n v="2000"/>
    <n v="0"/>
    <n v="2000"/>
    <n v="25600"/>
    <m/>
    <s v="NOVA CANAA DO NORTE"/>
    <s v="08738866900"/>
    <n v="12.8"/>
    <n v="0"/>
  </r>
  <r>
    <d v="2025-07-15T16:13:25"/>
    <n v="249"/>
    <x v="175"/>
    <d v="2025-07-15T00:00:00"/>
    <d v="2026-09-30T00:00:00"/>
    <x v="13"/>
    <x v="0"/>
    <s v="510200"/>
    <x v="64"/>
    <x v="2"/>
    <s v="LT"/>
    <n v="12.8"/>
    <s v="30"/>
    <s v="SAFRINHA 2026"/>
    <n v="900"/>
    <n v="0"/>
    <n v="900"/>
    <n v="11520"/>
    <m/>
    <s v="NOVA CANAA DO NORTE"/>
    <s v="08738866900"/>
    <n v="12.8"/>
    <n v="0"/>
  </r>
  <r>
    <d v="2025-07-15T16:13:25"/>
    <n v="249"/>
    <x v="175"/>
    <d v="2025-07-15T00:00:00"/>
    <d v="2026-09-30T00:00:00"/>
    <x v="13"/>
    <x v="2"/>
    <s v="510200"/>
    <x v="14"/>
    <x v="1"/>
    <s v="KG"/>
    <n v="360"/>
    <s v="30"/>
    <s v="SAFRINHA 2026"/>
    <n v="120"/>
    <n v="0"/>
    <n v="120"/>
    <n v="43200"/>
    <m/>
    <s v="NOVA CANAA DO NORTE"/>
    <s v="08738866900"/>
    <n v="360"/>
    <n v="0"/>
  </r>
  <r>
    <d v="2025-07-15T16:13:25"/>
    <n v="249"/>
    <x v="175"/>
    <d v="2025-07-15T00:00:00"/>
    <d v="2026-09-30T00:00:00"/>
    <x v="13"/>
    <x v="0"/>
    <s v="510200"/>
    <x v="12"/>
    <x v="0"/>
    <s v="LT"/>
    <n v="210"/>
    <s v="30"/>
    <s v="SAFRINHA 2026"/>
    <n v="230"/>
    <n v="0"/>
    <n v="230"/>
    <n v="48300"/>
    <m/>
    <s v="NOVA CANAA DO NORTE"/>
    <s v="08738866900"/>
    <n v="210"/>
    <n v="0"/>
  </r>
  <r>
    <d v="2025-07-15T16:13:25"/>
    <n v="249"/>
    <x v="175"/>
    <d v="2025-07-15T00:00:00"/>
    <d v="2026-09-30T00:00:00"/>
    <x v="13"/>
    <x v="2"/>
    <s v="510200"/>
    <x v="11"/>
    <x v="1"/>
    <s v="LT"/>
    <n v="300"/>
    <s v="30"/>
    <s v="SAFRINHA 2026"/>
    <n v="120"/>
    <n v="0"/>
    <n v="120"/>
    <n v="36000"/>
    <m/>
    <s v="NOVA CANAA DO NORTE"/>
    <s v="08738866900"/>
    <n v="300"/>
    <n v="0"/>
  </r>
  <r>
    <d v="2025-07-15T16:13:25"/>
    <n v="249"/>
    <x v="175"/>
    <d v="2025-07-15T00:00:00"/>
    <d v="2026-09-30T00:00:00"/>
    <x v="13"/>
    <x v="2"/>
    <s v="510200"/>
    <x v="10"/>
    <x v="1"/>
    <s v="LT"/>
    <n v="300"/>
    <s v="30"/>
    <s v="SAFRINHA 2026"/>
    <n v="120"/>
    <n v="0"/>
    <n v="120"/>
    <n v="36000"/>
    <m/>
    <s v="NOVA CANAA DO NORTE"/>
    <s v="08738866900"/>
    <n v="300"/>
    <n v="0"/>
  </r>
  <r>
    <d v="2025-07-15T16:13:25"/>
    <n v="249"/>
    <x v="175"/>
    <d v="2025-07-15T00:00:00"/>
    <d v="2026-09-30T00:00:00"/>
    <x v="13"/>
    <x v="2"/>
    <s v="510200"/>
    <x v="9"/>
    <x v="1"/>
    <s v="LT"/>
    <n v="46.5"/>
    <s v="30"/>
    <s v="SAFRINHA 2026"/>
    <n v="240"/>
    <n v="0"/>
    <n v="240"/>
    <n v="11160"/>
    <m/>
    <s v="NOVA CANAA DO NORTE"/>
    <s v="08738866900"/>
    <n v="46.5"/>
    <n v="0"/>
  </r>
  <r>
    <d v="2025-09-05T14:36:01"/>
    <n v="286"/>
    <x v="175"/>
    <d v="2025-09-05T00:00:00"/>
    <d v="2026-04-30T00:00:00"/>
    <x v="13"/>
    <x v="0"/>
    <s v="510200"/>
    <x v="117"/>
    <x v="2"/>
    <s v="SC"/>
    <n v="610"/>
    <s v="44"/>
    <s v="SAFRINHA 2026"/>
    <n v="150"/>
    <n v="0"/>
    <n v="150"/>
    <n v="91500"/>
    <m/>
    <s v="NOVA CANAA DO NORTE"/>
    <s v="08738866900"/>
    <n v="610"/>
    <n v="0"/>
  </r>
  <r>
    <d v="2025-10-28T10:52:37"/>
    <n v="391"/>
    <x v="175"/>
    <d v="2025-10-28T00:00:00"/>
    <d v="2026-09-30T00:00:00"/>
    <x v="13"/>
    <x v="0"/>
    <s v="510200"/>
    <x v="6"/>
    <x v="0"/>
    <s v="LT"/>
    <n v="65"/>
    <s v="405"/>
    <s v="SAFRINHA 2026"/>
    <n v="120"/>
    <n v="0"/>
    <n v="120"/>
    <n v="7800"/>
    <m/>
    <s v="NOVA CANAA DO NORTE"/>
    <s v="08738866900"/>
    <n v="65"/>
    <n v="0"/>
  </r>
  <r>
    <d v="2025-10-28T10:52:37"/>
    <n v="391"/>
    <x v="175"/>
    <d v="2025-10-28T00:00:00"/>
    <d v="2026-09-30T00:00:00"/>
    <x v="13"/>
    <x v="0"/>
    <s v="510200"/>
    <x v="7"/>
    <x v="0"/>
    <s v="LT"/>
    <n v="65"/>
    <s v="405"/>
    <s v="SAFRINHA 2026"/>
    <n v="180"/>
    <n v="0"/>
    <n v="180"/>
    <n v="11700"/>
    <m/>
    <s v="NOVA CANAA DO NORTE"/>
    <s v="08738866900"/>
    <n v="65"/>
    <n v="0"/>
  </r>
  <r>
    <d v="2025-11-03T09:15:01"/>
    <n v="395"/>
    <x v="175"/>
    <d v="2025-11-03T00:00:00"/>
    <d v="2026-05-15T00:00:00"/>
    <x v="13"/>
    <x v="0"/>
    <s v="510200"/>
    <x v="99"/>
    <x v="2"/>
    <s v="LT"/>
    <n v="29.166699999999999"/>
    <s v="406"/>
    <s v="SAFRA 25/26"/>
    <n v="360"/>
    <n v="0"/>
    <n v="360"/>
    <n v="10500.011999999999"/>
    <m/>
    <s v="NOVA CANAA DO NORTE"/>
    <s v="08738866900"/>
    <n v="29.166699999999999"/>
    <n v="0"/>
  </r>
  <r>
    <d v="2025-11-10T10:10:13"/>
    <n v="406"/>
    <x v="175"/>
    <d v="2025-11-10T00:00:00"/>
    <d v="2026-05-15T00:00:00"/>
    <x v="13"/>
    <x v="0"/>
    <s v="510200"/>
    <x v="46"/>
    <x v="0"/>
    <s v="LT"/>
    <n v="14.5"/>
    <s v="411"/>
    <s v="SAFRA 25/26"/>
    <n v="5300"/>
    <n v="0"/>
    <n v="5300"/>
    <n v="76850"/>
    <m/>
    <s v="NOVA CANAA DO NORTE"/>
    <s v="08738866900"/>
    <n v="14.5"/>
    <n v="0"/>
  </r>
  <r>
    <d v="2025-11-10T10:10:13"/>
    <n v="406"/>
    <x v="175"/>
    <d v="2025-11-10T00:00:00"/>
    <d v="2026-05-15T00:00:00"/>
    <x v="13"/>
    <x v="0"/>
    <s v="510200"/>
    <x v="31"/>
    <x v="0"/>
    <s v="LT"/>
    <n v="175"/>
    <s v="411"/>
    <s v="SAFRA 25/26"/>
    <n v="12"/>
    <n v="0"/>
    <n v="12"/>
    <n v="2100"/>
    <m/>
    <s v="NOVA CANAA DO NORTE"/>
    <s v="08738866900"/>
    <n v="175"/>
    <n v="0"/>
  </r>
  <r>
    <d v="2025-11-10T10:10:13"/>
    <n v="406"/>
    <x v="175"/>
    <d v="2025-11-10T00:00:00"/>
    <d v="2026-05-15T00:00:00"/>
    <x v="13"/>
    <x v="0"/>
    <s v="510200"/>
    <x v="39"/>
    <x v="0"/>
    <s v="LT"/>
    <n v="18.600000000000001"/>
    <s v="411"/>
    <s v="SAFRA 25/26"/>
    <n v="400"/>
    <n v="0"/>
    <n v="400"/>
    <n v="7440.0000000000009"/>
    <m/>
    <s v="NOVA CANAA DO NORTE"/>
    <s v="08738866900"/>
    <n v="18.600000000000001"/>
    <n v="0"/>
  </r>
  <r>
    <d v="2025-11-26T16:12:59"/>
    <n v="428"/>
    <x v="175"/>
    <d v="2025-11-26T00:00:00"/>
    <d v="2026-05-15T00:00:00"/>
    <x v="13"/>
    <x v="0"/>
    <s v="510200"/>
    <x v="115"/>
    <x v="2"/>
    <s v="LT"/>
    <n v="166.65"/>
    <s v="5218"/>
    <s v="SAFRA 25/26"/>
    <n v="900"/>
    <n v="0"/>
    <n v="900"/>
    <n v="149985"/>
    <m/>
    <s v="NOVA CANAA DO NORTE"/>
    <s v="08738866900"/>
    <n v="166.65"/>
    <n v="0"/>
  </r>
  <r>
    <d v="2026-01-21T13:45:46"/>
    <n v="511"/>
    <x v="175"/>
    <d v="2026-01-21T00:00:00"/>
    <d v="2026-09-30T00:00:00"/>
    <x v="13"/>
    <x v="0"/>
    <s v="510200"/>
    <x v="7"/>
    <x v="0"/>
    <s v="LT"/>
    <n v="65"/>
    <s v="424"/>
    <s v="SAFRINHA 2026"/>
    <n v="95"/>
    <n v="0"/>
    <n v="95"/>
    <n v="6175"/>
    <m/>
    <s v="NOVA CANAA DO NORTE"/>
    <s v="08738866900"/>
    <n v="65"/>
    <n v="0"/>
  </r>
  <r>
    <d v="2026-01-21T13:45:46"/>
    <n v="511"/>
    <x v="175"/>
    <d v="2026-01-21T00:00:00"/>
    <d v="2026-09-30T00:00:00"/>
    <x v="13"/>
    <x v="2"/>
    <s v="510200"/>
    <x v="14"/>
    <x v="1"/>
    <s v="KG"/>
    <n v="360"/>
    <s v="424"/>
    <s v="SAFRINHA 2026"/>
    <n v="77"/>
    <n v="0"/>
    <n v="77"/>
    <n v="27720"/>
    <m/>
    <s v="NOVA CANAA DO NORTE"/>
    <s v="08738866900"/>
    <n v="360"/>
    <n v="0"/>
  </r>
  <r>
    <d v="2026-01-21T13:45:46"/>
    <n v="511"/>
    <x v="175"/>
    <d v="2026-01-21T00:00:00"/>
    <d v="2026-09-30T00:00:00"/>
    <x v="13"/>
    <x v="0"/>
    <s v="510200"/>
    <x v="64"/>
    <x v="2"/>
    <s v="LT"/>
    <n v="12.8"/>
    <s v="424"/>
    <s v="SAFRINHA 2026"/>
    <n v="625"/>
    <n v="0"/>
    <n v="625"/>
    <n v="8000"/>
    <m/>
    <s v="NOVA CANAA DO NORTE"/>
    <s v="08738866900"/>
    <n v="12.8"/>
    <n v="0"/>
  </r>
  <r>
    <d v="2026-01-21T13:45:46"/>
    <n v="511"/>
    <x v="175"/>
    <d v="2026-01-21T00:00:00"/>
    <d v="2026-09-30T00:00:00"/>
    <x v="13"/>
    <x v="2"/>
    <s v="510200"/>
    <x v="11"/>
    <x v="1"/>
    <s v="LT"/>
    <n v="300"/>
    <s v="424"/>
    <s v="SAFRINHA 2026"/>
    <n v="59"/>
    <n v="0"/>
    <n v="59"/>
    <n v="17700"/>
    <m/>
    <s v="NOVA CANAA DO NORTE"/>
    <s v="08738866900"/>
    <n v="300"/>
    <n v="0"/>
  </r>
  <r>
    <d v="2026-02-09T09:49:10"/>
    <n v="534"/>
    <x v="175"/>
    <d v="2026-02-09T00:00:00"/>
    <d v="2026-09-30T00:00:00"/>
    <x v="13"/>
    <x v="0"/>
    <s v="510200"/>
    <x v="64"/>
    <x v="2"/>
    <s v="LT"/>
    <n v="12.8"/>
    <s v="5244"/>
    <s v="SAFRINHA 2026"/>
    <n v="800"/>
    <n v="0"/>
    <n v="800"/>
    <n v="10240"/>
    <m/>
    <s v="NOVA CANAA DO NORTE"/>
    <s v="08738866900"/>
    <n v="12.8"/>
    <n v="0"/>
  </r>
  <r>
    <d v="2026-02-09T09:49:10"/>
    <n v="534"/>
    <x v="175"/>
    <d v="2026-02-09T00:00:00"/>
    <d v="2026-09-30T00:00:00"/>
    <x v="13"/>
    <x v="0"/>
    <s v="510200"/>
    <x v="6"/>
    <x v="0"/>
    <s v="LT"/>
    <n v="65"/>
    <s v="5244"/>
    <s v="SAFRINHA 2026"/>
    <n v="100"/>
    <n v="0"/>
    <n v="100"/>
    <n v="6500"/>
    <m/>
    <s v="NOVA CANAA DO NORTE"/>
    <s v="08738866900"/>
    <n v="65"/>
    <n v="0"/>
  </r>
  <r>
    <d v="2026-02-09T09:49:10"/>
    <n v="534"/>
    <x v="175"/>
    <d v="2026-02-09T00:00:00"/>
    <d v="2026-09-30T00:00:00"/>
    <x v="13"/>
    <x v="0"/>
    <s v="510200"/>
    <x v="7"/>
    <x v="0"/>
    <s v="LT"/>
    <n v="65"/>
    <s v="5244"/>
    <s v="SAFRINHA 2026"/>
    <n v="240"/>
    <n v="0"/>
    <n v="240"/>
    <n v="15600"/>
    <m/>
    <s v="NOVA CANAA DO NORTE"/>
    <s v="08738866900"/>
    <n v="65"/>
    <n v="0"/>
  </r>
  <r>
    <d v="2025-08-27T08:50:19"/>
    <n v="4001"/>
    <x v="176"/>
    <d v="2025-08-26T00:00:00"/>
    <d v="2026-03-30T00:00:00"/>
    <x v="7"/>
    <x v="1"/>
    <s v="510200"/>
    <x v="9"/>
    <x v="1"/>
    <s v="LT"/>
    <n v="48"/>
    <s v="5447"/>
    <s v="SAFRA 25/26"/>
    <n v="351"/>
    <n v="0"/>
    <n v="351"/>
    <n v="16848"/>
    <m/>
    <s v="VERA"/>
    <s v="94326436034"/>
    <n v="48"/>
    <n v="0"/>
  </r>
  <r>
    <d v="2025-08-27T08:50:19"/>
    <n v="4001"/>
    <x v="176"/>
    <d v="2025-08-26T00:00:00"/>
    <d v="2026-03-30T00:00:00"/>
    <x v="7"/>
    <x v="1"/>
    <s v="510200"/>
    <x v="11"/>
    <x v="1"/>
    <s v="LT"/>
    <n v="365"/>
    <s v="5447"/>
    <s v="SAFRA 25/26"/>
    <n v="25"/>
    <n v="0"/>
    <n v="25"/>
    <n v="9125"/>
    <m/>
    <s v="VERA"/>
    <s v="94326436034"/>
    <n v="365"/>
    <n v="0"/>
  </r>
  <r>
    <d v="2025-08-27T08:50:19"/>
    <n v="4001"/>
    <x v="176"/>
    <d v="2025-08-26T00:00:00"/>
    <d v="2026-03-30T00:00:00"/>
    <x v="7"/>
    <x v="1"/>
    <s v="510200"/>
    <x v="10"/>
    <x v="1"/>
    <s v="LT"/>
    <n v="355"/>
    <s v="5447"/>
    <s v="SAFRA 25/26"/>
    <n v="25"/>
    <n v="0"/>
    <n v="25"/>
    <n v="8875"/>
    <m/>
    <s v="VERA"/>
    <s v="94326436034"/>
    <n v="355"/>
    <n v="0"/>
  </r>
  <r>
    <d v="2025-08-27T08:50:19"/>
    <n v="4001"/>
    <x v="176"/>
    <d v="2025-08-26T00:00:00"/>
    <d v="2026-03-30T00:00:00"/>
    <x v="7"/>
    <x v="1"/>
    <s v="510200"/>
    <x v="13"/>
    <x v="1"/>
    <s v="LT"/>
    <n v="48"/>
    <s v="5447"/>
    <s v="SAFRA 25/26"/>
    <n v="702"/>
    <n v="0"/>
    <n v="702"/>
    <n v="33696"/>
    <m/>
    <s v="VERA"/>
    <s v="94326436034"/>
    <n v="48"/>
    <n v="0"/>
  </r>
  <r>
    <d v="2025-08-27T08:50:19"/>
    <n v="4001"/>
    <x v="176"/>
    <d v="2025-08-26T00:00:00"/>
    <d v="2026-03-30T00:00:00"/>
    <x v="7"/>
    <x v="0"/>
    <s v="510200"/>
    <x v="12"/>
    <x v="0"/>
    <s v="LT"/>
    <n v="245"/>
    <s v="5447"/>
    <s v="SAFRA 25/26"/>
    <n v="50"/>
    <n v="0"/>
    <n v="50"/>
    <n v="12250"/>
    <m/>
    <s v="VERA"/>
    <s v="94326436034"/>
    <n v="245"/>
    <n v="0"/>
  </r>
  <r>
    <d v="2025-08-27T08:50:19"/>
    <n v="4001"/>
    <x v="176"/>
    <d v="2025-08-26T00:00:00"/>
    <d v="2026-03-30T00:00:00"/>
    <x v="7"/>
    <x v="1"/>
    <s v="510200"/>
    <x v="18"/>
    <x v="1"/>
    <s v="KG"/>
    <n v="190"/>
    <s v="5447"/>
    <s v="SAFRA 25/26"/>
    <n v="350"/>
    <n v="0"/>
    <n v="350"/>
    <n v="66500"/>
    <m/>
    <s v="VERA"/>
    <s v="94326436034"/>
    <n v="190"/>
    <n v="0"/>
  </r>
  <r>
    <d v="2025-10-12T08:55:31"/>
    <n v="4150"/>
    <x v="176"/>
    <d v="2025-10-12T00:00:00"/>
    <d v="2026-03-30T00:00:00"/>
    <x v="7"/>
    <x v="1"/>
    <s v="510200"/>
    <x v="9"/>
    <x v="1"/>
    <s v="LT"/>
    <n v="48"/>
    <s v="5679"/>
    <s v="SAFRA 25/26"/>
    <n v="33"/>
    <n v="0"/>
    <n v="33"/>
    <n v="1584"/>
    <m/>
    <s v="VERA"/>
    <s v="94326436034"/>
    <n v="48"/>
    <n v="0"/>
  </r>
  <r>
    <d v="2025-04-14T08:35:05"/>
    <n v="177"/>
    <x v="177"/>
    <d v="2025-04-14T00:00:00"/>
    <d v="2026-03-30T00:00:00"/>
    <x v="2"/>
    <x v="2"/>
    <s v="510200"/>
    <x v="10"/>
    <x v="1"/>
    <s v="LT"/>
    <n v="324"/>
    <s v="4853"/>
    <s v="SAFRA 25/26"/>
    <n v="78"/>
    <n v="0"/>
    <n v="78"/>
    <n v="25272"/>
    <m/>
    <s v="TABAPORA"/>
    <s v="00412379945"/>
    <n v="324"/>
    <n v="0"/>
  </r>
  <r>
    <d v="2025-04-14T08:35:05"/>
    <n v="177"/>
    <x v="177"/>
    <d v="2025-04-14T00:00:00"/>
    <d v="2026-03-30T00:00:00"/>
    <x v="2"/>
    <x v="2"/>
    <s v="510200"/>
    <x v="13"/>
    <x v="1"/>
    <s v="LT"/>
    <n v="43.6"/>
    <s v="4853"/>
    <s v="SAFRA 25/26"/>
    <n v="156"/>
    <n v="0"/>
    <n v="156"/>
    <n v="6801.6"/>
    <m/>
    <s v="TABAPORA"/>
    <s v="00412379945"/>
    <n v="43.6"/>
    <n v="0"/>
  </r>
  <r>
    <d v="2025-04-14T08:35:05"/>
    <n v="177"/>
    <x v="177"/>
    <d v="2025-04-14T00:00:00"/>
    <d v="2026-03-30T00:00:00"/>
    <x v="2"/>
    <x v="2"/>
    <s v="510200"/>
    <x v="11"/>
    <x v="1"/>
    <s v="LT"/>
    <n v="344"/>
    <s v="4853"/>
    <s v="SAFRA 25/26"/>
    <n v="78"/>
    <n v="0"/>
    <n v="78"/>
    <n v="26832"/>
    <m/>
    <s v="TABAPORA"/>
    <s v="00412379945"/>
    <n v="344"/>
    <n v="0"/>
  </r>
  <r>
    <d v="2025-04-14T08:35:05"/>
    <n v="177"/>
    <x v="177"/>
    <d v="2025-04-14T00:00:00"/>
    <d v="2026-03-30T00:00:00"/>
    <x v="2"/>
    <x v="0"/>
    <s v="510200"/>
    <x v="12"/>
    <x v="0"/>
    <s v="LT"/>
    <n v="182"/>
    <s v="4853"/>
    <s v="SAFRA 25/26"/>
    <n v="155"/>
    <n v="0"/>
    <n v="155"/>
    <n v="28210"/>
    <m/>
    <s v="TABAPORA"/>
    <s v="00412379945"/>
    <n v="182"/>
    <n v="0"/>
  </r>
  <r>
    <d v="2025-04-14T08:35:05"/>
    <n v="177"/>
    <x v="177"/>
    <d v="2025-04-14T00:00:00"/>
    <d v="2026-03-30T00:00:00"/>
    <x v="2"/>
    <x v="2"/>
    <s v="510200"/>
    <x v="18"/>
    <x v="1"/>
    <s v="KG"/>
    <n v="195.8"/>
    <s v="4853"/>
    <s v="SAFRA 25/26"/>
    <n v="156"/>
    <n v="0"/>
    <n v="156"/>
    <n v="30544.800000000003"/>
    <m/>
    <s v="TABAPORA"/>
    <s v="00412379945"/>
    <n v="195.8"/>
    <n v="0"/>
  </r>
  <r>
    <d v="2025-04-14T08:35:05"/>
    <n v="177"/>
    <x v="177"/>
    <d v="2025-04-14T00:00:00"/>
    <d v="2026-03-30T00:00:00"/>
    <x v="2"/>
    <x v="2"/>
    <s v="510200"/>
    <x v="9"/>
    <x v="1"/>
    <s v="LT"/>
    <n v="44.6"/>
    <s v="4853"/>
    <s v="SAFRA 25/26"/>
    <n v="156"/>
    <n v="0"/>
    <n v="156"/>
    <n v="6957.6"/>
    <m/>
    <s v="TABAPORA"/>
    <s v="00412379945"/>
    <n v="44.6"/>
    <n v="0"/>
  </r>
  <r>
    <d v="2025-10-14T09:17:04"/>
    <n v="348"/>
    <x v="177"/>
    <d v="2025-10-14T00:00:00"/>
    <d v="2026-09-30T00:00:00"/>
    <x v="2"/>
    <x v="2"/>
    <s v="510200"/>
    <x v="11"/>
    <x v="1"/>
    <s v="LT"/>
    <n v="320"/>
    <s v="5146"/>
    <s v="SAFRINHA 2026"/>
    <n v="30"/>
    <n v="0"/>
    <n v="30"/>
    <n v="9600"/>
    <m/>
    <s v="TABAPORA"/>
    <s v="00412379945"/>
    <n v="320"/>
    <n v="0"/>
  </r>
  <r>
    <d v="2025-10-14T09:17:04"/>
    <n v="348"/>
    <x v="177"/>
    <d v="2025-10-14T00:00:00"/>
    <d v="2026-09-30T00:00:00"/>
    <x v="2"/>
    <x v="0"/>
    <s v="510200"/>
    <x v="12"/>
    <x v="0"/>
    <s v="LT"/>
    <n v="170"/>
    <s v="5146"/>
    <s v="SAFRINHA 2026"/>
    <n v="150"/>
    <n v="0"/>
    <n v="150"/>
    <n v="25500"/>
    <m/>
    <s v="TABAPORA"/>
    <s v="00412379945"/>
    <n v="170"/>
    <n v="0"/>
  </r>
  <r>
    <d v="2025-10-14T09:17:04"/>
    <n v="348"/>
    <x v="177"/>
    <d v="2025-10-14T00:00:00"/>
    <d v="2026-09-30T00:00:00"/>
    <x v="2"/>
    <x v="2"/>
    <s v="510200"/>
    <x v="18"/>
    <x v="1"/>
    <s v="KG"/>
    <n v="180"/>
    <s v="5146"/>
    <s v="SAFRINHA 2026"/>
    <n v="120"/>
    <n v="0"/>
    <n v="120"/>
    <n v="21600"/>
    <m/>
    <s v="TABAPORA"/>
    <s v="00412379945"/>
    <n v="180"/>
    <n v="0"/>
  </r>
  <r>
    <d v="2025-10-14T09:17:04"/>
    <n v="348"/>
    <x v="177"/>
    <d v="2025-10-14T00:00:00"/>
    <d v="2026-09-30T00:00:00"/>
    <x v="2"/>
    <x v="2"/>
    <s v="510200"/>
    <x v="9"/>
    <x v="1"/>
    <s v="LT"/>
    <n v="40"/>
    <s v="5146"/>
    <s v="SAFRINHA 2026"/>
    <n v="150"/>
    <n v="0"/>
    <n v="150"/>
    <n v="6000"/>
    <m/>
    <s v="TABAPORA"/>
    <s v="00412379945"/>
    <n v="40"/>
    <n v="0"/>
  </r>
  <r>
    <d v="2025-10-14T09:17:04"/>
    <n v="348"/>
    <x v="177"/>
    <d v="2025-10-14T00:00:00"/>
    <d v="2026-09-30T00:00:00"/>
    <x v="2"/>
    <x v="2"/>
    <s v="510200"/>
    <x v="10"/>
    <x v="1"/>
    <s v="LT"/>
    <n v="310"/>
    <s v="5146"/>
    <s v="SAFRINHA 2026"/>
    <n v="30"/>
    <n v="0"/>
    <n v="30"/>
    <n v="9300"/>
    <m/>
    <s v="TABAPORA"/>
    <s v="00412379945"/>
    <n v="310"/>
    <n v="0"/>
  </r>
  <r>
    <d v="2025-10-18T09:30:00"/>
    <n v="365"/>
    <x v="177"/>
    <d v="2025-10-18T00:00:00"/>
    <d v="2026-03-30T00:00:00"/>
    <x v="2"/>
    <x v="2"/>
    <s v="510200"/>
    <x v="13"/>
    <x v="1"/>
    <s v="LT"/>
    <n v="40"/>
    <s v="120"/>
    <s v="SAFRA 25/26"/>
    <n v="21"/>
    <n v="0"/>
    <n v="21"/>
    <n v="840"/>
    <m/>
    <s v="TABAPORA"/>
    <s v="00412379945"/>
    <n v="40"/>
    <n v="0"/>
  </r>
  <r>
    <d v="2025-10-18T09:30:00"/>
    <n v="365"/>
    <x v="177"/>
    <d v="2025-10-18T00:00:00"/>
    <d v="2026-03-30T00:00:00"/>
    <x v="2"/>
    <x v="2"/>
    <s v="510200"/>
    <x v="11"/>
    <x v="1"/>
    <s v="LT"/>
    <n v="344"/>
    <s v="120"/>
    <s v="SAFRA 25/26"/>
    <n v="6"/>
    <n v="0"/>
    <n v="6"/>
    <n v="2064"/>
    <m/>
    <s v="TABAPORA"/>
    <s v="00412379945"/>
    <n v="344"/>
    <n v="0"/>
  </r>
  <r>
    <d v="2025-10-18T09:30:00"/>
    <n v="365"/>
    <x v="177"/>
    <d v="2025-10-18T00:00:00"/>
    <d v="2026-03-30T00:00:00"/>
    <x v="2"/>
    <x v="2"/>
    <s v="510200"/>
    <x v="10"/>
    <x v="1"/>
    <s v="LT"/>
    <n v="324"/>
    <s v="120"/>
    <s v="SAFRA 25/26"/>
    <n v="6"/>
    <n v="0"/>
    <n v="6"/>
    <n v="1944"/>
    <m/>
    <s v="TABAPORA"/>
    <s v="00412379945"/>
    <n v="324"/>
    <n v="0"/>
  </r>
  <r>
    <d v="2025-10-18T09:30:00"/>
    <n v="365"/>
    <x v="177"/>
    <d v="2025-10-18T00:00:00"/>
    <d v="2026-03-30T00:00:00"/>
    <x v="2"/>
    <x v="2"/>
    <s v="510200"/>
    <x v="9"/>
    <x v="1"/>
    <s v="LT"/>
    <n v="45.34"/>
    <s v="120"/>
    <s v="SAFRA 25/26"/>
    <n v="21"/>
    <n v="0"/>
    <n v="21"/>
    <n v="952.1400000000001"/>
    <m/>
    <s v="TABAPORA"/>
    <s v="00412379945"/>
    <n v="45.34"/>
    <n v="0"/>
  </r>
  <r>
    <d v="2025-12-12T12:49:38"/>
    <n v="454"/>
    <x v="177"/>
    <d v="2025-12-12T00:00:00"/>
    <d v="2025-12-15T00:00:00"/>
    <x v="2"/>
    <x v="0"/>
    <s v="510200"/>
    <x v="54"/>
    <x v="2"/>
    <s v="LT"/>
    <n v="140"/>
    <s v="251"/>
    <s v="SAFRA 25/26"/>
    <n v="40"/>
    <n v="0"/>
    <n v="40"/>
    <n v="5600"/>
    <m/>
    <s v="TABAPORA"/>
    <s v="00412379945"/>
    <n v="140"/>
    <n v="0"/>
  </r>
  <r>
    <d v="2026-02-02T17:46:16"/>
    <n v="523"/>
    <x v="177"/>
    <d v="2026-02-02T00:00:00"/>
    <d v="2026-08-30T00:00:00"/>
    <x v="2"/>
    <x v="0"/>
    <s v="510200"/>
    <x v="6"/>
    <x v="0"/>
    <s v="LT"/>
    <n v="64"/>
    <s v="146"/>
    <s v="SAFRINHA 2026"/>
    <n v="200"/>
    <n v="0"/>
    <n v="200"/>
    <n v="12800"/>
    <m/>
    <s v="TABAPORA"/>
    <s v="00412379945"/>
    <n v="64"/>
    <n v="0"/>
  </r>
  <r>
    <d v="2026-02-19T09:16:27"/>
    <n v="4582"/>
    <x v="178"/>
    <d v="2026-02-19T00:00:00"/>
    <d v="2026-08-30T00:00:00"/>
    <x v="3"/>
    <x v="0"/>
    <s v="510200"/>
    <x v="2"/>
    <x v="0"/>
    <s v="KG"/>
    <n v="20"/>
    <s v="6088"/>
    <s v="SAFRINHA 2026"/>
    <n v="150"/>
    <n v="0"/>
    <n v="150"/>
    <n v="3000"/>
    <m/>
    <s v="ITANHANGA"/>
    <s v="00524974020"/>
    <n v="20"/>
    <n v="0"/>
  </r>
  <r>
    <d v="2026-02-19T09:16:27"/>
    <n v="4582"/>
    <x v="178"/>
    <d v="2026-02-19T00:00:00"/>
    <d v="2026-08-30T00:00:00"/>
    <x v="3"/>
    <x v="0"/>
    <s v="510200"/>
    <x v="41"/>
    <x v="0"/>
    <s v="LT"/>
    <n v="90"/>
    <s v="6088"/>
    <s v="SAFRINHA 2026"/>
    <n v="20"/>
    <n v="0"/>
    <n v="20"/>
    <n v="1800"/>
    <m/>
    <s v="ITANHANGA"/>
    <s v="00524974020"/>
    <n v="90"/>
    <n v="0"/>
  </r>
  <r>
    <d v="2026-02-19T09:16:27"/>
    <n v="4582"/>
    <x v="178"/>
    <d v="2026-02-19T00:00:00"/>
    <d v="2026-08-30T00:00:00"/>
    <x v="3"/>
    <x v="0"/>
    <s v="510200"/>
    <x v="6"/>
    <x v="0"/>
    <s v="LT"/>
    <n v="68"/>
    <s v="6088"/>
    <s v="SAFRINHA 2026"/>
    <n v="10"/>
    <n v="0"/>
    <n v="10"/>
    <n v="680"/>
    <m/>
    <s v="ITANHANGA"/>
    <s v="00524974020"/>
    <n v="68"/>
    <n v="0"/>
  </r>
  <r>
    <d v="2026-02-19T09:16:27"/>
    <n v="4582"/>
    <x v="178"/>
    <d v="2026-02-19T00:00:00"/>
    <d v="2026-08-30T00:00:00"/>
    <x v="3"/>
    <x v="0"/>
    <s v="510200"/>
    <x v="7"/>
    <x v="0"/>
    <s v="LT"/>
    <n v="68"/>
    <s v="6088"/>
    <s v="SAFRINHA 2026"/>
    <n v="10"/>
    <n v="0"/>
    <n v="10"/>
    <n v="680"/>
    <m/>
    <s v="ITANHANGA"/>
    <s v="00524974020"/>
    <n v="68"/>
    <n v="0"/>
  </r>
  <r>
    <d v="2026-02-19T09:16:27"/>
    <n v="4582"/>
    <x v="178"/>
    <d v="2026-02-19T00:00:00"/>
    <d v="2026-08-30T00:00:00"/>
    <x v="3"/>
    <x v="0"/>
    <s v="510200"/>
    <x v="4"/>
    <x v="0"/>
    <s v="KG"/>
    <n v="22"/>
    <s v="6088"/>
    <s v="SAFRINHA 2026"/>
    <n v="50"/>
    <n v="0"/>
    <n v="50"/>
    <n v="1100"/>
    <m/>
    <s v="ITANHANGA"/>
    <s v="00524974020"/>
    <n v="22"/>
    <n v="0"/>
  </r>
  <r>
    <d v="2026-02-19T09:16:27"/>
    <n v="4582"/>
    <x v="178"/>
    <d v="2026-02-19T00:00:00"/>
    <d v="2026-08-30T00:00:00"/>
    <x v="3"/>
    <x v="0"/>
    <s v="510200"/>
    <x v="1"/>
    <x v="0"/>
    <s v="LT"/>
    <n v="150"/>
    <s v="6088"/>
    <s v="SAFRINHA 2026"/>
    <n v="20"/>
    <n v="0"/>
    <n v="20"/>
    <n v="3000"/>
    <m/>
    <s v="ITANHANGA"/>
    <s v="00524974020"/>
    <n v="150"/>
    <n v="0"/>
  </r>
  <r>
    <d v="2026-02-19T09:16:27"/>
    <n v="4582"/>
    <x v="178"/>
    <d v="2026-02-19T00:00:00"/>
    <d v="2026-08-30T00:00:00"/>
    <x v="3"/>
    <x v="0"/>
    <s v="510200"/>
    <x v="46"/>
    <x v="0"/>
    <s v="LT"/>
    <n v="17"/>
    <s v="6088"/>
    <s v="SAFRINHA 2026"/>
    <n v="160"/>
    <n v="0"/>
    <n v="160"/>
    <n v="2720"/>
    <m/>
    <s v="ITANHANGA"/>
    <s v="00524974020"/>
    <n v="17"/>
    <n v="0"/>
  </r>
  <r>
    <d v="2026-02-19T09:16:27"/>
    <n v="4582"/>
    <x v="178"/>
    <d v="2026-02-19T00:00:00"/>
    <d v="2026-08-30T00:00:00"/>
    <x v="3"/>
    <x v="0"/>
    <s v="510200"/>
    <x v="0"/>
    <x v="0"/>
    <s v="LT"/>
    <n v="15"/>
    <s v="6088"/>
    <s v="SAFRINHA 2026"/>
    <n v="80"/>
    <n v="0"/>
    <n v="80"/>
    <n v="1200"/>
    <m/>
    <s v="ITANHANGA"/>
    <s v="00524974020"/>
    <n v="15"/>
    <n v="0"/>
  </r>
  <r>
    <d v="2025-12-16T14:43:22"/>
    <n v="4360"/>
    <x v="179"/>
    <d v="2025-12-16T00:00:00"/>
    <d v="2026-04-30T00:00:00"/>
    <x v="0"/>
    <x v="0"/>
    <s v="510200"/>
    <x v="24"/>
    <x v="2"/>
    <s v="LT"/>
    <n v="65"/>
    <s v="5902"/>
    <s v="SAFRA 25/26"/>
    <n v="400"/>
    <n v="0"/>
    <n v="400"/>
    <n v="26000"/>
    <m/>
    <s v="SORRISO"/>
    <s v="03372503163"/>
    <n v="65"/>
    <n v="0"/>
  </r>
  <r>
    <d v="2026-02-05T14:25:19"/>
    <n v="4534"/>
    <x v="179"/>
    <d v="2026-02-05T00:00:00"/>
    <d v="2026-04-30T00:00:00"/>
    <x v="0"/>
    <x v="0"/>
    <s v="510200"/>
    <x v="24"/>
    <x v="2"/>
    <s v="LT"/>
    <n v="65"/>
    <s v="6046"/>
    <s v="SAFRINHA 2026"/>
    <n v="50"/>
    <n v="0"/>
    <n v="50"/>
    <n v="3250"/>
    <m/>
    <s v="SORRISO"/>
    <s v="03372503163"/>
    <n v="65"/>
    <n v="0"/>
  </r>
  <r>
    <d v="2025-10-03T08:25:49"/>
    <n v="4122"/>
    <x v="180"/>
    <d v="2025-10-02T00:00:00"/>
    <d v="2026-04-30T00:00:00"/>
    <x v="14"/>
    <x v="0"/>
    <s v="510200"/>
    <x v="6"/>
    <x v="0"/>
    <s v="LT"/>
    <n v="65"/>
    <s v="5407"/>
    <s v="SAFRA 25/26"/>
    <n v="110"/>
    <n v="0"/>
    <n v="110"/>
    <n v="7150"/>
    <m/>
    <s v="SORRISO"/>
    <s v="79340504968"/>
    <n v="65"/>
    <n v="0"/>
  </r>
  <r>
    <d v="2025-10-03T09:47:45"/>
    <n v="4124"/>
    <x v="180"/>
    <d v="2025-10-03T00:00:00"/>
    <d v="2026-04-30T00:00:00"/>
    <x v="14"/>
    <x v="1"/>
    <s v="510200"/>
    <x v="10"/>
    <x v="1"/>
    <s v="LT"/>
    <n v="290"/>
    <s v="5406"/>
    <s v="SAFRA 25/26"/>
    <n v="20"/>
    <n v="0"/>
    <n v="20"/>
    <n v="5800"/>
    <m/>
    <s v="SORRISO"/>
    <s v="79340504968"/>
    <n v="290"/>
    <n v="0"/>
  </r>
  <r>
    <d v="2025-10-20T14:49:44"/>
    <n v="4185"/>
    <x v="180"/>
    <d v="2025-10-20T00:00:00"/>
    <d v="2026-04-30T00:00:00"/>
    <x v="14"/>
    <x v="0"/>
    <s v="510200"/>
    <x v="3"/>
    <x v="0"/>
    <s v="LT"/>
    <n v="25"/>
    <s v="5409"/>
    <s v="SAFRA 25/26"/>
    <n v="700"/>
    <n v="0"/>
    <n v="700"/>
    <n v="17500"/>
    <m/>
    <s v="SORRISO"/>
    <s v="79340504968"/>
    <n v="25"/>
    <n v="0"/>
  </r>
  <r>
    <d v="2025-11-14T14:09:22"/>
    <n v="4272"/>
    <x v="180"/>
    <d v="2025-11-14T00:00:00"/>
    <d v="2026-04-30T00:00:00"/>
    <x v="14"/>
    <x v="0"/>
    <s v="510200"/>
    <x v="27"/>
    <x v="2"/>
    <s v="KG"/>
    <n v="2800"/>
    <s v="5816"/>
    <s v="SAFRA 25/26"/>
    <n v="5"/>
    <n v="0"/>
    <n v="5"/>
    <n v="14000"/>
    <m/>
    <s v="SORRISO"/>
    <s v="79340504968"/>
    <n v="2800"/>
    <n v="0"/>
  </r>
  <r>
    <d v="2025-12-03T11:22:14"/>
    <n v="4318"/>
    <x v="180"/>
    <d v="2025-12-02T00:00:00"/>
    <d v="2026-09-30T00:00:00"/>
    <x v="14"/>
    <x v="1"/>
    <s v="510200"/>
    <x v="11"/>
    <x v="1"/>
    <s v="LT"/>
    <n v="290"/>
    <s v="5413"/>
    <s v="SAFRINHA 2026"/>
    <n v="38"/>
    <n v="0"/>
    <n v="38"/>
    <n v="11020"/>
    <m/>
    <s v="SORRISO"/>
    <s v="79340504968"/>
    <n v="290"/>
    <n v="0"/>
  </r>
  <r>
    <d v="2025-12-03T11:22:14"/>
    <n v="4318"/>
    <x v="180"/>
    <d v="2025-12-02T00:00:00"/>
    <d v="2026-09-30T00:00:00"/>
    <x v="14"/>
    <x v="1"/>
    <s v="510200"/>
    <x v="9"/>
    <x v="1"/>
    <s v="LT"/>
    <n v="48"/>
    <s v="5413"/>
    <s v="SAFRINHA 2026"/>
    <n v="75"/>
    <n v="0"/>
    <n v="75"/>
    <n v="3600"/>
    <m/>
    <s v="SORRISO"/>
    <s v="79340504968"/>
    <n v="48"/>
    <n v="0"/>
  </r>
  <r>
    <d v="2025-12-03T11:22:14"/>
    <n v="4318"/>
    <x v="180"/>
    <d v="2025-12-02T00:00:00"/>
    <d v="2026-09-30T00:00:00"/>
    <x v="14"/>
    <x v="1"/>
    <s v="510200"/>
    <x v="10"/>
    <x v="1"/>
    <s v="LT"/>
    <n v="290"/>
    <s v="5413"/>
    <s v="SAFRINHA 2026"/>
    <n v="38"/>
    <n v="0"/>
    <n v="38"/>
    <n v="11020"/>
    <m/>
    <s v="SORRISO"/>
    <s v="79340504968"/>
    <n v="290"/>
    <n v="0"/>
  </r>
  <r>
    <d v="2025-12-10T07:57:11"/>
    <n v="4338"/>
    <x v="180"/>
    <d v="2025-12-10T00:00:00"/>
    <d v="2026-04-30T00:00:00"/>
    <x v="14"/>
    <x v="1"/>
    <s v="510200"/>
    <x v="74"/>
    <x v="1"/>
    <s v="LT"/>
    <n v="40"/>
    <m/>
    <s v="SAFRA 25/26"/>
    <n v="35"/>
    <n v="0"/>
    <n v="35"/>
    <n v="1400"/>
    <m/>
    <s v="SORRISO"/>
    <s v="79340504968"/>
    <n v="40"/>
    <n v="0"/>
  </r>
  <r>
    <d v="2025-12-10T08:10:34"/>
    <n v="4340"/>
    <x v="180"/>
    <d v="2025-12-10T00:00:00"/>
    <d v="2026-09-30T00:00:00"/>
    <x v="14"/>
    <x v="0"/>
    <s v="510200"/>
    <x v="5"/>
    <x v="0"/>
    <s v="KG"/>
    <n v="25"/>
    <s v="5414"/>
    <s v="SAFRINHA 2026"/>
    <n v="370"/>
    <n v="370"/>
    <n v="0"/>
    <n v="0"/>
    <m/>
    <s v="SORRISO"/>
    <s v="79340504968"/>
    <n v="25"/>
    <n v="0"/>
  </r>
  <r>
    <d v="2025-12-10T08:10:34"/>
    <n v="4340"/>
    <x v="180"/>
    <d v="2025-12-10T00:00:00"/>
    <d v="2026-09-30T00:00:00"/>
    <x v="14"/>
    <x v="0"/>
    <s v="510200"/>
    <x v="3"/>
    <x v="0"/>
    <s v="LT"/>
    <n v="22.5"/>
    <s v="5414"/>
    <s v="SAFRINHA 2026"/>
    <n v="380"/>
    <n v="0"/>
    <n v="380"/>
    <n v="8550"/>
    <m/>
    <s v="SORRISO"/>
    <s v="79340504968"/>
    <n v="22.5"/>
    <n v="0"/>
  </r>
  <r>
    <d v="2025-12-10T08:10:34"/>
    <n v="4340"/>
    <x v="180"/>
    <d v="2025-12-10T00:00:00"/>
    <d v="2026-09-30T00:00:00"/>
    <x v="14"/>
    <x v="0"/>
    <s v="510200"/>
    <x v="2"/>
    <x v="0"/>
    <s v="KG"/>
    <n v="24.5"/>
    <s v="5414"/>
    <s v="SAFRINHA 2026"/>
    <n v="740"/>
    <n v="0"/>
    <n v="740"/>
    <n v="18130"/>
    <m/>
    <s v="SORRISO"/>
    <s v="79340504968"/>
    <n v="24.5"/>
    <n v="0"/>
  </r>
  <r>
    <d v="2026-01-27T14:03:18"/>
    <n v="4496"/>
    <x v="180"/>
    <d v="2026-01-27T00:00:00"/>
    <d v="2026-07-30T00:00:00"/>
    <x v="14"/>
    <x v="0"/>
    <s v="510200"/>
    <x v="103"/>
    <x v="2"/>
    <s v="LT"/>
    <n v="52"/>
    <s v="5420"/>
    <s v="SAFRINHA 2026"/>
    <n v="880"/>
    <n v="0"/>
    <n v="880"/>
    <n v="45760"/>
    <m/>
    <s v="SORRISO"/>
    <s v="79340504968"/>
    <n v="52"/>
    <n v="0"/>
  </r>
  <r>
    <d v="2026-02-11T08:37:24"/>
    <n v="4553"/>
    <x v="180"/>
    <d v="2026-02-09T00:00:00"/>
    <d v="2026-09-30T00:00:00"/>
    <x v="14"/>
    <x v="0"/>
    <s v="510200"/>
    <x v="1"/>
    <x v="0"/>
    <s v="LT"/>
    <n v="150"/>
    <s v="6050"/>
    <s v="SAFRINHA 2026"/>
    <n v="40"/>
    <n v="0"/>
    <n v="40"/>
    <n v="6000"/>
    <m/>
    <s v="SORRISO"/>
    <s v="79340504968"/>
    <n v="150"/>
    <n v="0"/>
  </r>
  <r>
    <d v="2025-12-29T08:47:42"/>
    <n v="4384"/>
    <x v="181"/>
    <d v="2025-12-27T00:00:00"/>
    <d v="2026-08-30T00:00:00"/>
    <x v="5"/>
    <x v="0"/>
    <s v="510200"/>
    <x v="118"/>
    <x v="2"/>
    <s v="SC"/>
    <n v="770"/>
    <s v="5797"/>
    <s v="SAFRINHA 2026"/>
    <n v="100"/>
    <n v="0"/>
    <n v="100"/>
    <n v="77000"/>
    <m/>
    <s v="NOVA UBIRATA"/>
    <s v="56780788015"/>
    <n v="770"/>
    <n v="0"/>
  </r>
  <r>
    <d v="2025-12-29T08:47:42"/>
    <n v="4384"/>
    <x v="181"/>
    <d v="2025-12-27T00:00:00"/>
    <d v="2026-08-30T00:00:00"/>
    <x v="5"/>
    <x v="0"/>
    <s v="510200"/>
    <x v="96"/>
    <x v="2"/>
    <s v="SC"/>
    <n v="780"/>
    <s v="5797"/>
    <s v="SAFRINHA 2026"/>
    <n v="10"/>
    <n v="0"/>
    <n v="10"/>
    <n v="7800"/>
    <m/>
    <s v="NOVA UBIRATA"/>
    <s v="56780788015"/>
    <n v="780"/>
    <n v="0"/>
  </r>
  <r>
    <d v="2025-12-29T08:47:42"/>
    <n v="4384"/>
    <x v="181"/>
    <d v="2025-12-27T00:00:00"/>
    <d v="2026-08-30T00:00:00"/>
    <x v="5"/>
    <x v="0"/>
    <s v="510200"/>
    <x v="109"/>
    <x v="2"/>
    <s v="SC"/>
    <n v="770"/>
    <s v="5797"/>
    <s v="SAFRINHA 2026"/>
    <n v="7"/>
    <n v="0"/>
    <n v="7"/>
    <n v="5390"/>
    <m/>
    <s v="NOVA UBIRATA"/>
    <s v="56780788015"/>
    <n v="770"/>
    <n v="0"/>
  </r>
  <r>
    <d v="2026-02-27T14:58:27"/>
    <n v="4615"/>
    <x v="182"/>
    <d v="2026-02-27T00:00:00"/>
    <d v="2026-02-28T00:00:00"/>
    <x v="3"/>
    <x v="1"/>
    <s v="610200"/>
    <x v="14"/>
    <x v="1"/>
    <s v="KG"/>
    <n v="346"/>
    <s v="6104"/>
    <s v="SAFRINHA 2026"/>
    <n v="85"/>
    <n v="0"/>
    <n v="85"/>
    <n v="29410"/>
    <m/>
    <s v="BOA VISTA"/>
    <s v="84647787915"/>
    <n v="346"/>
    <n v="0"/>
  </r>
  <r>
    <d v="2026-02-27T14:58:27"/>
    <n v="4615"/>
    <x v="182"/>
    <d v="2026-02-27T00:00:00"/>
    <d v="2026-02-28T00:00:00"/>
    <x v="3"/>
    <x v="1"/>
    <s v="610200"/>
    <x v="119"/>
    <x v="1"/>
    <s v="LT"/>
    <n v="243.4"/>
    <s v="6104"/>
    <s v="SAFRINHA 2026"/>
    <n v="80"/>
    <n v="0"/>
    <n v="80"/>
    <n v="19472"/>
    <m/>
    <s v="BOA VISTA"/>
    <s v="84647787915"/>
    <n v="243.4"/>
    <n v="0"/>
  </r>
  <r>
    <d v="2026-02-27T14:58:27"/>
    <n v="4615"/>
    <x v="182"/>
    <d v="2026-02-27T00:00:00"/>
    <d v="2026-02-28T00:00:00"/>
    <x v="3"/>
    <x v="1"/>
    <s v="610200"/>
    <x v="13"/>
    <x v="1"/>
    <s v="LT"/>
    <n v="43.62"/>
    <s v="6104"/>
    <s v="SAFRINHA 2026"/>
    <n v="1896"/>
    <n v="0"/>
    <n v="1896"/>
    <n v="82703.51999999999"/>
    <m/>
    <s v="BOA VISTA"/>
    <s v="84647787915"/>
    <n v="43.62"/>
    <n v="0"/>
  </r>
  <r>
    <d v="2026-02-27T14:58:27"/>
    <n v="4615"/>
    <x v="182"/>
    <d v="2026-02-27T00:00:00"/>
    <d v="2026-02-28T00:00:00"/>
    <x v="3"/>
    <x v="1"/>
    <s v="610200"/>
    <x v="9"/>
    <x v="1"/>
    <s v="LT"/>
    <n v="48.7"/>
    <s v="6104"/>
    <s v="SAFRINHA 2026"/>
    <n v="288"/>
    <n v="0"/>
    <n v="288"/>
    <n v="14025.6"/>
    <m/>
    <s v="BOA VISTA"/>
    <s v="84647787915"/>
    <n v="48.7"/>
    <n v="0"/>
  </r>
  <r>
    <d v="2026-02-27T14:58:27"/>
    <n v="4615"/>
    <x v="182"/>
    <d v="2026-02-27T00:00:00"/>
    <d v="2026-02-28T00:00:00"/>
    <x v="3"/>
    <x v="0"/>
    <s v="610200"/>
    <x v="59"/>
    <x v="2"/>
    <s v="KG"/>
    <n v="127.23"/>
    <s v="6104"/>
    <s v="SAFRINHA 2026"/>
    <n v="550"/>
    <n v="0"/>
    <n v="550"/>
    <n v="69976.5"/>
    <m/>
    <s v="BOA VISTA"/>
    <s v="84647787915"/>
    <n v="127.23"/>
    <n v="0"/>
  </r>
  <r>
    <d v="2026-02-27T14:58:27"/>
    <n v="4615"/>
    <x v="182"/>
    <d v="2026-02-27T00:00:00"/>
    <d v="2026-02-28T00:00:00"/>
    <x v="3"/>
    <x v="1"/>
    <s v="610200"/>
    <x v="48"/>
    <x v="1"/>
    <s v="LT"/>
    <n v="46.4"/>
    <s v="6104"/>
    <s v="SAFRINHA 2026"/>
    <n v="140"/>
    <n v="0"/>
    <n v="140"/>
    <n v="6496"/>
    <m/>
    <s v="BOA VISTA"/>
    <s v="84647787915"/>
    <n v="46.4"/>
    <n v="0"/>
  </r>
  <r>
    <d v="2026-02-27T14:58:27"/>
    <n v="4615"/>
    <x v="182"/>
    <d v="2026-02-27T00:00:00"/>
    <d v="2026-02-28T00:00:00"/>
    <x v="3"/>
    <x v="0"/>
    <s v="610200"/>
    <x v="44"/>
    <x v="0"/>
    <s v="KG"/>
    <n v="87.85"/>
    <s v="6104"/>
    <s v="SAFRINHA 2026"/>
    <n v="500"/>
    <n v="0"/>
    <n v="500"/>
    <n v="43925"/>
    <m/>
    <s v="BOA VISTA"/>
    <s v="84647787915"/>
    <n v="87.85"/>
    <n v="0"/>
  </r>
  <r>
    <d v="2026-02-27T14:58:27"/>
    <n v="4615"/>
    <x v="182"/>
    <d v="2026-02-27T00:00:00"/>
    <d v="2026-02-28T00:00:00"/>
    <x v="3"/>
    <x v="0"/>
    <s v="610200"/>
    <x v="64"/>
    <x v="2"/>
    <s v="LT"/>
    <n v="11"/>
    <s v="6104"/>
    <s v="SAFRINHA 2026"/>
    <n v="500"/>
    <n v="0"/>
    <n v="500"/>
    <n v="5500"/>
    <m/>
    <s v="BOA VISTA"/>
    <s v="84647787915"/>
    <n v="11"/>
    <n v="0"/>
  </r>
  <r>
    <d v="2026-02-27T14:58:27"/>
    <n v="4615"/>
    <x v="182"/>
    <d v="2026-02-27T00:00:00"/>
    <d v="2026-02-28T00:00:00"/>
    <x v="3"/>
    <x v="1"/>
    <s v="610200"/>
    <x v="120"/>
    <x v="1"/>
    <s v="LT"/>
    <n v="243.4"/>
    <s v="6104"/>
    <s v="SAFRINHA 2026"/>
    <n v="80"/>
    <n v="0"/>
    <n v="80"/>
    <n v="19472"/>
    <m/>
    <s v="BOA VISTA"/>
    <s v="84647787915"/>
    <n v="243.4"/>
    <n v="0"/>
  </r>
  <r>
    <d v="2025-10-24T15:26:31"/>
    <n v="4207"/>
    <x v="183"/>
    <d v="2025-10-24T00:00:00"/>
    <d v="2025-11-24T00:00:00"/>
    <x v="3"/>
    <x v="0"/>
    <s v="510200"/>
    <x v="21"/>
    <x v="2"/>
    <s v="KG"/>
    <n v="45"/>
    <s v="5759"/>
    <s v="SAFRA 25/26"/>
    <n v="150"/>
    <n v="0"/>
    <n v="150"/>
    <n v="6750"/>
    <m/>
    <s v="NOVA MARINGA"/>
    <s v="53612975000480"/>
    <n v="45"/>
    <n v="0"/>
  </r>
  <r>
    <d v="2025-04-14T09:04:27"/>
    <n v="180"/>
    <x v="184"/>
    <d v="2025-04-14T00:00:00"/>
    <d v="2026-03-30T00:00:00"/>
    <x v="2"/>
    <x v="0"/>
    <s v="610200"/>
    <x v="63"/>
    <x v="2"/>
    <s v="LT"/>
    <n v="79"/>
    <s v="4861"/>
    <s v="SAFRA 25/26"/>
    <n v="20"/>
    <n v="0"/>
    <n v="20"/>
    <n v="1580"/>
    <m/>
    <s v="NOVO PROGRESSO"/>
    <s v="57324832253"/>
    <n v="79"/>
    <n v="0"/>
  </r>
  <r>
    <d v="2025-04-14T09:04:27"/>
    <n v="180"/>
    <x v="184"/>
    <d v="2025-04-14T00:00:00"/>
    <d v="2026-03-30T00:00:00"/>
    <x v="2"/>
    <x v="2"/>
    <s v="610200"/>
    <x v="18"/>
    <x v="1"/>
    <s v="KG"/>
    <n v="220"/>
    <s v="4861"/>
    <s v="SAFRA 25/26"/>
    <n v="30"/>
    <n v="0"/>
    <n v="30"/>
    <n v="6600"/>
    <m/>
    <s v="NOVO PROGRESSO"/>
    <s v="57324832253"/>
    <n v="220"/>
    <n v="0"/>
  </r>
  <r>
    <d v="2025-12-18T21:59:12"/>
    <n v="4368"/>
    <x v="185"/>
    <d v="2025-12-18T00:00:00"/>
    <d v="2026-04-30T00:00:00"/>
    <x v="13"/>
    <x v="0"/>
    <s v="510200"/>
    <x v="84"/>
    <x v="2"/>
    <s v="LT"/>
    <n v="87"/>
    <s v="5906"/>
    <s v="SAFRA 25/26"/>
    <n v="300"/>
    <n v="0"/>
    <n v="300"/>
    <n v="26100"/>
    <m/>
    <s v="MARCELANDIA"/>
    <s v="47787082968"/>
    <n v="87"/>
    <n v="0"/>
  </r>
  <r>
    <d v="2025-07-24T15:07:36"/>
    <n v="255"/>
    <x v="185"/>
    <d v="2025-07-24T00:00:00"/>
    <d v="2026-03-30T00:00:00"/>
    <x v="13"/>
    <x v="2"/>
    <s v="510200"/>
    <x v="48"/>
    <x v="1"/>
    <s v="LT"/>
    <n v="60"/>
    <s v="5332"/>
    <s v="SAFRA 25/26"/>
    <n v="2020"/>
    <n v="0"/>
    <n v="2020"/>
    <n v="121200"/>
    <m/>
    <s v="MARCELANDIA"/>
    <s v="47787082968"/>
    <n v="60"/>
    <n v="0"/>
  </r>
  <r>
    <d v="2025-07-24T15:17:16"/>
    <n v="257"/>
    <x v="185"/>
    <d v="2025-07-24T00:00:00"/>
    <d v="2026-03-30T00:00:00"/>
    <x v="13"/>
    <x v="0"/>
    <s v="510200"/>
    <x v="19"/>
    <x v="0"/>
    <s v="LT"/>
    <n v="700"/>
    <s v="5334"/>
    <s v="SAFRA 25/26"/>
    <n v="200"/>
    <n v="0"/>
    <n v="200"/>
    <n v="140000"/>
    <m/>
    <s v="MARCELANDIA"/>
    <s v="47787082968"/>
    <n v="700"/>
    <n v="0"/>
  </r>
  <r>
    <d v="2025-07-24T15:20:09"/>
    <n v="258"/>
    <x v="185"/>
    <d v="2025-07-24T00:00:00"/>
    <d v="2026-07-30T00:00:00"/>
    <x v="13"/>
    <x v="0"/>
    <s v="510200"/>
    <x v="19"/>
    <x v="0"/>
    <s v="LT"/>
    <n v="700"/>
    <s v="5335"/>
    <s v="SAFRINHA 2026"/>
    <n v="130"/>
    <n v="0"/>
    <n v="130"/>
    <n v="91000"/>
    <m/>
    <s v="MARCELANDIA"/>
    <s v="47787082968"/>
    <n v="700"/>
    <n v="0"/>
  </r>
  <r>
    <d v="2025-07-28T13:11:44"/>
    <n v="259"/>
    <x v="185"/>
    <d v="2025-07-28T00:00:00"/>
    <d v="2026-08-30T00:00:00"/>
    <x v="13"/>
    <x v="2"/>
    <s v="510200"/>
    <x v="48"/>
    <x v="1"/>
    <s v="LT"/>
    <n v="60"/>
    <s v="31"/>
    <s v="SAFRINHA 2026"/>
    <n v="1500"/>
    <n v="0"/>
    <n v="1500"/>
    <n v="90000"/>
    <m/>
    <s v="MARCELANDIA"/>
    <s v="47787082968"/>
    <n v="60"/>
    <n v="0"/>
  </r>
  <r>
    <d v="2025-08-19T14:13:13"/>
    <n v="269"/>
    <x v="185"/>
    <d v="2025-08-19T00:00:00"/>
    <d v="2026-03-30T00:00:00"/>
    <x v="10"/>
    <x v="0"/>
    <s v="510200"/>
    <x v="62"/>
    <x v="2"/>
    <s v="KG"/>
    <n v="20.65"/>
    <s v="5338"/>
    <s v="SAFRA 25/26"/>
    <n v="7000"/>
    <n v="0"/>
    <n v="7000"/>
    <n v="144550"/>
    <m/>
    <s v="PEIXOTO DE AZEVEDO"/>
    <s v="47787082968"/>
    <n v="20.65"/>
    <n v="0"/>
  </r>
  <r>
    <d v="2025-08-19T14:15:32"/>
    <n v="270"/>
    <x v="185"/>
    <d v="2025-08-19T00:00:00"/>
    <d v="2026-03-30T00:00:00"/>
    <x v="10"/>
    <x v="0"/>
    <s v="510200"/>
    <x v="62"/>
    <x v="2"/>
    <s v="KG"/>
    <n v="20.65"/>
    <s v="5338"/>
    <s v="SAFRA 25/26"/>
    <n v="3000"/>
    <n v="0"/>
    <n v="3000"/>
    <n v="61949.999999999993"/>
    <m/>
    <s v="MARCELANDIA"/>
    <s v="47787082968"/>
    <n v="20.65"/>
    <n v="0"/>
  </r>
  <r>
    <d v="2025-08-19T14:22:34"/>
    <n v="272"/>
    <x v="185"/>
    <d v="2025-08-19T00:00:00"/>
    <d v="2026-03-30T00:00:00"/>
    <x v="10"/>
    <x v="0"/>
    <s v="510200"/>
    <x v="4"/>
    <x v="0"/>
    <s v="KG"/>
    <n v="20.65"/>
    <s v="5340"/>
    <s v="SAFRA 25/26"/>
    <n v="2600"/>
    <n v="0"/>
    <n v="2600"/>
    <n v="53689.999999999993"/>
    <m/>
    <s v="MARCELANDIA"/>
    <s v="47787082968"/>
    <n v="20.65"/>
    <n v="0"/>
  </r>
  <r>
    <d v="2025-10-13T09:18:24"/>
    <n v="342"/>
    <x v="185"/>
    <d v="2025-10-13T00:00:00"/>
    <d v="2026-04-30T00:00:00"/>
    <x v="13"/>
    <x v="0"/>
    <s v="510200"/>
    <x v="16"/>
    <x v="2"/>
    <s v="KG"/>
    <n v="80"/>
    <s v="236"/>
    <s v="SAFRA 25/26"/>
    <n v="8"/>
    <n v="0"/>
    <n v="8"/>
    <n v="640"/>
    <m/>
    <s v="MARCELANDIA"/>
    <s v="47787082968"/>
    <n v="80"/>
    <n v="0"/>
  </r>
  <r>
    <d v="2025-10-13T09:18:24"/>
    <n v="342"/>
    <x v="185"/>
    <d v="2025-10-13T00:00:00"/>
    <d v="2026-04-30T00:00:00"/>
    <x v="13"/>
    <x v="0"/>
    <s v="510200"/>
    <x v="15"/>
    <x v="2"/>
    <s v="LT"/>
    <n v="165"/>
    <s v="236"/>
    <s v="SAFRA 25/26"/>
    <n v="20"/>
    <n v="0"/>
    <n v="20"/>
    <n v="3300"/>
    <m/>
    <s v="MARCELANDIA"/>
    <s v="47787082968"/>
    <n v="165"/>
    <n v="0"/>
  </r>
  <r>
    <d v="2025-10-13T09:18:24"/>
    <n v="342"/>
    <x v="185"/>
    <d v="2025-10-13T00:00:00"/>
    <d v="2026-04-30T00:00:00"/>
    <x v="13"/>
    <x v="0"/>
    <s v="510200"/>
    <x v="88"/>
    <x v="0"/>
    <s v="LT"/>
    <n v="80"/>
    <s v="236"/>
    <s v="SAFRA 25/26"/>
    <n v="12"/>
    <n v="0"/>
    <n v="12"/>
    <n v="960"/>
    <m/>
    <s v="MARCELANDIA"/>
    <s v="47787082968"/>
    <n v="80"/>
    <n v="0"/>
  </r>
  <r>
    <d v="2025-11-05T14:29:14"/>
    <n v="398"/>
    <x v="185"/>
    <d v="2025-11-05T00:00:00"/>
    <d v="2026-04-30T00:00:00"/>
    <x v="13"/>
    <x v="0"/>
    <s v="510200"/>
    <x v="1"/>
    <x v="0"/>
    <s v="LT"/>
    <n v="160"/>
    <m/>
    <s v="SAFRA 25/26"/>
    <n v="40"/>
    <n v="0"/>
    <n v="40"/>
    <n v="6400"/>
    <m/>
    <s v="MARCELANDIA"/>
    <s v="47787082968"/>
    <n v="160"/>
    <n v="0"/>
  </r>
  <r>
    <d v="2025-11-05T14:29:14"/>
    <n v="398"/>
    <x v="185"/>
    <d v="2025-11-05T00:00:00"/>
    <d v="2026-04-30T00:00:00"/>
    <x v="13"/>
    <x v="0"/>
    <s v="510200"/>
    <x v="46"/>
    <x v="0"/>
    <s v="LT"/>
    <n v="16"/>
    <m/>
    <s v="SAFRA 25/26"/>
    <n v="200"/>
    <n v="0"/>
    <n v="200"/>
    <n v="3200"/>
    <m/>
    <s v="MARCELANDIA"/>
    <s v="47787082968"/>
    <n v="16"/>
    <n v="0"/>
  </r>
  <r>
    <d v="2025-11-05T14:29:14"/>
    <n v="398"/>
    <x v="185"/>
    <d v="2025-11-05T00:00:00"/>
    <d v="2026-04-30T00:00:00"/>
    <x v="13"/>
    <x v="0"/>
    <s v="510200"/>
    <x v="0"/>
    <x v="0"/>
    <s v="LT"/>
    <n v="18"/>
    <m/>
    <s v="SAFRA 25/26"/>
    <n v="120"/>
    <n v="0"/>
    <n v="120"/>
    <n v="2160"/>
    <m/>
    <s v="MARCELANDIA"/>
    <s v="47787082968"/>
    <n v="18"/>
    <n v="0"/>
  </r>
  <r>
    <d v="2025-11-05T14:29:14"/>
    <n v="398"/>
    <x v="185"/>
    <d v="2025-11-05T00:00:00"/>
    <d v="2026-04-30T00:00:00"/>
    <x v="13"/>
    <x v="0"/>
    <s v="510200"/>
    <x v="5"/>
    <x v="0"/>
    <s v="KG"/>
    <n v="27"/>
    <m/>
    <s v="SAFRA 25/26"/>
    <n v="200"/>
    <n v="0"/>
    <n v="200"/>
    <n v="5400"/>
    <m/>
    <s v="MARCELANDIA"/>
    <s v="47787082968"/>
    <n v="27"/>
    <n v="0"/>
  </r>
  <r>
    <d v="2025-11-05T14:29:14"/>
    <n v="398"/>
    <x v="185"/>
    <d v="2025-11-05T00:00:00"/>
    <d v="2026-04-30T00:00:00"/>
    <x v="13"/>
    <x v="0"/>
    <s v="510200"/>
    <x v="3"/>
    <x v="0"/>
    <s v="LT"/>
    <n v="23"/>
    <m/>
    <s v="SAFRA 25/26"/>
    <n v="120"/>
    <n v="0"/>
    <n v="120"/>
    <n v="2760"/>
    <m/>
    <s v="MARCELANDIA"/>
    <s v="47787082968"/>
    <n v="23"/>
    <n v="0"/>
  </r>
  <r>
    <d v="2025-11-05T14:29:14"/>
    <n v="398"/>
    <x v="185"/>
    <d v="2025-11-05T00:00:00"/>
    <d v="2026-04-30T00:00:00"/>
    <x v="13"/>
    <x v="0"/>
    <s v="510200"/>
    <x v="41"/>
    <x v="0"/>
    <s v="LT"/>
    <n v="88"/>
    <m/>
    <s v="SAFRA 25/26"/>
    <n v="40"/>
    <n v="0"/>
    <n v="40"/>
    <n v="3520"/>
    <m/>
    <s v="MARCELANDIA"/>
    <s v="47787082968"/>
    <n v="88"/>
    <n v="0"/>
  </r>
  <r>
    <d v="2025-11-05T14:29:14"/>
    <n v="398"/>
    <x v="185"/>
    <d v="2025-11-05T00:00:00"/>
    <d v="2026-04-30T00:00:00"/>
    <x v="13"/>
    <x v="0"/>
    <s v="510200"/>
    <x v="8"/>
    <x v="0"/>
    <s v="KG"/>
    <n v="94"/>
    <m/>
    <s v="SAFRA 25/26"/>
    <n v="18"/>
    <n v="0"/>
    <n v="18"/>
    <n v="1692"/>
    <m/>
    <s v="MARCELANDIA"/>
    <s v="47787082968"/>
    <n v="94"/>
    <n v="0"/>
  </r>
  <r>
    <d v="2025-11-05T14:29:14"/>
    <n v="398"/>
    <x v="185"/>
    <d v="2025-11-05T00:00:00"/>
    <d v="2026-04-30T00:00:00"/>
    <x v="13"/>
    <x v="0"/>
    <s v="510200"/>
    <x v="2"/>
    <x v="0"/>
    <s v="KG"/>
    <n v="24"/>
    <m/>
    <s v="SAFRA 25/26"/>
    <n v="200"/>
    <n v="0"/>
    <n v="200"/>
    <n v="4800"/>
    <m/>
    <s v="MARCELANDIA"/>
    <s v="47787082968"/>
    <n v="24"/>
    <n v="0"/>
  </r>
  <r>
    <d v="2025-11-07T07:12:47"/>
    <n v="399"/>
    <x v="185"/>
    <d v="2025-11-06T00:00:00"/>
    <d v="2026-04-30T00:00:00"/>
    <x v="13"/>
    <x v="0"/>
    <s v="510200"/>
    <x v="39"/>
    <x v="0"/>
    <s v="LT"/>
    <n v="19"/>
    <s v="409"/>
    <s v="SAFRA 25/26"/>
    <n v="200"/>
    <n v="0"/>
    <n v="200"/>
    <n v="3800"/>
    <m/>
    <s v="MARCELANDIA"/>
    <s v="47787082968"/>
    <n v="19"/>
    <n v="0"/>
  </r>
  <r>
    <d v="2025-11-07T12:16:52"/>
    <n v="401"/>
    <x v="185"/>
    <d v="2025-11-07T00:00:00"/>
    <d v="2026-04-30T00:00:00"/>
    <x v="13"/>
    <x v="0"/>
    <s v="510200"/>
    <x v="41"/>
    <x v="0"/>
    <s v="LT"/>
    <n v="88"/>
    <s v="408"/>
    <s v="SAFRA 25/26"/>
    <n v="20"/>
    <n v="0"/>
    <n v="20"/>
    <n v="1760"/>
    <m/>
    <s v="PEIXOTO DE AZEVEDO"/>
    <s v="47787082968"/>
    <n v="88"/>
    <n v="0"/>
  </r>
  <r>
    <d v="2025-11-07T12:16:52"/>
    <n v="401"/>
    <x v="185"/>
    <d v="2025-11-07T00:00:00"/>
    <d v="2026-04-30T00:00:00"/>
    <x v="13"/>
    <x v="0"/>
    <s v="510200"/>
    <x v="8"/>
    <x v="0"/>
    <s v="KG"/>
    <n v="94"/>
    <s v="408"/>
    <s v="SAFRA 25/26"/>
    <n v="9"/>
    <n v="0"/>
    <n v="9"/>
    <n v="846"/>
    <m/>
    <s v="PEIXOTO DE AZEVEDO"/>
    <s v="47787082968"/>
    <n v="94"/>
    <n v="0"/>
  </r>
  <r>
    <d v="2025-11-07T12:16:52"/>
    <n v="401"/>
    <x v="185"/>
    <d v="2025-11-07T00:00:00"/>
    <d v="2026-04-30T00:00:00"/>
    <x v="13"/>
    <x v="0"/>
    <s v="510200"/>
    <x v="0"/>
    <x v="0"/>
    <s v="LT"/>
    <n v="18"/>
    <s v="408"/>
    <s v="SAFRA 25/26"/>
    <n v="60"/>
    <n v="0"/>
    <n v="60"/>
    <n v="1080"/>
    <m/>
    <s v="PEIXOTO DE AZEVEDO"/>
    <s v="47787082968"/>
    <n v="18"/>
    <n v="0"/>
  </r>
  <r>
    <d v="2025-11-07T12:16:52"/>
    <n v="401"/>
    <x v="185"/>
    <d v="2025-11-07T00:00:00"/>
    <d v="2026-04-30T00:00:00"/>
    <x v="13"/>
    <x v="0"/>
    <s v="510200"/>
    <x v="3"/>
    <x v="0"/>
    <s v="LT"/>
    <n v="23"/>
    <s v="408"/>
    <s v="SAFRA 25/26"/>
    <n v="60"/>
    <n v="0"/>
    <n v="60"/>
    <n v="1380"/>
    <m/>
    <s v="PEIXOTO DE AZEVEDO"/>
    <s v="47787082968"/>
    <n v="23"/>
    <n v="0"/>
  </r>
  <r>
    <d v="2025-11-07T12:16:52"/>
    <n v="401"/>
    <x v="185"/>
    <d v="2025-11-07T00:00:00"/>
    <d v="2026-04-30T00:00:00"/>
    <x v="13"/>
    <x v="0"/>
    <s v="510200"/>
    <x v="2"/>
    <x v="0"/>
    <s v="KG"/>
    <n v="24"/>
    <s v="408"/>
    <s v="SAFRA 25/26"/>
    <n v="100"/>
    <n v="0"/>
    <n v="100"/>
    <n v="2400"/>
    <m/>
    <s v="PEIXOTO DE AZEVEDO"/>
    <s v="47787082968"/>
    <n v="24"/>
    <n v="0"/>
  </r>
  <r>
    <d v="2025-11-07T12:16:52"/>
    <n v="401"/>
    <x v="185"/>
    <d v="2025-11-07T00:00:00"/>
    <d v="2026-04-30T00:00:00"/>
    <x v="13"/>
    <x v="0"/>
    <s v="510200"/>
    <x v="46"/>
    <x v="0"/>
    <s v="LT"/>
    <n v="16"/>
    <s v="408"/>
    <s v="SAFRA 25/26"/>
    <n v="100"/>
    <n v="0"/>
    <n v="100"/>
    <n v="1600"/>
    <m/>
    <s v="PEIXOTO DE AZEVEDO"/>
    <s v="47787082968"/>
    <n v="16"/>
    <n v="0"/>
  </r>
  <r>
    <d v="2025-11-07T12:16:52"/>
    <n v="401"/>
    <x v="185"/>
    <d v="2025-11-07T00:00:00"/>
    <d v="2026-04-30T00:00:00"/>
    <x v="13"/>
    <x v="0"/>
    <s v="510200"/>
    <x v="5"/>
    <x v="0"/>
    <s v="KG"/>
    <n v="27"/>
    <s v="408"/>
    <s v="SAFRA 25/26"/>
    <n v="100"/>
    <n v="0"/>
    <n v="100"/>
    <n v="2700"/>
    <m/>
    <s v="PEIXOTO DE AZEVEDO"/>
    <s v="47787082968"/>
    <n v="27"/>
    <n v="0"/>
  </r>
  <r>
    <d v="2025-11-07T12:16:52"/>
    <n v="401"/>
    <x v="185"/>
    <d v="2025-11-07T00:00:00"/>
    <d v="2026-04-30T00:00:00"/>
    <x v="13"/>
    <x v="0"/>
    <s v="510200"/>
    <x v="39"/>
    <x v="0"/>
    <s v="LT"/>
    <n v="19"/>
    <s v="408"/>
    <s v="SAFRA 25/26"/>
    <n v="100"/>
    <n v="0"/>
    <n v="100"/>
    <n v="1900"/>
    <m/>
    <s v="PEIXOTO DE AZEVEDO"/>
    <s v="47787082968"/>
    <n v="19"/>
    <n v="0"/>
  </r>
  <r>
    <d v="2025-11-07T12:16:52"/>
    <n v="401"/>
    <x v="185"/>
    <d v="2025-11-07T00:00:00"/>
    <d v="2026-04-30T00:00:00"/>
    <x v="13"/>
    <x v="0"/>
    <s v="510200"/>
    <x v="1"/>
    <x v="0"/>
    <s v="LT"/>
    <n v="160"/>
    <s v="408"/>
    <s v="SAFRA 25/26"/>
    <n v="20"/>
    <n v="0"/>
    <n v="20"/>
    <n v="3200"/>
    <m/>
    <s v="PEIXOTO DE AZEVEDO"/>
    <s v="47787082968"/>
    <n v="160"/>
    <n v="0"/>
  </r>
  <r>
    <d v="2025-11-10T10:36:51"/>
    <n v="407"/>
    <x v="185"/>
    <d v="2025-11-10T00:00:00"/>
    <d v="2026-04-30T00:00:00"/>
    <x v="13"/>
    <x v="0"/>
    <s v="510200"/>
    <x v="16"/>
    <x v="2"/>
    <s v="KG"/>
    <n v="80"/>
    <s v="412"/>
    <s v="SAFRA 25/26"/>
    <n v="3"/>
    <n v="0"/>
    <n v="3"/>
    <n v="240"/>
    <m/>
    <s v="PEIXOTO DE AZEVEDO"/>
    <s v="47787082968"/>
    <n v="80"/>
    <n v="0"/>
  </r>
  <r>
    <d v="2025-11-10T10:36:51"/>
    <n v="407"/>
    <x v="185"/>
    <d v="2025-11-10T00:00:00"/>
    <d v="2026-04-30T00:00:00"/>
    <x v="13"/>
    <x v="0"/>
    <s v="510200"/>
    <x v="15"/>
    <x v="2"/>
    <s v="LT"/>
    <n v="160"/>
    <s v="412"/>
    <s v="SAFRA 25/26"/>
    <n v="8"/>
    <n v="0"/>
    <n v="8"/>
    <n v="1280"/>
    <m/>
    <s v="PEIXOTO DE AZEVEDO"/>
    <s v="47787082968"/>
    <n v="160"/>
    <n v="0"/>
  </r>
  <r>
    <d v="2025-11-10T10:36:51"/>
    <n v="407"/>
    <x v="185"/>
    <d v="2025-11-10T00:00:00"/>
    <d v="2026-04-30T00:00:00"/>
    <x v="13"/>
    <x v="0"/>
    <s v="510200"/>
    <x v="88"/>
    <x v="0"/>
    <s v="LT"/>
    <n v="85"/>
    <s v="412"/>
    <s v="SAFRA 25/26"/>
    <n v="6"/>
    <n v="0"/>
    <n v="6"/>
    <n v="510"/>
    <m/>
    <s v="PEIXOTO DE AZEVEDO"/>
    <s v="47787082968"/>
    <n v="85"/>
    <n v="0"/>
  </r>
  <r>
    <d v="2026-01-29T14:58:08"/>
    <n v="518"/>
    <x v="185"/>
    <d v="2026-01-29T00:00:00"/>
    <d v="2026-08-30T00:00:00"/>
    <x v="13"/>
    <x v="0"/>
    <s v="510200"/>
    <x v="46"/>
    <x v="0"/>
    <s v="LT"/>
    <n v="17.5"/>
    <s v="5239"/>
    <s v="SAFRINHA 2026"/>
    <n v="300"/>
    <n v="0"/>
    <n v="300"/>
    <n v="5250"/>
    <m/>
    <s v="PEIXOTO DE AZEVEDO"/>
    <s v="47787082968"/>
    <n v="17.5"/>
    <n v="0"/>
  </r>
  <r>
    <d v="2026-01-29T14:58:08"/>
    <n v="518"/>
    <x v="185"/>
    <d v="2026-01-29T00:00:00"/>
    <d v="2026-08-30T00:00:00"/>
    <x v="13"/>
    <x v="0"/>
    <s v="510200"/>
    <x v="2"/>
    <x v="0"/>
    <s v="KG"/>
    <n v="24"/>
    <s v="5239"/>
    <s v="SAFRINHA 2026"/>
    <n v="300"/>
    <n v="0"/>
    <n v="300"/>
    <n v="7200"/>
    <m/>
    <s v="PEIXOTO DE AZEVEDO"/>
    <s v="47787082968"/>
    <n v="24"/>
    <n v="0"/>
  </r>
  <r>
    <d v="2026-01-29T14:58:08"/>
    <n v="518"/>
    <x v="185"/>
    <d v="2026-01-29T00:00:00"/>
    <d v="2026-08-30T00:00:00"/>
    <x v="13"/>
    <x v="0"/>
    <s v="510200"/>
    <x v="1"/>
    <x v="0"/>
    <s v="LT"/>
    <n v="160"/>
    <s v="5239"/>
    <s v="SAFRINHA 2026"/>
    <n v="60"/>
    <n v="0"/>
    <n v="60"/>
    <n v="9600"/>
    <m/>
    <s v="PEIXOTO DE AZEVEDO"/>
    <s v="47787082968"/>
    <n v="160"/>
    <n v="0"/>
  </r>
  <r>
    <d v="2026-01-29T14:58:08"/>
    <n v="518"/>
    <x v="185"/>
    <d v="2026-01-29T00:00:00"/>
    <d v="2026-08-30T00:00:00"/>
    <x v="13"/>
    <x v="0"/>
    <s v="510200"/>
    <x v="3"/>
    <x v="0"/>
    <s v="LT"/>
    <n v="28"/>
    <s v="5239"/>
    <s v="SAFRINHA 2026"/>
    <n v="60"/>
    <n v="0"/>
    <n v="60"/>
    <n v="1680"/>
    <m/>
    <s v="PEIXOTO DE AZEVEDO"/>
    <s v="47787082968"/>
    <n v="28"/>
    <n v="0"/>
  </r>
  <r>
    <d v="2026-01-29T14:58:08"/>
    <n v="518"/>
    <x v="185"/>
    <d v="2026-01-29T00:00:00"/>
    <d v="2026-08-30T00:00:00"/>
    <x v="13"/>
    <x v="0"/>
    <s v="510200"/>
    <x v="0"/>
    <x v="0"/>
    <s v="LT"/>
    <n v="17"/>
    <s v="5239"/>
    <s v="SAFRINHA 2026"/>
    <n v="60"/>
    <n v="0"/>
    <n v="60"/>
    <n v="1020"/>
    <m/>
    <s v="PEIXOTO DE AZEVEDO"/>
    <s v="47787082968"/>
    <n v="17"/>
    <n v="0"/>
  </r>
  <r>
    <d v="2026-01-29T15:02:27"/>
    <n v="519"/>
    <x v="185"/>
    <d v="2026-01-29T00:00:00"/>
    <d v="2026-08-30T00:00:00"/>
    <x v="13"/>
    <x v="0"/>
    <s v="510200"/>
    <x v="0"/>
    <x v="0"/>
    <s v="LT"/>
    <n v="17"/>
    <s v="5238"/>
    <s v="SAFRINHA 2026"/>
    <n v="60"/>
    <n v="0"/>
    <n v="60"/>
    <n v="1020"/>
    <m/>
    <s v="MARCELANDIA"/>
    <s v="47787082968"/>
    <n v="17"/>
    <n v="0"/>
  </r>
  <r>
    <d v="2026-01-29T15:02:27"/>
    <n v="519"/>
    <x v="185"/>
    <d v="2026-01-29T00:00:00"/>
    <d v="2026-08-30T00:00:00"/>
    <x v="13"/>
    <x v="0"/>
    <s v="510200"/>
    <x v="2"/>
    <x v="0"/>
    <s v="KG"/>
    <n v="24"/>
    <s v="5238"/>
    <s v="SAFRINHA 2026"/>
    <n v="300"/>
    <n v="0"/>
    <n v="300"/>
    <n v="7200"/>
    <m/>
    <s v="MARCELANDIA"/>
    <s v="47787082968"/>
    <n v="24"/>
    <n v="0"/>
  </r>
  <r>
    <d v="2026-01-29T15:02:27"/>
    <n v="519"/>
    <x v="185"/>
    <d v="2026-01-29T00:00:00"/>
    <d v="2026-08-30T00:00:00"/>
    <x v="13"/>
    <x v="0"/>
    <s v="510200"/>
    <x v="46"/>
    <x v="0"/>
    <s v="LT"/>
    <n v="17.5"/>
    <s v="5238"/>
    <s v="SAFRINHA 2026"/>
    <n v="300"/>
    <n v="0"/>
    <n v="300"/>
    <n v="5250"/>
    <m/>
    <s v="MARCELANDIA"/>
    <s v="47787082968"/>
    <n v="17.5"/>
    <n v="0"/>
  </r>
  <r>
    <d v="2026-01-29T15:02:27"/>
    <n v="519"/>
    <x v="185"/>
    <d v="2026-01-29T00:00:00"/>
    <d v="2026-08-30T00:00:00"/>
    <x v="13"/>
    <x v="0"/>
    <s v="510200"/>
    <x v="3"/>
    <x v="0"/>
    <s v="LT"/>
    <n v="28"/>
    <s v="5238"/>
    <s v="SAFRINHA 2026"/>
    <n v="60"/>
    <n v="0"/>
    <n v="60"/>
    <n v="1680"/>
    <m/>
    <s v="MARCELANDIA"/>
    <s v="47787082968"/>
    <n v="28"/>
    <n v="0"/>
  </r>
  <r>
    <d v="2026-01-29T15:02:27"/>
    <n v="519"/>
    <x v="185"/>
    <d v="2026-01-29T00:00:00"/>
    <d v="2026-08-30T00:00:00"/>
    <x v="13"/>
    <x v="0"/>
    <s v="510200"/>
    <x v="1"/>
    <x v="0"/>
    <s v="LT"/>
    <n v="160"/>
    <s v="5238"/>
    <s v="SAFRINHA 2026"/>
    <n v="60"/>
    <n v="0"/>
    <n v="60"/>
    <n v="9600"/>
    <m/>
    <s v="MARCELANDIA"/>
    <s v="47787082968"/>
    <n v="160"/>
    <n v="0"/>
  </r>
  <r>
    <d v="2026-02-13T15:20:27"/>
    <n v="546"/>
    <x v="185"/>
    <d v="2026-02-13T00:00:00"/>
    <d v="2026-08-30T00:00:00"/>
    <x v="13"/>
    <x v="0"/>
    <s v="510200"/>
    <x v="39"/>
    <x v="0"/>
    <s v="LT"/>
    <n v="22"/>
    <s v="5246"/>
    <s v="SAFRINHA 2026"/>
    <n v="60"/>
    <n v="0"/>
    <n v="60"/>
    <n v="1320"/>
    <m/>
    <s v="MARCELANDIA"/>
    <s v="47787082968"/>
    <n v="22"/>
    <n v="0"/>
  </r>
  <r>
    <d v="2025-05-12T08:08:50"/>
    <n v="215"/>
    <x v="186"/>
    <d v="2025-05-12T00:00:00"/>
    <d v="2026-04-30T00:00:00"/>
    <x v="2"/>
    <x v="2"/>
    <s v="510200"/>
    <x v="11"/>
    <x v="1"/>
    <s v="LT"/>
    <n v="338"/>
    <s v="5158"/>
    <s v="SAFRA 25/26"/>
    <n v="71"/>
    <n v="0"/>
    <n v="71"/>
    <n v="23998"/>
    <m/>
    <s v="ROSARIO OESTE"/>
    <s v="11171480172"/>
    <n v="338"/>
    <n v="0"/>
  </r>
  <r>
    <d v="2025-05-12T08:08:50"/>
    <n v="215"/>
    <x v="186"/>
    <d v="2025-05-12T00:00:00"/>
    <d v="2026-04-30T00:00:00"/>
    <x v="2"/>
    <x v="2"/>
    <s v="510200"/>
    <x v="10"/>
    <x v="1"/>
    <s v="LT"/>
    <n v="338"/>
    <s v="5158"/>
    <s v="SAFRA 25/26"/>
    <n v="75"/>
    <n v="0"/>
    <n v="75"/>
    <n v="25350"/>
    <m/>
    <s v="ROSARIO OESTE"/>
    <s v="11171480172"/>
    <n v="338"/>
    <n v="0"/>
  </r>
  <r>
    <d v="2025-05-12T08:08:50"/>
    <n v="215"/>
    <x v="186"/>
    <d v="2025-05-12T00:00:00"/>
    <d v="2026-04-30T00:00:00"/>
    <x v="2"/>
    <x v="2"/>
    <s v="510200"/>
    <x v="9"/>
    <x v="1"/>
    <s v="LT"/>
    <n v="48"/>
    <s v="5158"/>
    <s v="SAFRA 25/26"/>
    <n v="150"/>
    <n v="0"/>
    <n v="150"/>
    <n v="7200"/>
    <m/>
    <s v="ROSARIO OESTE"/>
    <s v="11171480172"/>
    <n v="48"/>
    <n v="0"/>
  </r>
  <r>
    <d v="2025-05-12T08:08:50"/>
    <n v="215"/>
    <x v="186"/>
    <d v="2025-05-12T00:00:00"/>
    <d v="2026-04-30T00:00:00"/>
    <x v="2"/>
    <x v="2"/>
    <s v="510200"/>
    <x v="18"/>
    <x v="1"/>
    <s v="KG"/>
    <n v="200"/>
    <s v="5158"/>
    <s v="SAFRA 25/26"/>
    <n v="130"/>
    <n v="0"/>
    <n v="130"/>
    <n v="26000"/>
    <m/>
    <s v="ROSARIO OESTE"/>
    <s v="11171480172"/>
    <n v="200"/>
    <n v="0"/>
  </r>
  <r>
    <d v="2025-12-31T09:52:48"/>
    <n v="4399"/>
    <x v="187"/>
    <d v="2025-12-31T00:00:00"/>
    <d v="2026-03-30T00:00:00"/>
    <x v="0"/>
    <x v="0"/>
    <s v="510200"/>
    <x v="24"/>
    <x v="2"/>
    <s v="LT"/>
    <n v="65"/>
    <s v="5916"/>
    <s v="SAFRA 25/26"/>
    <n v="150"/>
    <n v="0"/>
    <n v="150"/>
    <n v="9750"/>
    <m/>
    <s v="SORRISO"/>
    <s v="60159510104"/>
    <n v="65"/>
    <n v="0"/>
  </r>
  <r>
    <d v="2025-09-26T11:12:18"/>
    <n v="4095"/>
    <x v="188"/>
    <d v="2025-09-26T00:00:00"/>
    <d v="2025-09-26T00:00:00"/>
    <x v="3"/>
    <x v="1"/>
    <s v="510200"/>
    <x v="18"/>
    <x v="1"/>
    <s v="KG"/>
    <n v="200"/>
    <s v="5633"/>
    <s v="SAFRA 25/26"/>
    <n v="30"/>
    <n v="0"/>
    <n v="30"/>
    <n v="6000"/>
    <m/>
    <s v="PEIXOTO DE AZEVEDO"/>
    <s v="01536165980"/>
    <n v="200"/>
    <n v="0"/>
  </r>
  <r>
    <d v="2025-09-23T09:16:37"/>
    <n v="4066"/>
    <x v="189"/>
    <d v="2025-09-23T00:00:00"/>
    <d v="2026-03-30T00:00:00"/>
    <x v="0"/>
    <x v="0"/>
    <s v="510200"/>
    <x v="121"/>
    <x v="0"/>
    <s v="LT"/>
    <n v="300"/>
    <s v="5625"/>
    <s v="SAFRA 25/26"/>
    <n v="190"/>
    <n v="0"/>
    <n v="190"/>
    <n v="57000"/>
    <m/>
    <s v="SORRISO"/>
    <s v="19322356049"/>
    <n v="300"/>
    <n v="0"/>
  </r>
  <r>
    <d v="2025-09-23T09:16:37"/>
    <n v="4066"/>
    <x v="189"/>
    <d v="2025-09-23T00:00:00"/>
    <d v="2026-03-30T00:00:00"/>
    <x v="0"/>
    <x v="1"/>
    <s v="510200"/>
    <x v="10"/>
    <x v="1"/>
    <s v="LT"/>
    <n v="300"/>
    <s v="5625"/>
    <s v="SAFRA 25/26"/>
    <n v="200"/>
    <n v="0"/>
    <n v="200"/>
    <n v="60000"/>
    <m/>
    <s v="SORRISO"/>
    <s v="19322356049"/>
    <n v="300"/>
    <n v="0"/>
  </r>
  <r>
    <d v="2025-09-29T11:33:25"/>
    <n v="4103"/>
    <x v="189"/>
    <d v="2025-09-29T00:00:00"/>
    <d v="2026-03-30T00:00:00"/>
    <x v="0"/>
    <x v="1"/>
    <s v="510200"/>
    <x v="14"/>
    <x v="1"/>
    <s v="KG"/>
    <n v="380"/>
    <s v="5635"/>
    <s v="SAFRA 25/26"/>
    <n v="15"/>
    <n v="0"/>
    <n v="15"/>
    <n v="5700"/>
    <m/>
    <s v="SORRISO"/>
    <s v="19322356049"/>
    <n v="380"/>
    <n v="0"/>
  </r>
  <r>
    <d v="2025-10-15T08:32:53"/>
    <n v="4161"/>
    <x v="189"/>
    <d v="2025-10-15T00:00:00"/>
    <d v="2026-03-30T00:00:00"/>
    <x v="0"/>
    <x v="0"/>
    <s v="510200"/>
    <x v="6"/>
    <x v="0"/>
    <s v="LT"/>
    <n v="62"/>
    <s v="5660"/>
    <s v="SAFRA 25/26"/>
    <n v="200"/>
    <n v="0"/>
    <n v="200"/>
    <n v="12400"/>
    <m/>
    <s v="SORRISO"/>
    <s v="19322356049"/>
    <n v="62"/>
    <n v="0"/>
  </r>
  <r>
    <d v="2025-10-15T08:32:53"/>
    <n v="4161"/>
    <x v="189"/>
    <d v="2025-10-15T00:00:00"/>
    <d v="2026-03-30T00:00:00"/>
    <x v="0"/>
    <x v="0"/>
    <s v="510200"/>
    <x v="7"/>
    <x v="0"/>
    <s v="LT"/>
    <n v="62"/>
    <s v="5660"/>
    <s v="SAFRA 25/26"/>
    <n v="100"/>
    <n v="0"/>
    <n v="100"/>
    <n v="6200"/>
    <m/>
    <s v="SORRISO"/>
    <s v="19322356049"/>
    <n v="62"/>
    <n v="0"/>
  </r>
  <r>
    <d v="2025-11-19T07:28:24"/>
    <n v="4279"/>
    <x v="189"/>
    <d v="2025-11-19T00:00:00"/>
    <d v="2026-03-30T00:00:00"/>
    <x v="0"/>
    <x v="0"/>
    <s v="510200"/>
    <x v="6"/>
    <x v="0"/>
    <s v="LT"/>
    <n v="62"/>
    <s v="5820"/>
    <s v="SAFRA 25/26"/>
    <n v="300"/>
    <n v="0"/>
    <n v="300"/>
    <n v="18600"/>
    <m/>
    <s v="SORRISO"/>
    <s v="19322356049"/>
    <n v="62"/>
    <n v="0"/>
  </r>
  <r>
    <d v="2025-12-05T10:18:41"/>
    <n v="4330"/>
    <x v="189"/>
    <d v="2025-12-05T00:00:00"/>
    <d v="2026-08-30T00:00:00"/>
    <x v="0"/>
    <x v="0"/>
    <s v="510200"/>
    <x v="121"/>
    <x v="0"/>
    <s v="LT"/>
    <n v="300"/>
    <s v="5843"/>
    <s v="SAFRINHA 2026"/>
    <n v="200"/>
    <n v="0"/>
    <n v="200"/>
    <n v="60000"/>
    <m/>
    <s v="SORRISO"/>
    <s v="19322356049"/>
    <n v="300"/>
    <n v="0"/>
  </r>
  <r>
    <d v="2025-12-05T10:18:41"/>
    <n v="4330"/>
    <x v="189"/>
    <d v="2025-12-05T00:00:00"/>
    <d v="2026-08-30T00:00:00"/>
    <x v="0"/>
    <x v="1"/>
    <s v="510200"/>
    <x v="10"/>
    <x v="1"/>
    <s v="LT"/>
    <n v="300"/>
    <s v="5843"/>
    <s v="SAFRINHA 2026"/>
    <n v="200"/>
    <n v="0"/>
    <n v="200"/>
    <n v="60000"/>
    <m/>
    <s v="SORRISO"/>
    <s v="19322356049"/>
    <n v="300"/>
    <n v="0"/>
  </r>
  <r>
    <d v="2026-01-07T14:00:14"/>
    <n v="4415"/>
    <x v="189"/>
    <d v="2026-01-07T00:00:00"/>
    <d v="2026-08-30T00:00:00"/>
    <x v="0"/>
    <x v="0"/>
    <s v="510200"/>
    <x v="7"/>
    <x v="0"/>
    <s v="LT"/>
    <n v="62"/>
    <s v="5871"/>
    <s v="SAFRINHA 2026"/>
    <n v="200"/>
    <n v="0"/>
    <n v="200"/>
    <n v="12400"/>
    <m/>
    <s v="SORRISO"/>
    <s v="19322356049"/>
    <n v="62"/>
    <n v="0"/>
  </r>
  <r>
    <d v="2026-01-07T14:00:14"/>
    <n v="4415"/>
    <x v="189"/>
    <d v="2026-01-07T00:00:00"/>
    <d v="2026-08-30T00:00:00"/>
    <x v="0"/>
    <x v="0"/>
    <s v="510200"/>
    <x v="6"/>
    <x v="0"/>
    <s v="LT"/>
    <n v="62"/>
    <s v="5871"/>
    <s v="SAFRINHA 2026"/>
    <n v="400"/>
    <n v="0"/>
    <n v="400"/>
    <n v="24800"/>
    <m/>
    <s v="SORRISO"/>
    <s v="19322356049"/>
    <n v="62"/>
    <n v="0"/>
  </r>
  <r>
    <d v="2026-02-15T10:14:21"/>
    <n v="4566"/>
    <x v="189"/>
    <d v="2026-02-15T00:00:00"/>
    <d v="2026-08-30T00:00:00"/>
    <x v="0"/>
    <x v="0"/>
    <s v="510200"/>
    <x v="7"/>
    <x v="0"/>
    <s v="LT"/>
    <n v="62"/>
    <s v="6082"/>
    <s v="SAFRINHA 2026"/>
    <n v="150"/>
    <n v="0"/>
    <n v="150"/>
    <n v="9300"/>
    <m/>
    <s v="SORRISO"/>
    <s v="19322356049"/>
    <n v="62"/>
    <n v="0"/>
  </r>
  <r>
    <d v="2025-04-14T11:07:41"/>
    <n v="182"/>
    <x v="190"/>
    <d v="2025-04-14T00:00:00"/>
    <d v="2026-08-30T00:00:00"/>
    <x v="2"/>
    <x v="0"/>
    <s v="510200"/>
    <x v="102"/>
    <x v="2"/>
    <s v="LT"/>
    <n v="11"/>
    <s v="4865"/>
    <s v="SAFRINHA 2026"/>
    <n v="2000"/>
    <n v="0"/>
    <n v="2000"/>
    <n v="22000"/>
    <m/>
    <s v="TABAPORA"/>
    <s v="01769215913"/>
    <n v="11"/>
    <n v="0"/>
  </r>
  <r>
    <d v="2025-04-30T07:47:45"/>
    <n v="206"/>
    <x v="190"/>
    <d v="2025-04-30T00:00:00"/>
    <d v="2026-03-30T00:00:00"/>
    <x v="2"/>
    <x v="0"/>
    <s v="510200"/>
    <x v="12"/>
    <x v="0"/>
    <s v="LT"/>
    <n v="200"/>
    <s v="5154"/>
    <s v="SAFRA 25/26"/>
    <n v="45"/>
    <n v="0"/>
    <n v="45"/>
    <n v="9000"/>
    <m/>
    <s v="TABAPORA"/>
    <s v="01769215913"/>
    <n v="200"/>
    <n v="0"/>
  </r>
  <r>
    <d v="2025-04-30T07:47:45"/>
    <n v="206"/>
    <x v="190"/>
    <d v="2025-04-30T00:00:00"/>
    <d v="2026-03-30T00:00:00"/>
    <x v="2"/>
    <x v="2"/>
    <s v="510200"/>
    <x v="11"/>
    <x v="1"/>
    <s v="LT"/>
    <n v="430.83"/>
    <s v="5154"/>
    <s v="SAFRA 25/26"/>
    <n v="30"/>
    <n v="0"/>
    <n v="30"/>
    <n v="12924.9"/>
    <m/>
    <s v="TABAPORA"/>
    <s v="01769215913"/>
    <n v="430.83"/>
    <n v="0"/>
  </r>
  <r>
    <d v="2025-04-30T07:47:45"/>
    <n v="206"/>
    <x v="190"/>
    <d v="2025-04-30T00:00:00"/>
    <d v="2026-03-30T00:00:00"/>
    <x v="2"/>
    <x v="2"/>
    <s v="510200"/>
    <x v="13"/>
    <x v="1"/>
    <s v="LT"/>
    <n v="46.86"/>
    <s v="5154"/>
    <s v="SAFRA 25/26"/>
    <n v="42"/>
    <n v="0"/>
    <n v="42"/>
    <n v="1968.12"/>
    <m/>
    <s v="TABAPORA"/>
    <s v="01769215913"/>
    <n v="46.86"/>
    <n v="0"/>
  </r>
  <r>
    <d v="2025-04-30T07:47:45"/>
    <n v="206"/>
    <x v="190"/>
    <d v="2025-04-30T00:00:00"/>
    <d v="2026-03-30T00:00:00"/>
    <x v="2"/>
    <x v="2"/>
    <s v="510200"/>
    <x v="9"/>
    <x v="1"/>
    <s v="LT"/>
    <n v="41"/>
    <s v="5154"/>
    <s v="SAFRA 25/26"/>
    <n v="42"/>
    <n v="0"/>
    <n v="42"/>
    <n v="1722"/>
    <m/>
    <s v="TABAPORA"/>
    <s v="01769215913"/>
    <n v="41"/>
    <n v="0"/>
  </r>
  <r>
    <d v="2025-04-30T07:47:45"/>
    <n v="206"/>
    <x v="190"/>
    <d v="2025-04-30T00:00:00"/>
    <d v="2026-03-30T00:00:00"/>
    <x v="2"/>
    <x v="0"/>
    <s v="510200"/>
    <x v="22"/>
    <x v="2"/>
    <s v="KG"/>
    <n v="20"/>
    <s v="5154"/>
    <s v="SAFRA 25/26"/>
    <n v="620"/>
    <n v="0"/>
    <n v="620"/>
    <n v="12400"/>
    <m/>
    <s v="TABAPORA"/>
    <s v="01769215913"/>
    <n v="20"/>
    <n v="0"/>
  </r>
  <r>
    <d v="2025-04-30T07:47:45"/>
    <n v="206"/>
    <x v="190"/>
    <d v="2025-04-30T00:00:00"/>
    <d v="2026-03-30T00:00:00"/>
    <x v="2"/>
    <x v="2"/>
    <s v="510200"/>
    <x v="14"/>
    <x v="1"/>
    <s v="KG"/>
    <n v="355"/>
    <s v="5154"/>
    <s v="SAFRA 25/26"/>
    <n v="21"/>
    <n v="0"/>
    <n v="21"/>
    <n v="7455"/>
    <m/>
    <s v="TABAPORA"/>
    <s v="01769215913"/>
    <n v="355"/>
    <n v="0"/>
  </r>
  <r>
    <d v="2025-04-30T07:47:45"/>
    <n v="206"/>
    <x v="190"/>
    <d v="2025-04-30T00:00:00"/>
    <d v="2026-03-30T00:00:00"/>
    <x v="2"/>
    <x v="2"/>
    <s v="510200"/>
    <x v="10"/>
    <x v="1"/>
    <s v="LT"/>
    <n v="429"/>
    <s v="5154"/>
    <s v="SAFRA 25/26"/>
    <n v="30"/>
    <n v="0"/>
    <n v="30"/>
    <n v="12870"/>
    <m/>
    <s v="TABAPORA"/>
    <s v="01769215913"/>
    <n v="429"/>
    <n v="0"/>
  </r>
  <r>
    <d v="2025-08-21T13:38:17"/>
    <n v="273"/>
    <x v="190"/>
    <d v="2025-08-21T00:00:00"/>
    <d v="2026-09-30T00:00:00"/>
    <x v="2"/>
    <x v="0"/>
    <s v="510200"/>
    <x v="2"/>
    <x v="0"/>
    <s v="KG"/>
    <n v="20"/>
    <s v="5143"/>
    <s v="SAFRINHA 2026"/>
    <n v="840"/>
    <n v="0"/>
    <n v="840"/>
    <n v="16800"/>
    <m/>
    <s v="TABAPORA"/>
    <s v="01769215913"/>
    <n v="20"/>
    <n v="0"/>
  </r>
  <r>
    <d v="2025-10-08T15:20:43"/>
    <n v="332"/>
    <x v="190"/>
    <d v="2025-10-07T00:00:00"/>
    <d v="2026-03-30T00:00:00"/>
    <x v="2"/>
    <x v="0"/>
    <s v="510200"/>
    <x v="30"/>
    <x v="2"/>
    <s v="LT"/>
    <n v="198"/>
    <m/>
    <s v="SAFRA 25/26"/>
    <n v="4"/>
    <n v="0"/>
    <n v="4"/>
    <n v="792"/>
    <m/>
    <s v="TABAPORA"/>
    <s v="01769215913"/>
    <n v="198"/>
    <n v="0"/>
  </r>
  <r>
    <d v="2025-11-17T12:37:29"/>
    <n v="413"/>
    <x v="190"/>
    <d v="2025-11-17T00:00:00"/>
    <d v="2026-03-30T00:00:00"/>
    <x v="2"/>
    <x v="0"/>
    <s v="510200"/>
    <x v="68"/>
    <x v="2"/>
    <s v="LT"/>
    <n v="16.8"/>
    <s v="91"/>
    <s v="SAFRA 25/26"/>
    <n v="175"/>
    <n v="0"/>
    <n v="175"/>
    <n v="2940"/>
    <m/>
    <s v="TABAPORA"/>
    <s v="01769215913"/>
    <n v="16.8"/>
    <n v="0"/>
  </r>
  <r>
    <d v="2025-11-21T08:11:13"/>
    <n v="416"/>
    <x v="190"/>
    <d v="2025-11-21T00:00:00"/>
    <d v="2026-09-30T00:00:00"/>
    <x v="2"/>
    <x v="0"/>
    <s v="510200"/>
    <x v="79"/>
    <x v="2"/>
    <s v="SC"/>
    <n v="640"/>
    <s v="156"/>
    <s v="SAFRINHA 2026"/>
    <n v="250"/>
    <n v="0"/>
    <n v="250"/>
    <n v="160000"/>
    <m/>
    <s v="TABAPORA"/>
    <s v="01769215913"/>
    <n v="640"/>
    <n v="0"/>
  </r>
  <r>
    <d v="2025-11-21T08:11:13"/>
    <n v="416"/>
    <x v="190"/>
    <d v="2025-11-21T00:00:00"/>
    <d v="2026-09-30T00:00:00"/>
    <x v="2"/>
    <x v="0"/>
    <s v="510200"/>
    <x v="109"/>
    <x v="2"/>
    <s v="SC"/>
    <n v="800"/>
    <s v="156"/>
    <s v="SAFRINHA 2026"/>
    <n v="10"/>
    <n v="0"/>
    <n v="10"/>
    <n v="8000"/>
    <m/>
    <s v="TABAPORA"/>
    <s v="01769215913"/>
    <n v="800"/>
    <n v="0"/>
  </r>
  <r>
    <d v="2025-11-21T08:11:13"/>
    <n v="416"/>
    <x v="190"/>
    <d v="2025-11-21T00:00:00"/>
    <d v="2026-09-30T00:00:00"/>
    <x v="2"/>
    <x v="2"/>
    <s v="510200"/>
    <x v="74"/>
    <x v="1"/>
    <s v="LT"/>
    <n v="40"/>
    <s v="156"/>
    <s v="SAFRINHA 2026"/>
    <n v="420"/>
    <n v="0"/>
    <n v="420"/>
    <n v="16800"/>
    <m/>
    <s v="TABAPORA"/>
    <s v="01769215913"/>
    <n v="40"/>
    <n v="0"/>
  </r>
  <r>
    <d v="2025-11-21T08:11:13"/>
    <n v="416"/>
    <x v="190"/>
    <d v="2025-11-21T00:00:00"/>
    <d v="2026-09-30T00:00:00"/>
    <x v="2"/>
    <x v="0"/>
    <s v="510200"/>
    <x v="122"/>
    <x v="2"/>
    <s v="SC"/>
    <n v="640"/>
    <s v="156"/>
    <s v="SAFRINHA 2026"/>
    <n v="10"/>
    <n v="0"/>
    <n v="10"/>
    <n v="6400"/>
    <m/>
    <s v="TABAPORA"/>
    <s v="01769215913"/>
    <n v="640"/>
    <n v="0"/>
  </r>
  <r>
    <d v="2025-11-21T08:11:13"/>
    <n v="416"/>
    <x v="190"/>
    <d v="2025-11-21T00:00:00"/>
    <d v="2026-09-30T00:00:00"/>
    <x v="2"/>
    <x v="0"/>
    <s v="510200"/>
    <x v="118"/>
    <x v="2"/>
    <s v="SC"/>
    <n v="800"/>
    <s v="156"/>
    <s v="SAFRINHA 2026"/>
    <n v="150"/>
    <n v="0"/>
    <n v="150"/>
    <n v="120000"/>
    <m/>
    <s v="TABAPORA"/>
    <s v="01769215913"/>
    <n v="800"/>
    <n v="0"/>
  </r>
  <r>
    <d v="2025-12-04T16:08:06"/>
    <n v="442"/>
    <x v="190"/>
    <d v="2025-12-04T00:00:00"/>
    <d v="2026-09-30T00:00:00"/>
    <x v="2"/>
    <x v="0"/>
    <s v="510200"/>
    <x v="6"/>
    <x v="0"/>
    <s v="LT"/>
    <n v="65"/>
    <s v="455"/>
    <s v="SAFRINHA 2026"/>
    <n v="150"/>
    <n v="0"/>
    <n v="150"/>
    <n v="9750"/>
    <m/>
    <s v="TABAPORA"/>
    <s v="01769215913"/>
    <n v="65"/>
    <n v="0"/>
  </r>
  <r>
    <d v="2025-10-11T07:45:51"/>
    <n v="4145"/>
    <x v="191"/>
    <d v="2025-10-11T00:00:00"/>
    <d v="2026-04-30T00:00:00"/>
    <x v="8"/>
    <x v="1"/>
    <s v="510200"/>
    <x v="14"/>
    <x v="1"/>
    <s v="KG"/>
    <n v="390"/>
    <s v="5655"/>
    <s v="SAFRA 25/26"/>
    <n v="15"/>
    <n v="0"/>
    <n v="15"/>
    <n v="5850"/>
    <m/>
    <s v="VERA"/>
    <s v="94534730144"/>
    <n v="390"/>
    <n v="0"/>
  </r>
  <r>
    <d v="2025-04-24T14:54:51"/>
    <n v="201"/>
    <x v="192"/>
    <d v="2025-04-24T00:00:00"/>
    <d v="2026-04-30T00:00:00"/>
    <x v="1"/>
    <x v="0"/>
    <s v="510200"/>
    <x v="8"/>
    <x v="0"/>
    <s v="KG"/>
    <n v="70"/>
    <s v="5072"/>
    <s v="SAFRA 25/26"/>
    <n v="30"/>
    <n v="0"/>
    <n v="30"/>
    <n v="2100"/>
    <m/>
    <s v="MARCELANDIA"/>
    <s v="04525220139"/>
    <n v="70"/>
    <n v="0"/>
  </r>
  <r>
    <d v="2025-04-24T14:54:51"/>
    <n v="201"/>
    <x v="192"/>
    <d v="2025-04-24T00:00:00"/>
    <d v="2026-04-30T00:00:00"/>
    <x v="1"/>
    <x v="0"/>
    <s v="510200"/>
    <x v="67"/>
    <x v="2"/>
    <s v="KG"/>
    <n v="175"/>
    <s v="5072"/>
    <s v="SAFRA 25/26"/>
    <n v="30"/>
    <n v="0"/>
    <n v="30"/>
    <n v="5250"/>
    <m/>
    <s v="MARCELANDIA"/>
    <s v="04525220139"/>
    <n v="175"/>
    <n v="0"/>
  </r>
  <r>
    <d v="2025-04-24T14:54:51"/>
    <n v="201"/>
    <x v="192"/>
    <d v="2025-04-24T00:00:00"/>
    <d v="2026-04-30T00:00:00"/>
    <x v="1"/>
    <x v="0"/>
    <s v="510200"/>
    <x v="68"/>
    <x v="2"/>
    <s v="LT"/>
    <n v="16"/>
    <s v="5072"/>
    <s v="SAFRA 25/26"/>
    <n v="200"/>
    <n v="0"/>
    <n v="200"/>
    <n v="3200"/>
    <m/>
    <s v="MARCELANDIA"/>
    <s v="04525220139"/>
    <n v="16"/>
    <n v="0"/>
  </r>
  <r>
    <d v="2025-04-24T14:54:51"/>
    <n v="201"/>
    <x v="192"/>
    <d v="2025-04-24T00:00:00"/>
    <d v="2026-04-30T00:00:00"/>
    <x v="1"/>
    <x v="0"/>
    <s v="510200"/>
    <x v="59"/>
    <x v="2"/>
    <s v="KG"/>
    <n v="235"/>
    <s v="5072"/>
    <s v="SAFRA 25/26"/>
    <n v="40"/>
    <n v="0"/>
    <n v="40"/>
    <n v="9400"/>
    <m/>
    <s v="MARCELANDIA"/>
    <s v="04525220139"/>
    <n v="235"/>
    <n v="0"/>
  </r>
  <r>
    <d v="2025-04-24T14:54:51"/>
    <n v="201"/>
    <x v="192"/>
    <d v="2025-04-24T00:00:00"/>
    <d v="2026-04-30T00:00:00"/>
    <x v="1"/>
    <x v="0"/>
    <s v="510200"/>
    <x v="101"/>
    <x v="2"/>
    <s v="KG"/>
    <n v="60"/>
    <s v="5072"/>
    <s v="SAFRA 25/26"/>
    <n v="60"/>
    <n v="0"/>
    <n v="60"/>
    <n v="3600"/>
    <m/>
    <s v="MARCELANDIA"/>
    <s v="04525220139"/>
    <n v="60"/>
    <n v="0"/>
  </r>
  <r>
    <d v="2025-04-24T14:54:51"/>
    <n v="201"/>
    <x v="192"/>
    <d v="2025-04-24T00:00:00"/>
    <d v="2026-04-30T00:00:00"/>
    <x v="1"/>
    <x v="0"/>
    <s v="510200"/>
    <x v="60"/>
    <x v="2"/>
    <s v="LT"/>
    <n v="22.5"/>
    <s v="5072"/>
    <s v="SAFRA 25/26"/>
    <n v="200"/>
    <n v="0"/>
    <n v="200"/>
    <n v="4500"/>
    <m/>
    <s v="MARCELANDIA"/>
    <s v="04525220139"/>
    <n v="22.5"/>
    <n v="0"/>
  </r>
  <r>
    <d v="2025-04-24T14:54:51"/>
    <n v="201"/>
    <x v="192"/>
    <d v="2025-04-24T00:00:00"/>
    <d v="2026-04-30T00:00:00"/>
    <x v="1"/>
    <x v="0"/>
    <s v="510200"/>
    <x v="56"/>
    <x v="2"/>
    <s v="KG"/>
    <n v="22.5"/>
    <s v="5072"/>
    <s v="SAFRA 25/26"/>
    <n v="300"/>
    <n v="0"/>
    <n v="300"/>
    <n v="6750"/>
    <m/>
    <s v="MARCELANDIA"/>
    <s v="04525220139"/>
    <n v="22.5"/>
    <n v="0"/>
  </r>
  <r>
    <d v="2025-04-24T14:54:51"/>
    <n v="201"/>
    <x v="192"/>
    <d v="2025-04-24T00:00:00"/>
    <d v="2026-04-30T00:00:00"/>
    <x v="1"/>
    <x v="0"/>
    <s v="510200"/>
    <x v="22"/>
    <x v="2"/>
    <s v="KG"/>
    <n v="19.5"/>
    <s v="5072"/>
    <s v="SAFRA 25/26"/>
    <n v="300"/>
    <n v="0"/>
    <n v="300"/>
    <n v="5850"/>
    <m/>
    <s v="MARCELANDIA"/>
    <s v="04525220139"/>
    <n v="19.5"/>
    <n v="0"/>
  </r>
  <r>
    <d v="2025-04-24T14:54:51"/>
    <n v="201"/>
    <x v="192"/>
    <d v="2025-04-24T00:00:00"/>
    <d v="2026-04-30T00:00:00"/>
    <x v="1"/>
    <x v="0"/>
    <s v="510200"/>
    <x v="47"/>
    <x v="2"/>
    <s v="KG"/>
    <n v="32"/>
    <s v="5072"/>
    <s v="SAFRA 25/26"/>
    <n v="160"/>
    <n v="0"/>
    <n v="160"/>
    <n v="5120"/>
    <m/>
    <s v="MARCELANDIA"/>
    <s v="04525220139"/>
    <n v="32"/>
    <n v="0"/>
  </r>
  <r>
    <d v="2025-04-24T14:54:51"/>
    <n v="201"/>
    <x v="192"/>
    <d v="2025-04-24T00:00:00"/>
    <d v="2026-04-30T00:00:00"/>
    <x v="1"/>
    <x v="0"/>
    <s v="510200"/>
    <x v="39"/>
    <x v="0"/>
    <s v="LT"/>
    <n v="20"/>
    <s v="5072"/>
    <s v="SAFRA 25/26"/>
    <n v="100"/>
    <n v="0"/>
    <n v="100"/>
    <n v="2000"/>
    <m/>
    <s v="MARCELANDIA"/>
    <s v="04525220139"/>
    <n v="20"/>
    <n v="0"/>
  </r>
  <r>
    <d v="2025-09-25T16:37:49"/>
    <n v="4093"/>
    <x v="193"/>
    <d v="2025-09-25T00:00:00"/>
    <d v="2026-03-30T00:00:00"/>
    <x v="6"/>
    <x v="0"/>
    <s v="510200"/>
    <x v="6"/>
    <x v="0"/>
    <s v="LT"/>
    <n v="69"/>
    <s v="5632"/>
    <s v="SAFRA 25/26"/>
    <n v="10"/>
    <n v="0"/>
    <n v="10"/>
    <n v="690"/>
    <m/>
    <s v="SORRISO"/>
    <s v="28474481953"/>
    <n v="69"/>
    <n v="0"/>
  </r>
  <r>
    <d v="2025-10-16T14:01:49"/>
    <n v="4172"/>
    <x v="193"/>
    <d v="2025-10-16T00:00:00"/>
    <d v="2026-04-30T00:00:00"/>
    <x v="6"/>
    <x v="0"/>
    <s v="510200"/>
    <x v="89"/>
    <x v="2"/>
    <s v="LT"/>
    <n v="95"/>
    <s v="5686"/>
    <s v="SAFRA 25/26"/>
    <n v="5"/>
    <n v="0"/>
    <n v="5"/>
    <n v="475"/>
    <m/>
    <s v="SORRISO"/>
    <s v="28474481953"/>
    <n v="95"/>
    <n v="0"/>
  </r>
  <r>
    <d v="2026-01-13T10:53:09"/>
    <n v="4436"/>
    <x v="193"/>
    <d v="2026-01-13T00:00:00"/>
    <d v="2026-09-30T00:00:00"/>
    <x v="6"/>
    <x v="0"/>
    <s v="510200"/>
    <x v="12"/>
    <x v="0"/>
    <s v="LT"/>
    <n v="230"/>
    <s v="6010"/>
    <s v="SAFRINHA 2026"/>
    <n v="10"/>
    <n v="0"/>
    <n v="10"/>
    <n v="2300"/>
    <m/>
    <s v="SORRISO"/>
    <s v="28474481953"/>
    <n v="230"/>
    <n v="0"/>
  </r>
  <r>
    <d v="2026-01-13T10:53:09"/>
    <n v="4436"/>
    <x v="193"/>
    <d v="2026-01-13T00:00:00"/>
    <d v="2026-09-30T00:00:00"/>
    <x v="6"/>
    <x v="1"/>
    <s v="510200"/>
    <x v="18"/>
    <x v="1"/>
    <s v="KG"/>
    <n v="195"/>
    <s v="6010"/>
    <s v="SAFRINHA 2026"/>
    <n v="6"/>
    <n v="0"/>
    <n v="6"/>
    <n v="1170"/>
    <m/>
    <s v="SORRISO"/>
    <s v="28474481953"/>
    <n v="195"/>
    <n v="0"/>
  </r>
  <r>
    <d v="2026-01-13T10:53:09"/>
    <n v="4436"/>
    <x v="193"/>
    <d v="2026-01-13T00:00:00"/>
    <d v="2026-09-30T00:00:00"/>
    <x v="6"/>
    <x v="1"/>
    <s v="510200"/>
    <x v="10"/>
    <x v="1"/>
    <s v="LT"/>
    <n v="340"/>
    <s v="6010"/>
    <s v="SAFRINHA 2026"/>
    <n v="2"/>
    <n v="0"/>
    <n v="2"/>
    <n v="680"/>
    <m/>
    <s v="SORRISO"/>
    <s v="28474481953"/>
    <n v="340"/>
    <n v="0"/>
  </r>
  <r>
    <d v="2026-01-13T10:53:09"/>
    <n v="4436"/>
    <x v="193"/>
    <d v="2026-01-13T00:00:00"/>
    <d v="2026-09-30T00:00:00"/>
    <x v="6"/>
    <x v="1"/>
    <s v="510200"/>
    <x v="9"/>
    <x v="1"/>
    <s v="LT"/>
    <n v="52"/>
    <s v="6010"/>
    <s v="SAFRINHA 2026"/>
    <n v="9"/>
    <n v="0"/>
    <n v="9"/>
    <n v="468"/>
    <m/>
    <s v="SORRISO"/>
    <s v="28474481953"/>
    <n v="52"/>
    <n v="0"/>
  </r>
  <r>
    <d v="2026-01-13T10:53:09"/>
    <n v="4436"/>
    <x v="193"/>
    <d v="2026-01-13T00:00:00"/>
    <d v="2026-09-30T00:00:00"/>
    <x v="6"/>
    <x v="1"/>
    <s v="510200"/>
    <x v="11"/>
    <x v="1"/>
    <s v="LT"/>
    <n v="340"/>
    <s v="6010"/>
    <s v="SAFRINHA 2026"/>
    <n v="2"/>
    <n v="0"/>
    <n v="2"/>
    <n v="680"/>
    <m/>
    <s v="SORRISO"/>
    <s v="28474481953"/>
    <n v="340"/>
    <n v="0"/>
  </r>
  <r>
    <d v="2026-02-04T13:54:07"/>
    <n v="4525"/>
    <x v="193"/>
    <d v="2026-02-04T00:00:00"/>
    <d v="2026-08-30T00:00:00"/>
    <x v="6"/>
    <x v="0"/>
    <s v="510200"/>
    <x v="89"/>
    <x v="2"/>
    <s v="LT"/>
    <n v="95"/>
    <s v="6042"/>
    <s v="SAFRINHA 2026"/>
    <n v="5"/>
    <n v="0"/>
    <n v="5"/>
    <n v="475"/>
    <m/>
    <s v="SORRISO"/>
    <s v="28474481953"/>
    <n v="95"/>
    <n v="0"/>
  </r>
  <r>
    <d v="2026-02-17T11:02:02"/>
    <n v="4576"/>
    <x v="193"/>
    <d v="2026-02-17T00:00:00"/>
    <d v="2026-09-30T00:00:00"/>
    <x v="6"/>
    <x v="0"/>
    <s v="510200"/>
    <x v="0"/>
    <x v="0"/>
    <s v="LT"/>
    <n v="18"/>
    <s v="6085"/>
    <s v="SAFRINHA 2026"/>
    <n v="100"/>
    <n v="0"/>
    <n v="100"/>
    <n v="1800"/>
    <m/>
    <s v="SORRISO"/>
    <s v="28474481953"/>
    <n v="18"/>
    <n v="0"/>
  </r>
  <r>
    <d v="2026-02-27T08:33:39"/>
    <n v="4613"/>
    <x v="193"/>
    <d v="2026-02-26T00:00:00"/>
    <d v="2026-08-30T00:00:00"/>
    <x v="6"/>
    <x v="0"/>
    <s v="510200"/>
    <x v="2"/>
    <x v="0"/>
    <s v="KG"/>
    <n v="22.5"/>
    <s v="6107"/>
    <s v="SAFRINHA 2026"/>
    <n v="100"/>
    <n v="0"/>
    <n v="100"/>
    <n v="2250"/>
    <m/>
    <s v="SORRISO"/>
    <s v="28474481953"/>
    <n v="22.5"/>
    <n v="0"/>
  </r>
  <r>
    <d v="2026-02-27T08:33:39"/>
    <n v="4613"/>
    <x v="193"/>
    <d v="2026-02-26T00:00:00"/>
    <d v="2026-08-30T00:00:00"/>
    <x v="6"/>
    <x v="0"/>
    <s v="510200"/>
    <x v="1"/>
    <x v="0"/>
    <s v="LT"/>
    <n v="155"/>
    <s v="6107"/>
    <s v="SAFRINHA 2026"/>
    <n v="20"/>
    <n v="0"/>
    <n v="20"/>
    <n v="3100"/>
    <m/>
    <s v="SORRISO"/>
    <s v="28474481953"/>
    <n v="155"/>
    <n v="0"/>
  </r>
  <r>
    <d v="2025-09-19T10:54:13"/>
    <n v="306"/>
    <x v="194"/>
    <d v="2025-09-19T00:00:00"/>
    <d v="2026-04-30T00:00:00"/>
    <x v="2"/>
    <x v="0"/>
    <s v="510200"/>
    <x v="50"/>
    <x v="2"/>
    <s v="LT"/>
    <n v="380"/>
    <m/>
    <s v="SAFRA 25/26"/>
    <n v="80"/>
    <n v="0"/>
    <n v="80"/>
    <n v="30400"/>
    <m/>
    <s v="UNIAO DO SUL"/>
    <s v="04243459193"/>
    <n v="380"/>
    <n v="0"/>
  </r>
  <r>
    <d v="2025-09-23T11:23:55"/>
    <n v="4072"/>
    <x v="195"/>
    <d v="2025-09-23T00:00:00"/>
    <d v="2026-04-30T00:00:00"/>
    <x v="5"/>
    <x v="1"/>
    <s v="510200"/>
    <x v="9"/>
    <x v="1"/>
    <s v="LT"/>
    <n v="46"/>
    <s v="5384"/>
    <s v="SAFRA 25/26"/>
    <n v="3"/>
    <n v="0"/>
    <n v="3"/>
    <n v="138"/>
    <m/>
    <s v="SORRISO"/>
    <s v="54338239034"/>
    <n v="46"/>
    <n v="0"/>
  </r>
  <r>
    <d v="2025-09-23T11:23:55"/>
    <n v="4072"/>
    <x v="195"/>
    <d v="2025-09-23T00:00:00"/>
    <d v="2026-04-30T00:00:00"/>
    <x v="5"/>
    <x v="1"/>
    <s v="510200"/>
    <x v="13"/>
    <x v="1"/>
    <s v="LT"/>
    <n v="46"/>
    <s v="5384"/>
    <s v="SAFRA 25/26"/>
    <n v="3"/>
    <n v="0"/>
    <n v="3"/>
    <n v="138"/>
    <m/>
    <s v="SORRISO"/>
    <s v="54338239034"/>
    <n v="46"/>
    <n v="0"/>
  </r>
  <r>
    <d v="2025-09-23T11:23:55"/>
    <n v="4072"/>
    <x v="195"/>
    <d v="2025-09-23T00:00:00"/>
    <d v="2026-04-30T00:00:00"/>
    <x v="5"/>
    <x v="1"/>
    <s v="510200"/>
    <x v="10"/>
    <x v="1"/>
    <s v="LT"/>
    <n v="341"/>
    <s v="5384"/>
    <s v="SAFRA 25/26"/>
    <n v="1"/>
    <n v="0"/>
    <n v="1"/>
    <n v="341"/>
    <m/>
    <s v="SORRISO"/>
    <s v="54338239034"/>
    <n v="341"/>
    <n v="0"/>
  </r>
  <r>
    <d v="2025-09-23T11:23:55"/>
    <n v="4072"/>
    <x v="195"/>
    <d v="2025-09-23T00:00:00"/>
    <d v="2026-04-30T00:00:00"/>
    <x v="5"/>
    <x v="1"/>
    <s v="510200"/>
    <x v="11"/>
    <x v="1"/>
    <s v="LT"/>
    <n v="341"/>
    <s v="5384"/>
    <s v="SAFRA 25/26"/>
    <n v="1"/>
    <n v="0"/>
    <n v="1"/>
    <n v="341"/>
    <m/>
    <s v="SORRISO"/>
    <s v="54338239034"/>
    <n v="341"/>
    <n v="0"/>
  </r>
  <r>
    <d v="2025-12-30T09:53:10"/>
    <n v="473"/>
    <x v="196"/>
    <d v="2025-12-30T00:00:00"/>
    <d v="2026-01-10T00:00:00"/>
    <x v="2"/>
    <x v="0"/>
    <s v="510200"/>
    <x v="54"/>
    <x v="2"/>
    <s v="LT"/>
    <n v="87"/>
    <s v="172"/>
    <s v="SAFRA 25/26"/>
    <n v="100"/>
    <n v="0"/>
    <n v="100"/>
    <n v="8700"/>
    <m/>
    <s v="TABAPORA"/>
    <s v="59870001904"/>
    <n v="87"/>
    <n v="0"/>
  </r>
  <r>
    <d v="2025-07-02T16:57:21"/>
    <n v="3915"/>
    <x v="197"/>
    <d v="2025-07-02T00:00:00"/>
    <d v="2026-03-30T00:00:00"/>
    <x v="0"/>
    <x v="1"/>
    <s v="510200"/>
    <x v="13"/>
    <x v="1"/>
    <s v="LT"/>
    <n v="39"/>
    <s v="5498"/>
    <s v="SAFRA 25/26"/>
    <n v="360"/>
    <n v="0"/>
    <n v="360"/>
    <n v="14040"/>
    <m/>
    <s v="FELIZ NATAL"/>
    <s v="02108762981"/>
    <n v="39"/>
    <n v="0"/>
  </r>
  <r>
    <d v="2025-07-02T16:57:21"/>
    <n v="3915"/>
    <x v="197"/>
    <d v="2025-07-02T00:00:00"/>
    <d v="2026-03-30T00:00:00"/>
    <x v="0"/>
    <x v="1"/>
    <s v="510200"/>
    <x v="11"/>
    <x v="1"/>
    <s v="LT"/>
    <n v="288"/>
    <s v="5498"/>
    <s v="SAFRA 25/26"/>
    <n v="120"/>
    <n v="0"/>
    <n v="120"/>
    <n v="34560"/>
    <m/>
    <s v="FELIZ NATAL"/>
    <s v="02108762981"/>
    <n v="288"/>
    <n v="0"/>
  </r>
  <r>
    <d v="2025-07-02T16:57:21"/>
    <n v="3915"/>
    <x v="197"/>
    <d v="2025-07-02T00:00:00"/>
    <d v="2026-03-30T00:00:00"/>
    <x v="0"/>
    <x v="1"/>
    <s v="510200"/>
    <x v="10"/>
    <x v="1"/>
    <s v="LT"/>
    <n v="289"/>
    <s v="5498"/>
    <s v="SAFRA 25/26"/>
    <n v="120"/>
    <n v="0"/>
    <n v="120"/>
    <n v="34680"/>
    <m/>
    <s v="FELIZ NATAL"/>
    <s v="02108762981"/>
    <n v="289"/>
    <n v="0"/>
  </r>
  <r>
    <d v="2025-07-02T16:57:21"/>
    <n v="3915"/>
    <x v="197"/>
    <d v="2025-07-02T00:00:00"/>
    <d v="2026-03-30T00:00:00"/>
    <x v="0"/>
    <x v="1"/>
    <s v="510200"/>
    <x v="9"/>
    <x v="1"/>
    <s v="LT"/>
    <n v="47.25"/>
    <s v="5498"/>
    <s v="SAFRA 25/26"/>
    <n v="240"/>
    <n v="0"/>
    <n v="240"/>
    <n v="11340"/>
    <m/>
    <s v="FELIZ NATAL"/>
    <s v="02108762981"/>
    <n v="47.25"/>
    <n v="0"/>
  </r>
  <r>
    <d v="2025-07-02T16:57:21"/>
    <n v="3915"/>
    <x v="197"/>
    <d v="2025-07-02T00:00:00"/>
    <d v="2026-03-30T00:00:00"/>
    <x v="0"/>
    <x v="1"/>
    <s v="510200"/>
    <x v="14"/>
    <x v="1"/>
    <s v="KG"/>
    <n v="365"/>
    <s v="5498"/>
    <s v="SAFRA 25/26"/>
    <n v="120"/>
    <n v="0"/>
    <n v="120"/>
    <n v="43800"/>
    <m/>
    <s v="FELIZ NATAL"/>
    <s v="02108762981"/>
    <n v="365"/>
    <n v="0"/>
  </r>
  <r>
    <d v="2025-07-02T16:57:21"/>
    <n v="3915"/>
    <x v="197"/>
    <d v="2025-07-02T00:00:00"/>
    <d v="2026-03-30T00:00:00"/>
    <x v="0"/>
    <x v="1"/>
    <s v="510200"/>
    <x v="17"/>
    <x v="1"/>
    <s v="LT"/>
    <n v="39"/>
    <s v="5498"/>
    <s v="SAFRA 25/26"/>
    <n v="360"/>
    <n v="0"/>
    <n v="360"/>
    <n v="14040"/>
    <m/>
    <s v="FELIZ NATAL"/>
    <s v="02108762981"/>
    <n v="39"/>
    <n v="0"/>
  </r>
  <r>
    <d v="2025-07-02T17:01:34"/>
    <n v="3916"/>
    <x v="197"/>
    <d v="2025-07-02T00:00:00"/>
    <d v="2026-08-30T00:00:00"/>
    <x v="0"/>
    <x v="1"/>
    <s v="510200"/>
    <x v="10"/>
    <x v="1"/>
    <s v="LT"/>
    <n v="289"/>
    <s v="5492"/>
    <s v="SAFRINHA 2026"/>
    <n v="48"/>
    <n v="0"/>
    <n v="48"/>
    <n v="13872"/>
    <m/>
    <s v="FELIZ NATAL"/>
    <s v="02108762981"/>
    <n v="289"/>
    <n v="0"/>
  </r>
  <r>
    <d v="2025-07-02T17:01:34"/>
    <n v="3916"/>
    <x v="197"/>
    <d v="2025-07-02T00:00:00"/>
    <d v="2026-08-30T00:00:00"/>
    <x v="0"/>
    <x v="1"/>
    <s v="510200"/>
    <x v="48"/>
    <x v="1"/>
    <s v="LT"/>
    <n v="50"/>
    <s v="5492"/>
    <s v="SAFRINHA 2026"/>
    <n v="2400"/>
    <n v="0"/>
    <n v="2400"/>
    <n v="120000"/>
    <m/>
    <s v="FELIZ NATAL"/>
    <s v="02108762981"/>
    <n v="50"/>
    <n v="0"/>
  </r>
  <r>
    <d v="2025-07-02T17:01:34"/>
    <n v="3916"/>
    <x v="197"/>
    <d v="2025-07-02T00:00:00"/>
    <d v="2026-08-30T00:00:00"/>
    <x v="0"/>
    <x v="1"/>
    <s v="510200"/>
    <x v="18"/>
    <x v="1"/>
    <s v="KG"/>
    <n v="182.5"/>
    <s v="5492"/>
    <s v="SAFRINHA 2026"/>
    <n v="192"/>
    <n v="0"/>
    <n v="192"/>
    <n v="35040"/>
    <m/>
    <s v="FELIZ NATAL"/>
    <s v="02108762981"/>
    <n v="182.5"/>
    <n v="0"/>
  </r>
  <r>
    <d v="2025-07-02T17:01:34"/>
    <n v="3916"/>
    <x v="197"/>
    <d v="2025-07-02T00:00:00"/>
    <d v="2026-08-30T00:00:00"/>
    <x v="0"/>
    <x v="1"/>
    <s v="510200"/>
    <x v="11"/>
    <x v="1"/>
    <s v="LT"/>
    <n v="288"/>
    <s v="5492"/>
    <s v="SAFRINHA 2026"/>
    <n v="48"/>
    <n v="0"/>
    <n v="48"/>
    <n v="13824"/>
    <m/>
    <s v="FELIZ NATAL"/>
    <s v="02108762981"/>
    <n v="288"/>
    <n v="0"/>
  </r>
  <r>
    <d v="2025-07-02T17:01:34"/>
    <n v="3916"/>
    <x v="197"/>
    <d v="2025-07-02T00:00:00"/>
    <d v="2026-08-30T00:00:00"/>
    <x v="0"/>
    <x v="1"/>
    <s v="510200"/>
    <x v="9"/>
    <x v="1"/>
    <s v="LT"/>
    <n v="47.25"/>
    <s v="5492"/>
    <s v="SAFRINHA 2026"/>
    <n v="240"/>
    <n v="0"/>
    <n v="240"/>
    <n v="11340"/>
    <m/>
    <s v="FELIZ NATAL"/>
    <s v="02108762981"/>
    <n v="47.25"/>
    <n v="0"/>
  </r>
  <r>
    <d v="2025-08-27T09:08:34"/>
    <n v="4002"/>
    <x v="197"/>
    <d v="2025-08-27T00:00:00"/>
    <d v="2026-03-30T00:00:00"/>
    <x v="0"/>
    <x v="1"/>
    <s v="510200"/>
    <x v="17"/>
    <x v="1"/>
    <s v="LT"/>
    <n v="39"/>
    <s v="5560"/>
    <s v="SAFRA 25/26"/>
    <n v="24"/>
    <n v="0"/>
    <n v="24"/>
    <n v="936"/>
    <m/>
    <s v="FELIZ NATAL"/>
    <s v="02108762981"/>
    <n v="39"/>
    <n v="0"/>
  </r>
  <r>
    <d v="2025-09-23T12:05:12"/>
    <n v="4073"/>
    <x v="198"/>
    <d v="2025-09-23T00:00:00"/>
    <d v="2026-04-30T00:00:00"/>
    <x v="5"/>
    <x v="1"/>
    <s v="510200"/>
    <x v="10"/>
    <x v="1"/>
    <s v="LT"/>
    <n v="342"/>
    <s v="5381"/>
    <s v="SAFRA 25/26"/>
    <n v="41"/>
    <n v="0"/>
    <n v="41"/>
    <n v="14022"/>
    <m/>
    <s v="BOA ESPERANÇA DO NORTE"/>
    <s v="70091737109"/>
    <n v="342"/>
    <n v="0"/>
  </r>
  <r>
    <d v="2025-09-23T12:05:12"/>
    <n v="4073"/>
    <x v="198"/>
    <d v="2025-09-23T00:00:00"/>
    <d v="2026-04-30T00:00:00"/>
    <x v="5"/>
    <x v="1"/>
    <s v="510200"/>
    <x v="11"/>
    <x v="1"/>
    <s v="LT"/>
    <n v="342"/>
    <s v="5381"/>
    <s v="SAFRA 25/26"/>
    <n v="41"/>
    <n v="0"/>
    <n v="41"/>
    <n v="14022"/>
    <m/>
    <s v="BOA ESPERANÇA DO NORTE"/>
    <s v="70091737109"/>
    <n v="342"/>
    <n v="0"/>
  </r>
  <r>
    <d v="2025-11-01T09:17:31"/>
    <n v="4229"/>
    <x v="198"/>
    <d v="2025-11-01T00:00:00"/>
    <d v="2026-04-30T00:00:00"/>
    <x v="5"/>
    <x v="1"/>
    <s v="510200"/>
    <x v="13"/>
    <x v="1"/>
    <s v="LT"/>
    <n v="45"/>
    <s v="5397"/>
    <s v="SAFRA 25/26"/>
    <n v="18"/>
    <n v="0"/>
    <n v="18"/>
    <n v="810"/>
    <m/>
    <s v="BOA ESPERANÇA DO NORTE"/>
    <s v="70091737109"/>
    <n v="45"/>
    <n v="0"/>
  </r>
  <r>
    <d v="2025-11-19T16:29:24"/>
    <n v="4282"/>
    <x v="198"/>
    <d v="2025-11-19T00:00:00"/>
    <d v="2026-04-30T00:00:00"/>
    <x v="5"/>
    <x v="0"/>
    <s v="510200"/>
    <x v="6"/>
    <x v="0"/>
    <s v="LT"/>
    <n v="69"/>
    <s v="5778"/>
    <s v="SAFRA 25/26"/>
    <n v="25"/>
    <n v="0"/>
    <n v="25"/>
    <n v="1725"/>
    <m/>
    <s v="BOA ESPERANÇA DO NORTE"/>
    <s v="70091737109"/>
    <n v="69"/>
    <n v="0"/>
  </r>
  <r>
    <d v="2025-11-25T17:18:11"/>
    <n v="4299"/>
    <x v="198"/>
    <d v="2025-11-21T00:00:00"/>
    <d v="2026-08-30T00:00:00"/>
    <x v="5"/>
    <x v="0"/>
    <s v="510200"/>
    <x v="3"/>
    <x v="0"/>
    <s v="LT"/>
    <n v="23"/>
    <s v="5704"/>
    <s v="SAFRINHA 2026"/>
    <n v="140"/>
    <n v="0"/>
    <n v="140"/>
    <n v="3220"/>
    <m/>
    <s v="BOA ESPERANÇA DO NORTE"/>
    <s v="70091737109"/>
    <n v="23"/>
    <n v="0"/>
  </r>
  <r>
    <d v="2025-11-25T17:18:11"/>
    <n v="4299"/>
    <x v="198"/>
    <d v="2025-11-21T00:00:00"/>
    <d v="2026-08-30T00:00:00"/>
    <x v="5"/>
    <x v="0"/>
    <s v="510200"/>
    <x v="46"/>
    <x v="0"/>
    <s v="LT"/>
    <n v="17"/>
    <s v="5704"/>
    <s v="SAFRINHA 2026"/>
    <n v="380"/>
    <n v="60"/>
    <n v="320"/>
    <n v="5440"/>
    <m/>
    <s v="BOA ESPERANÇA DO NORTE"/>
    <s v="70091737109"/>
    <n v="17"/>
    <n v="0"/>
  </r>
  <r>
    <d v="2025-11-25T17:18:11"/>
    <n v="4299"/>
    <x v="198"/>
    <d v="2025-11-21T00:00:00"/>
    <d v="2026-08-30T00:00:00"/>
    <x v="5"/>
    <x v="0"/>
    <s v="510200"/>
    <x v="0"/>
    <x v="0"/>
    <s v="LT"/>
    <n v="18"/>
    <s v="5704"/>
    <s v="SAFRINHA 2026"/>
    <n v="260"/>
    <n v="0"/>
    <n v="260"/>
    <n v="4680"/>
    <m/>
    <s v="BOA ESPERANÇA DO NORTE"/>
    <s v="70091737109"/>
    <n v="18"/>
    <n v="0"/>
  </r>
  <r>
    <d v="2025-11-25T17:18:11"/>
    <n v="4299"/>
    <x v="198"/>
    <d v="2025-11-21T00:00:00"/>
    <d v="2026-08-30T00:00:00"/>
    <x v="5"/>
    <x v="0"/>
    <s v="510200"/>
    <x v="1"/>
    <x v="0"/>
    <s v="LT"/>
    <n v="160"/>
    <s v="5704"/>
    <s v="SAFRINHA 2026"/>
    <n v="60"/>
    <n v="0"/>
    <n v="60"/>
    <n v="9600"/>
    <m/>
    <s v="BOA ESPERANÇA DO NORTE"/>
    <s v="70091737109"/>
    <n v="160"/>
    <n v="0"/>
  </r>
  <r>
    <d v="2025-11-25T17:18:11"/>
    <n v="4299"/>
    <x v="198"/>
    <d v="2025-11-21T00:00:00"/>
    <d v="2026-08-30T00:00:00"/>
    <x v="5"/>
    <x v="0"/>
    <s v="510200"/>
    <x v="2"/>
    <x v="0"/>
    <s v="KG"/>
    <n v="23"/>
    <s v="5704"/>
    <s v="SAFRINHA 2026"/>
    <n v="250"/>
    <n v="0"/>
    <n v="250"/>
    <n v="5750"/>
    <m/>
    <s v="BOA ESPERANÇA DO NORTE"/>
    <s v="70091737109"/>
    <n v="23"/>
    <n v="0"/>
  </r>
  <r>
    <d v="2025-11-25T17:18:11"/>
    <n v="4299"/>
    <x v="198"/>
    <d v="2025-11-21T00:00:00"/>
    <d v="2026-08-30T00:00:00"/>
    <x v="5"/>
    <x v="0"/>
    <s v="510200"/>
    <x v="12"/>
    <x v="0"/>
    <s v="LT"/>
    <n v="235"/>
    <s v="5704"/>
    <s v="SAFRINHA 2026"/>
    <n v="25"/>
    <n v="0"/>
    <n v="25"/>
    <n v="5875"/>
    <m/>
    <s v="BOA ESPERANÇA DO NORTE"/>
    <s v="70091737109"/>
    <n v="235"/>
    <n v="0"/>
  </r>
  <r>
    <d v="2025-11-25T17:18:11"/>
    <n v="4299"/>
    <x v="198"/>
    <d v="2025-11-21T00:00:00"/>
    <d v="2026-08-30T00:00:00"/>
    <x v="5"/>
    <x v="0"/>
    <s v="510200"/>
    <x v="114"/>
    <x v="2"/>
    <s v="SC"/>
    <n v="650"/>
    <s v="5704"/>
    <s v="SAFRINHA 2026"/>
    <n v="32"/>
    <n v="0"/>
    <n v="32"/>
    <n v="20800"/>
    <m/>
    <s v="BOA ESPERANÇA DO NORTE"/>
    <s v="70091737109"/>
    <n v="650"/>
    <n v="0"/>
  </r>
  <r>
    <d v="2025-11-25T17:18:11"/>
    <n v="4299"/>
    <x v="198"/>
    <d v="2025-11-21T00:00:00"/>
    <d v="2026-08-30T00:00:00"/>
    <x v="5"/>
    <x v="1"/>
    <s v="510200"/>
    <x v="14"/>
    <x v="1"/>
    <s v="KG"/>
    <n v="400"/>
    <s v="5704"/>
    <s v="SAFRINHA 2026"/>
    <n v="18"/>
    <n v="0"/>
    <n v="18"/>
    <n v="7200"/>
    <m/>
    <s v="BOA ESPERANÇA DO NORTE"/>
    <s v="70091737109"/>
    <n v="400"/>
    <n v="0"/>
  </r>
  <r>
    <d v="2025-11-25T17:18:11"/>
    <n v="4299"/>
    <x v="198"/>
    <d v="2025-11-21T00:00:00"/>
    <d v="2026-08-30T00:00:00"/>
    <x v="5"/>
    <x v="0"/>
    <s v="510200"/>
    <x v="7"/>
    <x v="0"/>
    <s v="LT"/>
    <n v="69"/>
    <s v="5704"/>
    <s v="SAFRINHA 2026"/>
    <n v="10"/>
    <n v="0"/>
    <n v="10"/>
    <n v="690"/>
    <m/>
    <s v="BOA ESPERANÇA DO NORTE"/>
    <s v="70091737109"/>
    <n v="69"/>
    <n v="0"/>
  </r>
  <r>
    <d v="2025-11-25T17:18:11"/>
    <n v="4299"/>
    <x v="198"/>
    <d v="2025-11-21T00:00:00"/>
    <d v="2026-08-30T00:00:00"/>
    <x v="5"/>
    <x v="1"/>
    <s v="510200"/>
    <x v="9"/>
    <x v="1"/>
    <s v="LT"/>
    <n v="46"/>
    <s v="5704"/>
    <s v="SAFRINHA 2026"/>
    <n v="27"/>
    <n v="0"/>
    <n v="27"/>
    <n v="1242"/>
    <m/>
    <s v="BOA ESPERANÇA DO NORTE"/>
    <s v="70091737109"/>
    <n v="46"/>
    <n v="0"/>
  </r>
  <r>
    <d v="2025-11-25T17:18:11"/>
    <n v="4299"/>
    <x v="198"/>
    <d v="2025-11-21T00:00:00"/>
    <d v="2026-08-30T00:00:00"/>
    <x v="5"/>
    <x v="0"/>
    <s v="510200"/>
    <x v="6"/>
    <x v="0"/>
    <s v="LT"/>
    <n v="69"/>
    <s v="5704"/>
    <s v="SAFRINHA 2026"/>
    <n v="40"/>
    <n v="0"/>
    <n v="40"/>
    <n v="2760"/>
    <m/>
    <s v="BOA ESPERANÇA DO NORTE"/>
    <s v="70091737109"/>
    <n v="69"/>
    <n v="0"/>
  </r>
  <r>
    <d v="2025-11-24T11:20:37"/>
    <n v="4293"/>
    <x v="198"/>
    <d v="2025-11-24T00:00:00"/>
    <d v="2026-04-30T00:00:00"/>
    <x v="5"/>
    <x v="0"/>
    <s v="510200"/>
    <x v="46"/>
    <x v="0"/>
    <s v="LT"/>
    <n v="17"/>
    <s v="5781"/>
    <s v="SAFRA 25/26"/>
    <n v="420"/>
    <n v="0"/>
    <n v="420"/>
    <n v="7140"/>
    <m/>
    <s v="BOA ESPERANÇA DO NORTE"/>
    <s v="70091737109"/>
    <n v="17"/>
    <n v="0"/>
  </r>
  <r>
    <d v="2025-11-24T11:23:38"/>
    <n v="4294"/>
    <x v="198"/>
    <d v="2025-11-24T00:00:00"/>
    <d v="2026-04-30T00:00:00"/>
    <x v="5"/>
    <x v="0"/>
    <s v="510200"/>
    <x v="46"/>
    <x v="0"/>
    <s v="LT"/>
    <n v="17"/>
    <s v="5782"/>
    <s v="SAFRA 25/26"/>
    <n v="40"/>
    <n v="0"/>
    <n v="40"/>
    <n v="680"/>
    <m/>
    <s v="BOA ESPERANÇA DO NORTE"/>
    <s v="70091737109"/>
    <n v="17"/>
    <n v="0"/>
  </r>
  <r>
    <d v="2025-12-22T15:09:47"/>
    <n v="4373"/>
    <x v="198"/>
    <d v="2025-12-19T00:00:00"/>
    <d v="2026-08-30T00:00:00"/>
    <x v="5"/>
    <x v="0"/>
    <s v="510200"/>
    <x v="1"/>
    <x v="0"/>
    <s v="LT"/>
    <n v="160"/>
    <s v="5793"/>
    <s v="SAFRINHA 2026"/>
    <n v="20"/>
    <n v="0"/>
    <n v="20"/>
    <n v="3200"/>
    <m/>
    <s v="BOA ESPERANÇA DO NORTE"/>
    <s v="70091737109"/>
    <n v="160"/>
    <n v="0"/>
  </r>
  <r>
    <d v="2025-12-22T15:09:47"/>
    <n v="4373"/>
    <x v="198"/>
    <d v="2025-12-19T00:00:00"/>
    <d v="2026-08-30T00:00:00"/>
    <x v="5"/>
    <x v="0"/>
    <s v="510200"/>
    <x v="6"/>
    <x v="0"/>
    <s v="LT"/>
    <n v="69"/>
    <s v="5793"/>
    <s v="SAFRINHA 2026"/>
    <n v="15"/>
    <n v="0"/>
    <n v="15"/>
    <n v="1035"/>
    <m/>
    <s v="BOA ESPERANÇA DO NORTE"/>
    <s v="70091737109"/>
    <n v="69"/>
    <n v="0"/>
  </r>
  <r>
    <d v="2025-12-22T15:09:47"/>
    <n v="4373"/>
    <x v="198"/>
    <d v="2025-12-19T00:00:00"/>
    <d v="2026-08-30T00:00:00"/>
    <x v="5"/>
    <x v="0"/>
    <s v="510200"/>
    <x v="3"/>
    <x v="0"/>
    <s v="LT"/>
    <n v="23"/>
    <s v="5793"/>
    <s v="SAFRINHA 2026"/>
    <n v="40"/>
    <n v="0"/>
    <n v="40"/>
    <n v="920"/>
    <m/>
    <s v="BOA ESPERANÇA DO NORTE"/>
    <s v="70091737109"/>
    <n v="23"/>
    <n v="0"/>
  </r>
  <r>
    <d v="2025-12-22T15:09:47"/>
    <n v="4373"/>
    <x v="198"/>
    <d v="2025-12-19T00:00:00"/>
    <d v="2026-08-30T00:00:00"/>
    <x v="5"/>
    <x v="0"/>
    <s v="510200"/>
    <x v="12"/>
    <x v="0"/>
    <s v="LT"/>
    <n v="235"/>
    <s v="5793"/>
    <s v="SAFRINHA 2026"/>
    <n v="10"/>
    <n v="0"/>
    <n v="10"/>
    <n v="2350"/>
    <m/>
    <s v="BOA ESPERANÇA DO NORTE"/>
    <s v="70091737109"/>
    <n v="235"/>
    <n v="0"/>
  </r>
  <r>
    <d v="2025-12-22T15:09:47"/>
    <n v="4373"/>
    <x v="198"/>
    <d v="2025-12-19T00:00:00"/>
    <d v="2026-08-30T00:00:00"/>
    <x v="5"/>
    <x v="1"/>
    <s v="510200"/>
    <x v="9"/>
    <x v="1"/>
    <s v="LT"/>
    <n v="46"/>
    <s v="5793"/>
    <s v="SAFRINHA 2026"/>
    <n v="9"/>
    <n v="0"/>
    <n v="9"/>
    <n v="414"/>
    <m/>
    <s v="BOA ESPERANÇA DO NORTE"/>
    <s v="70091737109"/>
    <n v="46"/>
    <n v="0"/>
  </r>
  <r>
    <d v="2025-12-22T15:09:47"/>
    <n v="4373"/>
    <x v="198"/>
    <d v="2025-12-19T00:00:00"/>
    <d v="2026-08-30T00:00:00"/>
    <x v="5"/>
    <x v="0"/>
    <s v="510200"/>
    <x v="80"/>
    <x v="2"/>
    <s v="KG"/>
    <n v="33"/>
    <s v="5793"/>
    <s v="SAFRINHA 2026"/>
    <n v="640"/>
    <n v="0"/>
    <n v="640"/>
    <n v="21120"/>
    <m/>
    <s v="BOA ESPERANÇA DO NORTE"/>
    <s v="70091737109"/>
    <n v="33"/>
    <n v="0"/>
  </r>
  <r>
    <d v="2025-12-22T15:09:47"/>
    <n v="4373"/>
    <x v="198"/>
    <d v="2025-12-19T00:00:00"/>
    <d v="2026-08-30T00:00:00"/>
    <x v="5"/>
    <x v="0"/>
    <s v="510200"/>
    <x v="0"/>
    <x v="0"/>
    <s v="LT"/>
    <n v="18"/>
    <s v="5793"/>
    <s v="SAFRINHA 2026"/>
    <n v="80"/>
    <n v="0"/>
    <n v="80"/>
    <n v="1440"/>
    <m/>
    <s v="BOA ESPERANÇA DO NORTE"/>
    <s v="70091737109"/>
    <n v="18"/>
    <n v="0"/>
  </r>
  <r>
    <d v="2025-12-22T15:09:47"/>
    <n v="4373"/>
    <x v="198"/>
    <d v="2025-12-19T00:00:00"/>
    <d v="2026-08-30T00:00:00"/>
    <x v="5"/>
    <x v="0"/>
    <s v="510200"/>
    <x v="2"/>
    <x v="0"/>
    <s v="KG"/>
    <n v="23"/>
    <s v="5793"/>
    <s v="SAFRINHA 2026"/>
    <n v="70"/>
    <n v="0"/>
    <n v="70"/>
    <n v="1610"/>
    <m/>
    <s v="BOA ESPERANÇA DO NORTE"/>
    <s v="70091737109"/>
    <n v="23"/>
    <n v="0"/>
  </r>
  <r>
    <d v="2025-12-22T15:09:47"/>
    <n v="4373"/>
    <x v="198"/>
    <d v="2025-12-19T00:00:00"/>
    <d v="2026-08-30T00:00:00"/>
    <x v="5"/>
    <x v="0"/>
    <s v="510200"/>
    <x v="46"/>
    <x v="0"/>
    <s v="LT"/>
    <n v="17"/>
    <s v="5793"/>
    <s v="SAFRINHA 2026"/>
    <n v="100"/>
    <n v="0"/>
    <n v="100"/>
    <n v="1700"/>
    <m/>
    <s v="BOA ESPERANÇA DO NORTE"/>
    <s v="70091737109"/>
    <n v="17"/>
    <n v="0"/>
  </r>
  <r>
    <d v="2025-12-22T15:09:47"/>
    <n v="4373"/>
    <x v="198"/>
    <d v="2025-12-19T00:00:00"/>
    <d v="2026-08-30T00:00:00"/>
    <x v="5"/>
    <x v="0"/>
    <s v="510200"/>
    <x v="96"/>
    <x v="2"/>
    <s v="SC"/>
    <n v="790"/>
    <s v="5793"/>
    <s v="SAFRINHA 2026"/>
    <n v="5"/>
    <n v="0"/>
    <n v="5"/>
    <n v="3950"/>
    <m/>
    <s v="BOA ESPERANÇA DO NORTE"/>
    <s v="70091737109"/>
    <n v="790"/>
    <n v="0"/>
  </r>
  <r>
    <d v="2025-12-22T15:09:47"/>
    <n v="4373"/>
    <x v="198"/>
    <d v="2025-12-19T00:00:00"/>
    <d v="2026-08-30T00:00:00"/>
    <x v="5"/>
    <x v="1"/>
    <s v="510200"/>
    <x v="14"/>
    <x v="1"/>
    <s v="KG"/>
    <n v="400"/>
    <s v="5793"/>
    <s v="SAFRINHA 2026"/>
    <n v="5"/>
    <n v="0"/>
    <n v="5"/>
    <n v="2000"/>
    <m/>
    <s v="BOA ESPERANÇA DO NORTE"/>
    <s v="70091737109"/>
    <n v="400"/>
    <n v="0"/>
  </r>
  <r>
    <d v="2026-01-06T11:08:07"/>
    <n v="4408"/>
    <x v="198"/>
    <d v="2026-01-06T00:00:00"/>
    <d v="2026-04-30T00:00:00"/>
    <x v="5"/>
    <x v="0"/>
    <s v="510200"/>
    <x v="6"/>
    <x v="0"/>
    <s v="LT"/>
    <n v="69"/>
    <s v="5952"/>
    <s v="SAFRA 25/26"/>
    <n v="15"/>
    <n v="0"/>
    <n v="15"/>
    <n v="1035"/>
    <m/>
    <s v="BOA ESPERANÇA DO NORTE"/>
    <s v="70091737109"/>
    <n v="69"/>
    <n v="0"/>
  </r>
  <r>
    <d v="2026-01-21T07:52:09"/>
    <n v="4470"/>
    <x v="198"/>
    <d v="2026-01-21T00:00:00"/>
    <d v="2026-07-30T00:00:00"/>
    <x v="5"/>
    <x v="0"/>
    <s v="510200"/>
    <x v="103"/>
    <x v="2"/>
    <s v="LT"/>
    <n v="49"/>
    <s v="5957"/>
    <s v="SAFRINHA 2026"/>
    <n v="320"/>
    <n v="0"/>
    <n v="320"/>
    <n v="15680"/>
    <m/>
    <s v="BOA ESPERANÇA DO NORTE"/>
    <s v="70091737109"/>
    <n v="49"/>
    <n v="0"/>
  </r>
  <r>
    <d v="2026-01-23T09:06:35"/>
    <n v="4483"/>
    <x v="198"/>
    <d v="2026-01-23T00:00:00"/>
    <d v="2026-08-30T00:00:00"/>
    <x v="5"/>
    <x v="1"/>
    <s v="510200"/>
    <x v="11"/>
    <x v="1"/>
    <s v="LT"/>
    <n v="341"/>
    <s v="5958"/>
    <s v="SAFRINHA 2026"/>
    <n v="16"/>
    <n v="0"/>
    <n v="16"/>
    <n v="5456"/>
    <m/>
    <s v="BOA ESPERANÇA DO NORTE"/>
    <s v="70091737109"/>
    <n v="341"/>
    <n v="0"/>
  </r>
  <r>
    <d v="2026-02-13T17:19:45"/>
    <n v="4562"/>
    <x v="198"/>
    <d v="2026-02-13T00:00:00"/>
    <d v="2026-07-30T00:00:00"/>
    <x v="5"/>
    <x v="0"/>
    <s v="510200"/>
    <x v="103"/>
    <x v="2"/>
    <s v="LT"/>
    <n v="49"/>
    <s v="6079"/>
    <s v="SAFRINHA 2026"/>
    <n v="150"/>
    <n v="0"/>
    <n v="150"/>
    <n v="7350"/>
    <m/>
    <s v="BOA ESPERANÇA DO NORTE"/>
    <s v="70091737109"/>
    <n v="49"/>
    <n v="0"/>
  </r>
  <r>
    <d v="2026-03-13T14:34:59"/>
    <n v="4652"/>
    <x v="198"/>
    <d v="2026-03-13T00:00:00"/>
    <d v="2026-08-30T00:00:00"/>
    <x v="5"/>
    <x v="0"/>
    <s v="510200"/>
    <x v="6"/>
    <x v="0"/>
    <s v="LT"/>
    <n v="69"/>
    <s v="6176"/>
    <s v="SAFRINHA 2026"/>
    <n v="20"/>
    <n v="0"/>
    <n v="20"/>
    <n v="1380"/>
    <m/>
    <s v="BOA ESPERANÇA DO NORTE"/>
    <s v="70091737109"/>
    <n v="69"/>
    <n v="0"/>
  </r>
  <r>
    <d v="2025-07-02T16:44:45"/>
    <n v="3911"/>
    <x v="199"/>
    <d v="2025-07-02T00:00:00"/>
    <d v="2026-03-30T00:00:00"/>
    <x v="0"/>
    <x v="1"/>
    <s v="510200"/>
    <x v="13"/>
    <x v="1"/>
    <s v="LT"/>
    <n v="39"/>
    <s v="5487"/>
    <s v="SAFRA 25/26"/>
    <n v="531"/>
    <n v="0"/>
    <n v="531"/>
    <n v="20709"/>
    <m/>
    <s v="SANTA CARMEM"/>
    <s v="37190806091"/>
    <n v="39"/>
    <n v="0"/>
  </r>
  <r>
    <d v="2025-07-02T16:44:45"/>
    <n v="3911"/>
    <x v="199"/>
    <d v="2025-07-02T00:00:00"/>
    <d v="2026-03-30T00:00:00"/>
    <x v="0"/>
    <x v="1"/>
    <s v="510200"/>
    <x v="10"/>
    <x v="1"/>
    <s v="LT"/>
    <n v="289"/>
    <s v="5487"/>
    <s v="SAFRA 25/26"/>
    <n v="265"/>
    <n v="0"/>
    <n v="265"/>
    <n v="76585"/>
    <m/>
    <s v="SANTA CARMEM"/>
    <s v="37190806091"/>
    <n v="289"/>
    <n v="0"/>
  </r>
  <r>
    <d v="2025-07-02T16:44:45"/>
    <n v="3911"/>
    <x v="199"/>
    <d v="2025-07-02T00:00:00"/>
    <d v="2026-03-30T00:00:00"/>
    <x v="0"/>
    <x v="1"/>
    <s v="510200"/>
    <x v="11"/>
    <x v="1"/>
    <s v="LT"/>
    <n v="288"/>
    <s v="5487"/>
    <s v="SAFRA 25/26"/>
    <n v="265"/>
    <n v="0"/>
    <n v="265"/>
    <n v="76320"/>
    <m/>
    <s v="SANTA CARMEM"/>
    <s v="37190806091"/>
    <n v="288"/>
    <n v="0"/>
  </r>
  <r>
    <d v="2025-07-02T16:44:45"/>
    <n v="3911"/>
    <x v="199"/>
    <d v="2025-07-02T00:00:00"/>
    <d v="2026-03-30T00:00:00"/>
    <x v="0"/>
    <x v="1"/>
    <s v="510200"/>
    <x v="17"/>
    <x v="1"/>
    <s v="LT"/>
    <n v="39"/>
    <s v="5487"/>
    <s v="SAFRA 25/26"/>
    <n v="531"/>
    <n v="0"/>
    <n v="531"/>
    <n v="20709"/>
    <m/>
    <s v="SANTA CARMEM"/>
    <s v="37190806091"/>
    <n v="39"/>
    <n v="0"/>
  </r>
  <r>
    <d v="2025-07-02T16:44:45"/>
    <n v="3911"/>
    <x v="199"/>
    <d v="2025-07-02T00:00:00"/>
    <d v="2026-03-30T00:00:00"/>
    <x v="0"/>
    <x v="1"/>
    <s v="510200"/>
    <x v="9"/>
    <x v="1"/>
    <s v="LT"/>
    <n v="47.25"/>
    <s v="5487"/>
    <s v="SAFRA 25/26"/>
    <n v="531"/>
    <n v="0"/>
    <n v="531"/>
    <n v="25089.75"/>
    <m/>
    <s v="SANTA CARMEM"/>
    <s v="37190806091"/>
    <n v="47.25"/>
    <n v="0"/>
  </r>
  <r>
    <d v="2025-07-02T16:44:45"/>
    <n v="3911"/>
    <x v="199"/>
    <d v="2025-07-02T00:00:00"/>
    <d v="2026-03-30T00:00:00"/>
    <x v="0"/>
    <x v="1"/>
    <s v="510200"/>
    <x v="18"/>
    <x v="1"/>
    <s v="KG"/>
    <n v="182.5"/>
    <s v="5487"/>
    <s v="SAFRA 25/26"/>
    <n v="530"/>
    <n v="0"/>
    <n v="530"/>
    <n v="96725"/>
    <m/>
    <s v="SANTA CARMEM"/>
    <s v="37190806091"/>
    <n v="182.5"/>
    <n v="0"/>
  </r>
  <r>
    <d v="2025-07-02T16:48:02"/>
    <n v="3912"/>
    <x v="199"/>
    <d v="2025-07-02T00:00:00"/>
    <d v="2026-08-30T00:00:00"/>
    <x v="0"/>
    <x v="1"/>
    <s v="510200"/>
    <x v="10"/>
    <x v="1"/>
    <s v="LT"/>
    <n v="289"/>
    <s v="5488"/>
    <s v="SAFRINHA 2026"/>
    <n v="106"/>
    <n v="0"/>
    <n v="106"/>
    <n v="30634"/>
    <m/>
    <s v="SANTA CARMEM"/>
    <s v="37190806091"/>
    <n v="289"/>
    <n v="0"/>
  </r>
  <r>
    <d v="2025-07-02T16:48:02"/>
    <n v="3912"/>
    <x v="199"/>
    <d v="2025-07-02T00:00:00"/>
    <d v="2026-08-30T00:00:00"/>
    <x v="0"/>
    <x v="1"/>
    <s v="510200"/>
    <x v="11"/>
    <x v="1"/>
    <s v="LT"/>
    <n v="288"/>
    <s v="5488"/>
    <s v="SAFRINHA 2026"/>
    <n v="106"/>
    <n v="0"/>
    <n v="106"/>
    <n v="30528"/>
    <m/>
    <s v="SANTA CARMEM"/>
    <s v="37190806091"/>
    <n v="288"/>
    <n v="0"/>
  </r>
  <r>
    <d v="2025-07-02T16:48:02"/>
    <n v="3912"/>
    <x v="199"/>
    <d v="2025-07-02T00:00:00"/>
    <d v="2026-08-30T00:00:00"/>
    <x v="0"/>
    <x v="1"/>
    <s v="510200"/>
    <x v="9"/>
    <x v="1"/>
    <s v="LT"/>
    <n v="47.25"/>
    <s v="5488"/>
    <s v="SAFRINHA 2026"/>
    <n v="531"/>
    <n v="0"/>
    <n v="531"/>
    <n v="25089.75"/>
    <m/>
    <s v="SANTA CARMEM"/>
    <s v="37190806091"/>
    <n v="47.25"/>
    <n v="0"/>
  </r>
  <r>
    <d v="2025-07-02T16:48:02"/>
    <n v="3912"/>
    <x v="199"/>
    <d v="2025-07-02T00:00:00"/>
    <d v="2026-08-30T00:00:00"/>
    <x v="0"/>
    <x v="1"/>
    <s v="510200"/>
    <x v="48"/>
    <x v="1"/>
    <s v="LT"/>
    <n v="50"/>
    <s v="5488"/>
    <s v="SAFRINHA 2026"/>
    <n v="5300"/>
    <n v="0"/>
    <n v="5300"/>
    <n v="265000"/>
    <m/>
    <s v="SANTA CARMEM"/>
    <s v="37190806091"/>
    <n v="50"/>
    <n v="0"/>
  </r>
  <r>
    <d v="2025-07-02T16:48:02"/>
    <n v="3912"/>
    <x v="199"/>
    <d v="2025-07-02T00:00:00"/>
    <d v="2026-08-30T00:00:00"/>
    <x v="0"/>
    <x v="1"/>
    <s v="510200"/>
    <x v="18"/>
    <x v="1"/>
    <s v="KG"/>
    <n v="182.5"/>
    <s v="5488"/>
    <s v="SAFRINHA 2026"/>
    <n v="424"/>
    <n v="0"/>
    <n v="424"/>
    <n v="77380"/>
    <m/>
    <s v="SANTA CARMEM"/>
    <s v="37190806091"/>
    <n v="182.5"/>
    <n v="0"/>
  </r>
  <r>
    <d v="2025-12-02T10:24:35"/>
    <n v="4315"/>
    <x v="199"/>
    <d v="2025-12-02T00:00:00"/>
    <d v="2026-03-30T00:00:00"/>
    <x v="0"/>
    <x v="0"/>
    <s v="510200"/>
    <x v="123"/>
    <x v="0"/>
    <s v="KG"/>
    <n v="62"/>
    <s v="5832"/>
    <s v="SAFRA 25/26"/>
    <n v="125"/>
    <n v="0"/>
    <n v="125"/>
    <n v="7750"/>
    <m/>
    <s v="SANTA CARMEM"/>
    <s v="37190806091"/>
    <n v="62"/>
    <n v="0"/>
  </r>
  <r>
    <d v="2025-12-08T17:35:28"/>
    <n v="4333"/>
    <x v="199"/>
    <d v="2025-12-08T00:00:00"/>
    <d v="2026-03-30T00:00:00"/>
    <x v="0"/>
    <x v="0"/>
    <s v="510200"/>
    <x v="123"/>
    <x v="0"/>
    <s v="KG"/>
    <n v="62"/>
    <s v="5845"/>
    <s v="SAFRA 25/26"/>
    <n v="50"/>
    <n v="0"/>
    <n v="50"/>
    <n v="3100"/>
    <m/>
    <s v="SANTA CARMEM"/>
    <s v="37190806091"/>
    <n v="62"/>
    <n v="0"/>
  </r>
  <r>
    <d v="2025-06-26T15:06:33"/>
    <n v="242"/>
    <x v="200"/>
    <d v="2025-06-26T00:00:00"/>
    <d v="2025-09-30T00:00:00"/>
    <x v="2"/>
    <x v="0"/>
    <s v="610200"/>
    <x v="93"/>
    <x v="2"/>
    <s v="KG"/>
    <n v="23.75"/>
    <s v="5171"/>
    <s v="SAFRA 25/26"/>
    <n v="388.8"/>
    <n v="0"/>
    <n v="388.8"/>
    <n v="9234"/>
    <m/>
    <s v="NOVO PROGRESSO"/>
    <s v="88562980234"/>
    <n v="23.75"/>
    <n v="0"/>
  </r>
  <r>
    <d v="2025-06-26T15:06:33"/>
    <n v="242"/>
    <x v="200"/>
    <d v="2025-06-26T00:00:00"/>
    <d v="2025-09-30T00:00:00"/>
    <x v="2"/>
    <x v="2"/>
    <s v="610200"/>
    <x v="13"/>
    <x v="1"/>
    <s v="LT"/>
    <n v="36"/>
    <s v="5171"/>
    <s v="SAFRA 25/26"/>
    <n v="252"/>
    <n v="0"/>
    <n v="252"/>
    <n v="9072"/>
    <m/>
    <s v="NOVO PROGRESSO"/>
    <s v="88562980234"/>
    <n v="36"/>
    <n v="0"/>
  </r>
  <r>
    <d v="2025-06-26T15:06:33"/>
    <n v="242"/>
    <x v="200"/>
    <d v="2025-06-26T00:00:00"/>
    <d v="2025-09-30T00:00:00"/>
    <x v="2"/>
    <x v="2"/>
    <s v="610200"/>
    <x v="18"/>
    <x v="1"/>
    <s v="KG"/>
    <n v="182"/>
    <s v="5171"/>
    <s v="SAFRA 25/26"/>
    <n v="240"/>
    <n v="0"/>
    <n v="240"/>
    <n v="43680"/>
    <m/>
    <s v="NOVO PROGRESSO"/>
    <s v="88562980234"/>
    <n v="182"/>
    <n v="0"/>
  </r>
  <r>
    <d v="2025-06-26T15:06:33"/>
    <n v="242"/>
    <x v="200"/>
    <d v="2025-06-26T00:00:00"/>
    <d v="2025-09-30T00:00:00"/>
    <x v="2"/>
    <x v="0"/>
    <s v="610200"/>
    <x v="64"/>
    <x v="2"/>
    <s v="LT"/>
    <n v="10"/>
    <s v="5171"/>
    <s v="SAFRA 25/26"/>
    <n v="2900"/>
    <n v="0"/>
    <n v="2900"/>
    <n v="29000"/>
    <m/>
    <s v="NOVO PROGRESSO"/>
    <s v="88562980234"/>
    <n v="10"/>
    <n v="0"/>
  </r>
  <r>
    <d v="2025-09-23T14:46:42"/>
    <n v="4076"/>
    <x v="201"/>
    <d v="2025-09-23T00:00:00"/>
    <d v="2025-09-23T00:00:00"/>
    <x v="3"/>
    <x v="0"/>
    <s v="510200"/>
    <x v="15"/>
    <x v="2"/>
    <s v="LT"/>
    <n v="138"/>
    <s v="5626"/>
    <s v="SAFRA 25/26"/>
    <n v="12"/>
    <n v="0"/>
    <n v="12"/>
    <n v="1656"/>
    <m/>
    <s v="PORTO DOS GAUCHOS"/>
    <s v="55047378691"/>
    <n v="138"/>
    <n v="0"/>
  </r>
  <r>
    <d v="2025-09-23T12:29:24"/>
    <n v="4075"/>
    <x v="202"/>
    <d v="2025-09-23T00:00:00"/>
    <d v="2026-03-30T00:00:00"/>
    <x v="7"/>
    <x v="0"/>
    <s v="510200"/>
    <x v="24"/>
    <x v="2"/>
    <s v="LT"/>
    <n v="62"/>
    <s v="5580"/>
    <s v="SAFRA 25/26"/>
    <n v="100"/>
    <n v="0"/>
    <n v="100"/>
    <n v="6200"/>
    <m/>
    <s v="SORRISO"/>
    <s v="86643851149"/>
    <n v="62"/>
    <n v="0"/>
  </r>
  <r>
    <d v="2026-02-06T16:26:00"/>
    <n v="531"/>
    <x v="203"/>
    <d v="2026-02-06T00:00:00"/>
    <d v="2026-02-10T00:00:00"/>
    <x v="11"/>
    <x v="0"/>
    <s v="510200"/>
    <x v="21"/>
    <x v="2"/>
    <s v="KG"/>
    <n v="42"/>
    <s v="379"/>
    <s v="SAFRINHA 2026"/>
    <n v="510"/>
    <n v="0"/>
    <n v="510"/>
    <n v="21420"/>
    <m/>
    <s v="CLAUDIA"/>
    <s v="20026465000129"/>
    <n v="42"/>
    <n v="0"/>
  </r>
  <r>
    <d v="2025-09-06T08:18:13"/>
    <n v="4016"/>
    <x v="204"/>
    <d v="2025-09-06T00:00:00"/>
    <d v="2026-03-30T00:00:00"/>
    <x v="3"/>
    <x v="1"/>
    <s v="510200"/>
    <x v="25"/>
    <x v="1"/>
    <s v="KG"/>
    <n v="410"/>
    <s v="5602"/>
    <s v="SAFRA 25/26"/>
    <n v="125"/>
    <n v="0"/>
    <n v="125"/>
    <n v="51250"/>
    <m/>
    <m/>
    <s v="32892850000138"/>
    <n v="410"/>
    <n v="0"/>
  </r>
  <r>
    <d v="2025-09-06T08:18:13"/>
    <n v="4016"/>
    <x v="204"/>
    <d v="2025-09-06T00:00:00"/>
    <d v="2026-03-30T00:00:00"/>
    <x v="3"/>
    <x v="1"/>
    <s v="510200"/>
    <x v="11"/>
    <x v="1"/>
    <s v="LT"/>
    <n v="200"/>
    <s v="5602"/>
    <s v="SAFRA 25/26"/>
    <n v="250"/>
    <n v="0"/>
    <n v="250"/>
    <n v="50000"/>
    <m/>
    <m/>
    <s v="32892850000138"/>
    <n v="200"/>
    <n v="0"/>
  </r>
  <r>
    <d v="2025-09-06T09:02:56"/>
    <n v="4017"/>
    <x v="204"/>
    <d v="2025-09-06T00:00:00"/>
    <d v="2026-04-30T00:00:00"/>
    <x v="3"/>
    <x v="1"/>
    <s v="510200"/>
    <x v="9"/>
    <x v="1"/>
    <s v="LT"/>
    <n v="40"/>
    <s v="5604"/>
    <s v="SAFRA 25/26"/>
    <n v="48"/>
    <n v="0"/>
    <n v="48"/>
    <n v="1920"/>
    <m/>
    <m/>
    <s v="32892850000138"/>
    <n v="40"/>
    <n v="0"/>
  </r>
  <r>
    <d v="2025-09-06T09:02:56"/>
    <n v="4017"/>
    <x v="204"/>
    <d v="2025-09-06T00:00:00"/>
    <d v="2026-04-30T00:00:00"/>
    <x v="3"/>
    <x v="1"/>
    <s v="510200"/>
    <x v="10"/>
    <x v="1"/>
    <s v="LT"/>
    <n v="200"/>
    <s v="5604"/>
    <s v="SAFRA 25/26"/>
    <n v="15"/>
    <n v="0"/>
    <n v="15"/>
    <n v="3000"/>
    <m/>
    <m/>
    <s v="32892850000138"/>
    <n v="200"/>
    <n v="0"/>
  </r>
  <r>
    <d v="2025-09-10T09:34:49"/>
    <n v="4020"/>
    <x v="204"/>
    <d v="2025-09-10T00:00:00"/>
    <d v="2026-04-30T00:00:00"/>
    <x v="3"/>
    <x v="1"/>
    <s v="510200"/>
    <x v="11"/>
    <x v="1"/>
    <s v="LT"/>
    <n v="206"/>
    <s v="5570"/>
    <s v="SAFRA 25/26"/>
    <n v="420"/>
    <n v="0"/>
    <n v="420"/>
    <n v="86520"/>
    <m/>
    <m/>
    <s v="32892850000138"/>
    <n v="206"/>
    <n v="0"/>
  </r>
  <r>
    <d v="2025-09-10T09:34:49"/>
    <n v="4020"/>
    <x v="204"/>
    <d v="2025-09-10T00:00:00"/>
    <d v="2026-04-30T00:00:00"/>
    <x v="3"/>
    <x v="1"/>
    <s v="510200"/>
    <x v="10"/>
    <x v="1"/>
    <s v="LT"/>
    <n v="206"/>
    <s v="5570"/>
    <s v="SAFRA 25/26"/>
    <n v="324"/>
    <n v="0"/>
    <n v="324"/>
    <n v="66744"/>
    <m/>
    <m/>
    <s v="32892850000138"/>
    <n v="206"/>
    <n v="0"/>
  </r>
  <r>
    <d v="2025-09-13T09:48:36"/>
    <n v="4036"/>
    <x v="204"/>
    <d v="2025-09-13T00:00:00"/>
    <d v="2026-04-30T00:00:00"/>
    <x v="3"/>
    <x v="1"/>
    <s v="510200"/>
    <x v="10"/>
    <x v="1"/>
    <s v="LT"/>
    <n v="206"/>
    <s v="5613"/>
    <s v="SAFRA 25/26"/>
    <n v="120"/>
    <n v="0"/>
    <n v="120"/>
    <n v="24720"/>
    <m/>
    <m/>
    <s v="32892850000138"/>
    <n v="206"/>
    <n v="0"/>
  </r>
  <r>
    <d v="2025-09-13T09:48:36"/>
    <n v="4036"/>
    <x v="204"/>
    <d v="2025-09-13T00:00:00"/>
    <d v="2026-04-30T00:00:00"/>
    <x v="3"/>
    <x v="1"/>
    <s v="510200"/>
    <x v="11"/>
    <x v="1"/>
    <s v="LT"/>
    <n v="206"/>
    <s v="5613"/>
    <s v="SAFRA 25/26"/>
    <n v="36"/>
    <n v="0"/>
    <n v="36"/>
    <n v="7416"/>
    <m/>
    <m/>
    <s v="32892850000138"/>
    <n v="206"/>
    <n v="0"/>
  </r>
  <r>
    <d v="2025-09-16T07:51:59"/>
    <n v="4043"/>
    <x v="204"/>
    <d v="2025-09-16T00:00:00"/>
    <d v="2026-04-30T00:00:00"/>
    <x v="3"/>
    <x v="1"/>
    <s v="510200"/>
    <x v="11"/>
    <x v="1"/>
    <s v="LT"/>
    <n v="206"/>
    <s v="5615"/>
    <s v="SAFRA 25/26"/>
    <n v="60"/>
    <n v="0"/>
    <n v="60"/>
    <n v="12360"/>
    <m/>
    <m/>
    <s v="32892850000138"/>
    <n v="206"/>
    <n v="0"/>
  </r>
  <r>
    <d v="2025-10-13T13:22:06"/>
    <n v="4155"/>
    <x v="204"/>
    <d v="2025-10-13T00:00:00"/>
    <d v="2026-04-30T00:00:00"/>
    <x v="3"/>
    <x v="1"/>
    <s v="510200"/>
    <x v="14"/>
    <x v="1"/>
    <s v="KG"/>
    <n v="285"/>
    <s v="5680"/>
    <s v="SAFRA 25/26"/>
    <n v="2"/>
    <n v="0"/>
    <n v="2"/>
    <n v="570"/>
    <m/>
    <m/>
    <s v="32892850000138"/>
    <n v="285"/>
    <n v="0"/>
  </r>
  <r>
    <d v="2025-10-13T13:22:06"/>
    <n v="4155"/>
    <x v="204"/>
    <d v="2025-10-13T00:00:00"/>
    <d v="2026-04-30T00:00:00"/>
    <x v="3"/>
    <x v="1"/>
    <s v="510200"/>
    <x v="13"/>
    <x v="1"/>
    <s v="LT"/>
    <n v="34"/>
    <s v="5680"/>
    <s v="SAFRA 25/26"/>
    <n v="12"/>
    <n v="0"/>
    <n v="12"/>
    <n v="408"/>
    <m/>
    <m/>
    <s v="32892850000138"/>
    <n v="34"/>
    <n v="0"/>
  </r>
  <r>
    <d v="2025-10-13T13:22:06"/>
    <n v="4155"/>
    <x v="204"/>
    <d v="2025-10-13T00:00:00"/>
    <d v="2026-04-30T00:00:00"/>
    <x v="3"/>
    <x v="1"/>
    <s v="510200"/>
    <x v="9"/>
    <x v="1"/>
    <s v="LT"/>
    <n v="36"/>
    <s v="5680"/>
    <s v="SAFRA 25/26"/>
    <n v="3"/>
    <n v="0"/>
    <n v="3"/>
    <n v="108"/>
    <m/>
    <m/>
    <s v="32892850000138"/>
    <n v="36"/>
    <n v="0"/>
  </r>
  <r>
    <d v="2025-10-13T13:22:06"/>
    <n v="4155"/>
    <x v="204"/>
    <d v="2025-10-13T00:00:00"/>
    <d v="2026-04-30T00:00:00"/>
    <x v="3"/>
    <x v="1"/>
    <s v="510200"/>
    <x v="25"/>
    <x v="1"/>
    <s v="KG"/>
    <n v="390"/>
    <s v="5680"/>
    <s v="SAFRA 25/26"/>
    <n v="62"/>
    <n v="0"/>
    <n v="62"/>
    <n v="24180"/>
    <m/>
    <m/>
    <s v="32892850000138"/>
    <n v="390"/>
    <n v="0"/>
  </r>
  <r>
    <d v="2025-10-17T16:14:27"/>
    <n v="4176"/>
    <x v="204"/>
    <d v="2025-10-17T00:00:00"/>
    <d v="2026-04-30T00:00:00"/>
    <x v="3"/>
    <x v="1"/>
    <s v="510200"/>
    <x v="25"/>
    <x v="1"/>
    <s v="KG"/>
    <n v="390"/>
    <s v="5694"/>
    <s v="SAFRA 25/26"/>
    <n v="30"/>
    <n v="0"/>
    <n v="30"/>
    <n v="11700"/>
    <m/>
    <m/>
    <s v="32892850000138"/>
    <n v="390"/>
    <n v="0"/>
  </r>
  <r>
    <d v="2026-01-28T08:28:18"/>
    <n v="4499"/>
    <x v="204"/>
    <d v="2026-01-28T00:00:00"/>
    <d v="2026-04-30T00:00:00"/>
    <x v="3"/>
    <x v="0"/>
    <s v="510200"/>
    <x v="84"/>
    <x v="2"/>
    <s v="LT"/>
    <n v="72.25"/>
    <s v="6037"/>
    <s v="SAFRA 25/26"/>
    <n v="325"/>
    <n v="0"/>
    <n v="325"/>
    <n v="23481.25"/>
    <m/>
    <m/>
    <s v="32892850000138"/>
    <n v="72.25"/>
    <n v="0"/>
  </r>
  <r>
    <d v="2025-12-24T10:28:46"/>
    <n v="467"/>
    <x v="205"/>
    <d v="2025-12-23T00:00:00"/>
    <d v="2026-08-30T00:00:00"/>
    <x v="13"/>
    <x v="2"/>
    <s v="510200"/>
    <x v="18"/>
    <x v="1"/>
    <s v="KG"/>
    <n v="195"/>
    <s v="421"/>
    <s v="SAFRINHA 2026"/>
    <n v="68"/>
    <n v="0"/>
    <n v="68"/>
    <n v="13260"/>
    <m/>
    <s v="SINOP"/>
    <s v="00784733066"/>
    <n v="195"/>
    <n v="0"/>
  </r>
  <r>
    <d v="2026-02-28T15:49:45"/>
    <n v="4617"/>
    <x v="206"/>
    <d v="2026-02-28T00:00:00"/>
    <d v="2026-04-30T00:00:00"/>
    <x v="0"/>
    <x v="0"/>
    <s v="510200"/>
    <x v="1"/>
    <x v="0"/>
    <s v="LT"/>
    <n v="155"/>
    <s v="5708"/>
    <s v="SAFRINHA 2026"/>
    <n v="40"/>
    <n v="0"/>
    <n v="40"/>
    <n v="6200"/>
    <m/>
    <s v="CLAUDIA"/>
    <s v="93560834104"/>
    <n v="155"/>
    <n v="0"/>
  </r>
  <r>
    <d v="2026-02-28T15:49:45"/>
    <n v="4617"/>
    <x v="206"/>
    <d v="2026-02-28T00:00:00"/>
    <d v="2026-04-30T00:00:00"/>
    <x v="0"/>
    <x v="0"/>
    <s v="510200"/>
    <x v="46"/>
    <x v="0"/>
    <s v="LT"/>
    <n v="17"/>
    <s v="5708"/>
    <s v="SAFRINHA 2026"/>
    <n v="500"/>
    <n v="0"/>
    <n v="500"/>
    <n v="8500"/>
    <m/>
    <s v="CLAUDIA"/>
    <s v="93560834104"/>
    <n v="17"/>
    <n v="0"/>
  </r>
  <r>
    <d v="2025-10-20T15:22:40"/>
    <n v="4187"/>
    <x v="207"/>
    <d v="2025-10-20T00:00:00"/>
    <d v="2025-10-30T00:00:00"/>
    <x v="6"/>
    <x v="0"/>
    <s v="510200"/>
    <x v="21"/>
    <x v="2"/>
    <s v="KG"/>
    <n v="34"/>
    <s v="5701"/>
    <s v="SAFRA 25/26"/>
    <n v="105"/>
    <n v="0"/>
    <n v="105"/>
    <n v="3570"/>
    <m/>
    <s v="BOA ESPERANÇA DO NORTE"/>
    <s v="88630684100"/>
    <n v="34"/>
    <n v="0"/>
  </r>
  <r>
    <d v="2025-08-19T08:28:59"/>
    <n v="265"/>
    <x v="208"/>
    <d v="2025-08-19T00:00:00"/>
    <d v="2026-04-30T00:00:00"/>
    <x v="10"/>
    <x v="0"/>
    <s v="510200"/>
    <x v="77"/>
    <x v="2"/>
    <s v="TON"/>
    <n v="950"/>
    <s v="5337"/>
    <s v="SAFRA 25/26"/>
    <n v="200"/>
    <n v="10"/>
    <n v="190"/>
    <n v="180500"/>
    <m/>
    <s v="PEIXOTO DE AZEVEDO"/>
    <s v="01046293125"/>
    <n v="950"/>
    <n v="0"/>
  </r>
  <r>
    <d v="2025-06-09T14:06:23"/>
    <n v="3884"/>
    <x v="209"/>
    <d v="2025-06-03T00:00:00"/>
    <d v="2026-03-30T00:00:00"/>
    <x v="0"/>
    <x v="0"/>
    <s v="510200"/>
    <x v="12"/>
    <x v="0"/>
    <s v="LT"/>
    <n v="240"/>
    <s v="4567"/>
    <s v="SAFRA 25/26"/>
    <n v="250"/>
    <n v="0"/>
    <n v="250"/>
    <n v="60000"/>
    <m/>
    <s v="NOVA UBIRATA"/>
    <s v="00259750131"/>
    <n v="240"/>
    <n v="0"/>
  </r>
  <r>
    <d v="2025-06-09T14:06:23"/>
    <n v="3884"/>
    <x v="209"/>
    <d v="2025-06-03T00:00:00"/>
    <d v="2026-03-30T00:00:00"/>
    <x v="0"/>
    <x v="0"/>
    <s v="510200"/>
    <x v="6"/>
    <x v="0"/>
    <s v="LT"/>
    <n v="70"/>
    <s v="4567"/>
    <s v="SAFRA 25/26"/>
    <n v="750"/>
    <n v="0"/>
    <n v="750"/>
    <n v="52500"/>
    <m/>
    <s v="NOVA UBIRATA"/>
    <s v="00259750131"/>
    <n v="70"/>
    <n v="0"/>
  </r>
  <r>
    <d v="2025-06-09T14:06:23"/>
    <n v="3884"/>
    <x v="209"/>
    <d v="2025-06-03T00:00:00"/>
    <d v="2026-03-30T00:00:00"/>
    <x v="0"/>
    <x v="1"/>
    <s v="510200"/>
    <x v="9"/>
    <x v="1"/>
    <s v="LT"/>
    <n v="52"/>
    <s v="4567"/>
    <s v="SAFRA 25/26"/>
    <n v="252"/>
    <n v="0"/>
    <n v="252"/>
    <n v="13104"/>
    <m/>
    <s v="NOVA UBIRATA"/>
    <s v="00259750131"/>
    <n v="52"/>
    <n v="0"/>
  </r>
  <r>
    <d v="2025-06-09T14:06:23"/>
    <n v="3884"/>
    <x v="209"/>
    <d v="2025-06-03T00:00:00"/>
    <d v="2026-03-30T00:00:00"/>
    <x v="0"/>
    <x v="1"/>
    <s v="510200"/>
    <x v="13"/>
    <x v="1"/>
    <s v="LT"/>
    <n v="46"/>
    <s v="4567"/>
    <s v="SAFRA 25/26"/>
    <n v="252"/>
    <n v="0"/>
    <n v="252"/>
    <n v="11592"/>
    <m/>
    <s v="NOVA UBIRATA"/>
    <s v="00259750131"/>
    <n v="46"/>
    <n v="0"/>
  </r>
  <r>
    <d v="2025-06-09T14:06:23"/>
    <n v="3884"/>
    <x v="209"/>
    <d v="2025-06-03T00:00:00"/>
    <d v="2026-03-30T00:00:00"/>
    <x v="0"/>
    <x v="1"/>
    <s v="510200"/>
    <x v="11"/>
    <x v="1"/>
    <s v="LT"/>
    <n v="340"/>
    <s v="4567"/>
    <s v="SAFRA 25/26"/>
    <n v="126"/>
    <n v="0"/>
    <n v="126"/>
    <n v="42840"/>
    <m/>
    <s v="NOVA UBIRATA"/>
    <s v="00259750131"/>
    <n v="340"/>
    <n v="0"/>
  </r>
  <r>
    <d v="2025-06-09T14:06:23"/>
    <n v="3884"/>
    <x v="209"/>
    <d v="2025-06-03T00:00:00"/>
    <d v="2026-03-30T00:00:00"/>
    <x v="0"/>
    <x v="1"/>
    <s v="510200"/>
    <x v="10"/>
    <x v="1"/>
    <s v="LT"/>
    <n v="340"/>
    <s v="4567"/>
    <s v="SAFRA 25/26"/>
    <n v="100"/>
    <n v="0"/>
    <n v="100"/>
    <n v="34000"/>
    <m/>
    <s v="NOVA UBIRATA"/>
    <s v="00259750131"/>
    <n v="340"/>
    <n v="0"/>
  </r>
  <r>
    <d v="2025-06-09T14:06:23"/>
    <n v="3884"/>
    <x v="209"/>
    <d v="2025-06-03T00:00:00"/>
    <d v="2026-03-30T00:00:00"/>
    <x v="0"/>
    <x v="1"/>
    <s v="510200"/>
    <x v="18"/>
    <x v="1"/>
    <s v="KG"/>
    <n v="195"/>
    <s v="4567"/>
    <s v="SAFRA 25/26"/>
    <n v="252"/>
    <n v="0"/>
    <n v="252"/>
    <n v="49140"/>
    <m/>
    <s v="NOVA UBIRATA"/>
    <s v="00259750131"/>
    <n v="195"/>
    <n v="0"/>
  </r>
  <r>
    <d v="2025-06-09T14:10:22"/>
    <n v="3885"/>
    <x v="209"/>
    <d v="2025-06-03T00:00:00"/>
    <d v="2026-08-30T00:00:00"/>
    <x v="0"/>
    <x v="1"/>
    <s v="510200"/>
    <x v="10"/>
    <x v="1"/>
    <s v="LT"/>
    <n v="340"/>
    <s v="4568"/>
    <s v="SAFRINHA 2026"/>
    <n v="25"/>
    <n v="0"/>
    <n v="25"/>
    <n v="8500"/>
    <m/>
    <s v="NOVA UBIRATA"/>
    <s v="00259750131"/>
    <n v="340"/>
    <n v="0"/>
  </r>
  <r>
    <d v="2025-06-09T14:10:22"/>
    <n v="3885"/>
    <x v="209"/>
    <d v="2025-06-03T00:00:00"/>
    <d v="2026-08-30T00:00:00"/>
    <x v="0"/>
    <x v="1"/>
    <s v="510200"/>
    <x v="11"/>
    <x v="1"/>
    <s v="LT"/>
    <n v="340"/>
    <s v="4568"/>
    <s v="SAFRINHA 2026"/>
    <n v="25"/>
    <n v="0"/>
    <n v="25"/>
    <n v="8500"/>
    <m/>
    <s v="NOVA UBIRATA"/>
    <s v="00259750131"/>
    <n v="340"/>
    <n v="0"/>
  </r>
  <r>
    <d v="2025-06-09T14:10:22"/>
    <n v="3885"/>
    <x v="209"/>
    <d v="2025-06-03T00:00:00"/>
    <d v="2026-08-30T00:00:00"/>
    <x v="0"/>
    <x v="1"/>
    <s v="510200"/>
    <x v="18"/>
    <x v="1"/>
    <s v="KG"/>
    <n v="195"/>
    <s v="4568"/>
    <s v="SAFRINHA 2026"/>
    <n v="100"/>
    <n v="0"/>
    <n v="100"/>
    <n v="19500"/>
    <m/>
    <s v="NOVA UBIRATA"/>
    <s v="00259750131"/>
    <n v="195"/>
    <n v="0"/>
  </r>
  <r>
    <d v="2025-06-09T14:10:22"/>
    <n v="3885"/>
    <x v="209"/>
    <d v="2025-06-03T00:00:00"/>
    <d v="2026-08-30T00:00:00"/>
    <x v="0"/>
    <x v="0"/>
    <s v="510200"/>
    <x v="6"/>
    <x v="0"/>
    <s v="LT"/>
    <n v="70"/>
    <s v="4568"/>
    <s v="SAFRINHA 2026"/>
    <n v="750"/>
    <n v="0"/>
    <n v="750"/>
    <n v="52500"/>
    <m/>
    <s v="NOVA UBIRATA"/>
    <s v="00259750131"/>
    <n v="70"/>
    <n v="0"/>
  </r>
  <r>
    <d v="2025-06-09T14:10:22"/>
    <n v="3885"/>
    <x v="209"/>
    <d v="2025-06-03T00:00:00"/>
    <d v="2026-08-30T00:00:00"/>
    <x v="0"/>
    <x v="0"/>
    <s v="510200"/>
    <x v="12"/>
    <x v="0"/>
    <s v="LT"/>
    <n v="240"/>
    <s v="4568"/>
    <s v="SAFRINHA 2026"/>
    <n v="125"/>
    <n v="0"/>
    <n v="125"/>
    <n v="30000"/>
    <m/>
    <s v="NOVA UBIRATA"/>
    <s v="00259750131"/>
    <n v="240"/>
    <n v="0"/>
  </r>
  <r>
    <d v="2025-06-09T14:10:22"/>
    <n v="3885"/>
    <x v="209"/>
    <d v="2025-06-03T00:00:00"/>
    <d v="2026-08-30T00:00:00"/>
    <x v="0"/>
    <x v="1"/>
    <s v="510200"/>
    <x v="9"/>
    <x v="1"/>
    <s v="LT"/>
    <n v="52"/>
    <s v="4568"/>
    <s v="SAFRINHA 2026"/>
    <n v="126"/>
    <n v="0"/>
    <n v="126"/>
    <n v="6552"/>
    <m/>
    <s v="NOVA UBIRATA"/>
    <s v="00259750131"/>
    <n v="52"/>
    <n v="0"/>
  </r>
  <r>
    <d v="2025-06-09T14:26:47"/>
    <n v="3887"/>
    <x v="209"/>
    <d v="2025-06-09T00:00:00"/>
    <d v="2026-10-30T00:00:00"/>
    <x v="0"/>
    <x v="0"/>
    <s v="510200"/>
    <x v="1"/>
    <x v="0"/>
    <s v="LT"/>
    <n v="160"/>
    <s v="4575"/>
    <s v="SAFRINHA 2026"/>
    <n v="260"/>
    <n v="0"/>
    <n v="260"/>
    <n v="41600"/>
    <m/>
    <s v="NOVA UBIRATA"/>
    <s v="00259750131"/>
    <n v="160"/>
    <n v="0"/>
  </r>
  <r>
    <d v="2025-06-09T14:26:47"/>
    <n v="3887"/>
    <x v="209"/>
    <d v="2025-06-09T00:00:00"/>
    <d v="2026-10-30T00:00:00"/>
    <x v="0"/>
    <x v="0"/>
    <s v="510200"/>
    <x v="124"/>
    <x v="2"/>
    <s v="LT"/>
    <n v="65"/>
    <s v="4575"/>
    <s v="SAFRINHA 2026"/>
    <n v="1250"/>
    <n v="0"/>
    <n v="1250"/>
    <n v="81250"/>
    <m/>
    <s v="NOVA UBIRATA"/>
    <s v="00259750131"/>
    <n v="65"/>
    <n v="0"/>
  </r>
  <r>
    <d v="2025-06-09T14:26:47"/>
    <n v="3887"/>
    <x v="209"/>
    <d v="2025-06-09T00:00:00"/>
    <d v="2026-10-30T00:00:00"/>
    <x v="0"/>
    <x v="0"/>
    <s v="510200"/>
    <x v="60"/>
    <x v="2"/>
    <s v="LT"/>
    <n v="24"/>
    <s v="4575"/>
    <s v="SAFRINHA 2026"/>
    <n v="1200"/>
    <n v="0"/>
    <n v="1200"/>
    <n v="28800"/>
    <m/>
    <s v="NOVA UBIRATA"/>
    <s v="00259750131"/>
    <n v="24"/>
    <n v="0"/>
  </r>
  <r>
    <d v="2025-06-09T14:26:47"/>
    <n v="3887"/>
    <x v="209"/>
    <d v="2025-06-09T00:00:00"/>
    <d v="2026-10-30T00:00:00"/>
    <x v="0"/>
    <x v="0"/>
    <s v="510200"/>
    <x v="58"/>
    <x v="2"/>
    <s v="LT"/>
    <n v="24"/>
    <s v="4575"/>
    <s v="SAFRINHA 2026"/>
    <n v="60"/>
    <n v="0"/>
    <n v="60"/>
    <n v="1440"/>
    <m/>
    <s v="NOVA UBIRATA"/>
    <s v="00259750131"/>
    <n v="24"/>
    <n v="0"/>
  </r>
  <r>
    <d v="2025-11-24T09:48:33"/>
    <n v="4292"/>
    <x v="209"/>
    <d v="2025-11-24T00:00:00"/>
    <d v="2026-03-30T00:00:00"/>
    <x v="0"/>
    <x v="0"/>
    <s v="510200"/>
    <x v="95"/>
    <x v="2"/>
    <s v="LT"/>
    <n v="62"/>
    <s v="5825"/>
    <s v="SAFRA 25/26"/>
    <n v="200"/>
    <n v="0"/>
    <n v="200"/>
    <n v="12400"/>
    <m/>
    <s v="NOVA UBIRATA"/>
    <s v="00259750131"/>
    <n v="62"/>
    <n v="0"/>
  </r>
  <r>
    <d v="2025-10-27T10:39:35"/>
    <n v="387"/>
    <x v="210"/>
    <d v="2025-10-16T00:00:00"/>
    <d v="2026-04-30T00:00:00"/>
    <x v="13"/>
    <x v="2"/>
    <s v="510200"/>
    <x v="11"/>
    <x v="1"/>
    <s v="LT"/>
    <n v="320"/>
    <s v="239"/>
    <s v="SAFRA 25/26"/>
    <n v="5"/>
    <n v="0"/>
    <n v="5"/>
    <n v="1600"/>
    <m/>
    <s v="CLAUDIA"/>
    <s v="79752993915"/>
    <n v="320"/>
    <n v="0"/>
  </r>
  <r>
    <d v="2025-10-27T10:39:35"/>
    <n v="387"/>
    <x v="210"/>
    <d v="2025-10-16T00:00:00"/>
    <d v="2026-04-30T00:00:00"/>
    <x v="13"/>
    <x v="0"/>
    <s v="510200"/>
    <x v="12"/>
    <x v="0"/>
    <s v="LT"/>
    <n v="230"/>
    <s v="239"/>
    <s v="SAFRA 25/26"/>
    <n v="5"/>
    <n v="0"/>
    <n v="5"/>
    <n v="1150"/>
    <m/>
    <s v="CLAUDIA"/>
    <s v="79752993915"/>
    <n v="230"/>
    <n v="0"/>
  </r>
  <r>
    <d v="2025-10-27T10:39:35"/>
    <n v="387"/>
    <x v="210"/>
    <d v="2025-10-16T00:00:00"/>
    <d v="2026-04-30T00:00:00"/>
    <x v="13"/>
    <x v="2"/>
    <s v="510200"/>
    <x v="10"/>
    <x v="1"/>
    <s v="LT"/>
    <n v="320"/>
    <s v="239"/>
    <s v="SAFRA 25/26"/>
    <n v="5"/>
    <n v="0"/>
    <n v="5"/>
    <n v="1600"/>
    <m/>
    <s v="CLAUDIA"/>
    <s v="79752993915"/>
    <n v="320"/>
    <n v="0"/>
  </r>
  <r>
    <d v="2025-10-27T10:39:35"/>
    <n v="387"/>
    <x v="210"/>
    <d v="2025-10-16T00:00:00"/>
    <d v="2026-04-30T00:00:00"/>
    <x v="13"/>
    <x v="2"/>
    <s v="510200"/>
    <x v="13"/>
    <x v="1"/>
    <s v="LT"/>
    <n v="40"/>
    <s v="239"/>
    <s v="SAFRA 25/26"/>
    <n v="45"/>
    <n v="0"/>
    <n v="45"/>
    <n v="1800"/>
    <m/>
    <s v="CLAUDIA"/>
    <s v="79752993915"/>
    <n v="40"/>
    <n v="0"/>
  </r>
  <r>
    <d v="2025-10-27T10:39:35"/>
    <n v="387"/>
    <x v="210"/>
    <d v="2025-10-16T00:00:00"/>
    <d v="2026-04-30T00:00:00"/>
    <x v="13"/>
    <x v="2"/>
    <s v="510200"/>
    <x v="14"/>
    <x v="1"/>
    <s v="KG"/>
    <n v="390"/>
    <s v="239"/>
    <s v="SAFRA 25/26"/>
    <n v="5"/>
    <n v="0"/>
    <n v="5"/>
    <n v="1950"/>
    <m/>
    <s v="CLAUDIA"/>
    <s v="79752993915"/>
    <n v="390"/>
    <n v="0"/>
  </r>
  <r>
    <d v="2025-10-27T10:39:35"/>
    <n v="387"/>
    <x v="210"/>
    <d v="2025-10-16T00:00:00"/>
    <d v="2026-04-30T00:00:00"/>
    <x v="13"/>
    <x v="2"/>
    <s v="510200"/>
    <x v="9"/>
    <x v="1"/>
    <s v="LT"/>
    <n v="53"/>
    <s v="239"/>
    <s v="SAFRA 25/26"/>
    <n v="9"/>
    <n v="0"/>
    <n v="9"/>
    <n v="477"/>
    <m/>
    <s v="CLAUDIA"/>
    <s v="79752993915"/>
    <n v="53"/>
    <n v="0"/>
  </r>
  <r>
    <d v="2026-01-26T08:38:45"/>
    <n v="514"/>
    <x v="210"/>
    <d v="2026-01-26T00:00:00"/>
    <d v="2026-08-30T00:00:00"/>
    <x v="13"/>
    <x v="2"/>
    <s v="510200"/>
    <x v="10"/>
    <x v="1"/>
    <s v="LT"/>
    <n v="340"/>
    <s v="5235"/>
    <s v="SAFRINHA 2026"/>
    <n v="19"/>
    <n v="0"/>
    <n v="19"/>
    <n v="6460"/>
    <m/>
    <s v="CLAUDIA"/>
    <s v="79752993915"/>
    <n v="340"/>
    <n v="0"/>
  </r>
  <r>
    <d v="2026-01-26T08:38:45"/>
    <n v="514"/>
    <x v="210"/>
    <d v="2026-01-26T00:00:00"/>
    <d v="2026-08-30T00:00:00"/>
    <x v="13"/>
    <x v="2"/>
    <s v="510200"/>
    <x v="11"/>
    <x v="1"/>
    <s v="LT"/>
    <n v="350"/>
    <s v="5235"/>
    <s v="SAFRINHA 2026"/>
    <n v="38"/>
    <n v="0"/>
    <n v="38"/>
    <n v="13300"/>
    <m/>
    <s v="CLAUDIA"/>
    <s v="79752993915"/>
    <n v="350"/>
    <n v="0"/>
  </r>
  <r>
    <d v="2026-01-26T08:38:45"/>
    <n v="514"/>
    <x v="210"/>
    <d v="2026-01-26T00:00:00"/>
    <d v="2026-08-30T00:00:00"/>
    <x v="13"/>
    <x v="2"/>
    <s v="510200"/>
    <x v="9"/>
    <x v="1"/>
    <s v="LT"/>
    <n v="57"/>
    <s v="5235"/>
    <s v="SAFRINHA 2026"/>
    <n v="141"/>
    <n v="0"/>
    <n v="141"/>
    <n v="8037"/>
    <m/>
    <s v="CLAUDIA"/>
    <s v="79752993915"/>
    <n v="57"/>
    <n v="0"/>
  </r>
  <r>
    <d v="2026-01-26T08:38:45"/>
    <n v="514"/>
    <x v="210"/>
    <d v="2026-01-26T00:00:00"/>
    <d v="2026-08-30T00:00:00"/>
    <x v="13"/>
    <x v="2"/>
    <s v="510200"/>
    <x v="14"/>
    <x v="1"/>
    <s v="KG"/>
    <n v="390"/>
    <s v="5235"/>
    <s v="SAFRINHA 2026"/>
    <n v="50"/>
    <n v="0"/>
    <n v="50"/>
    <n v="19500"/>
    <m/>
    <s v="CLAUDIA"/>
    <s v="79752993915"/>
    <n v="390"/>
    <n v="0"/>
  </r>
  <r>
    <d v="2026-01-26T08:38:45"/>
    <n v="514"/>
    <x v="210"/>
    <d v="2026-01-26T00:00:00"/>
    <d v="2026-08-30T00:00:00"/>
    <x v="13"/>
    <x v="0"/>
    <s v="510200"/>
    <x v="12"/>
    <x v="0"/>
    <s v="LT"/>
    <n v="220"/>
    <s v="5235"/>
    <s v="SAFRINHA 2026"/>
    <n v="75"/>
    <n v="0"/>
    <n v="75"/>
    <n v="16500"/>
    <m/>
    <s v="CLAUDIA"/>
    <s v="79752993915"/>
    <n v="220"/>
    <n v="0"/>
  </r>
  <r>
    <d v="2026-02-21T10:08:24"/>
    <n v="561"/>
    <x v="210"/>
    <d v="2026-02-21T00:00:00"/>
    <d v="2026-08-30T00:00:00"/>
    <x v="13"/>
    <x v="2"/>
    <s v="510200"/>
    <x v="14"/>
    <x v="1"/>
    <s v="KG"/>
    <n v="390"/>
    <s v="390"/>
    <s v="SAFRINHA 2026"/>
    <n v="6"/>
    <n v="0"/>
    <n v="6"/>
    <n v="2340"/>
    <m/>
    <s v="CLAUDIA"/>
    <s v="79752993915"/>
    <n v="390"/>
    <n v="0"/>
  </r>
  <r>
    <d v="2025-09-16T13:05:41"/>
    <n v="300"/>
    <x v="211"/>
    <d v="2025-09-16T00:00:00"/>
    <d v="2026-03-30T00:00:00"/>
    <x v="2"/>
    <x v="0"/>
    <s v="510200"/>
    <x v="77"/>
    <x v="2"/>
    <s v="TON"/>
    <n v="831"/>
    <s v="107"/>
    <s v="SAFRA 25/26"/>
    <n v="10"/>
    <n v="0"/>
    <n v="10"/>
    <n v="8310"/>
    <m/>
    <s v="ITANHANGA"/>
    <s v="03939876984"/>
    <n v="831"/>
    <n v="0"/>
  </r>
  <r>
    <d v="2025-04-11T07:35:22"/>
    <n v="3803"/>
    <x v="212"/>
    <d v="2025-04-11T00:00:00"/>
    <d v="2026-04-30T00:00:00"/>
    <x v="5"/>
    <x v="0"/>
    <s v="510200"/>
    <x v="26"/>
    <x v="2"/>
    <s v="TON"/>
    <n v="1900"/>
    <s v="5116"/>
    <s v="SAFRA 25/26"/>
    <n v="60"/>
    <n v="0"/>
    <n v="60"/>
    <n v="114000"/>
    <m/>
    <s v="SORRISO"/>
    <s v="02537327195"/>
    <n v="1900"/>
    <n v="0"/>
  </r>
  <r>
    <d v="2025-09-19T13:36:39"/>
    <n v="4061"/>
    <x v="213"/>
    <d v="2025-09-19T00:00:00"/>
    <d v="2026-04-30T00:00:00"/>
    <x v="7"/>
    <x v="1"/>
    <s v="510200"/>
    <x v="18"/>
    <x v="1"/>
    <s v="KG"/>
    <n v="200"/>
    <s v="5578"/>
    <s v="SAFRA 25/26"/>
    <n v="32"/>
    <n v="0"/>
    <n v="32"/>
    <n v="6400"/>
    <m/>
    <s v="SORRISO"/>
    <s v="97697435187"/>
    <n v="200"/>
    <n v="0"/>
  </r>
  <r>
    <d v="2025-09-23T11:10:31"/>
    <n v="4071"/>
    <x v="214"/>
    <d v="2025-09-23T00:00:00"/>
    <d v="2026-04-30T00:00:00"/>
    <x v="5"/>
    <x v="1"/>
    <s v="510200"/>
    <x v="9"/>
    <x v="1"/>
    <s v="LT"/>
    <n v="46"/>
    <s v="5385"/>
    <s v="SAFRA 25/26"/>
    <n v="6"/>
    <n v="0"/>
    <n v="6"/>
    <n v="276"/>
    <m/>
    <s v="NOVA UBIRATA"/>
    <s v="78413915104"/>
    <n v="46"/>
    <n v="0"/>
  </r>
  <r>
    <d v="2025-09-23T11:10:31"/>
    <n v="4071"/>
    <x v="214"/>
    <d v="2025-09-23T00:00:00"/>
    <d v="2026-04-30T00:00:00"/>
    <x v="5"/>
    <x v="1"/>
    <s v="510200"/>
    <x v="10"/>
    <x v="1"/>
    <s v="LT"/>
    <n v="341"/>
    <s v="5385"/>
    <s v="SAFRA 25/26"/>
    <n v="4"/>
    <n v="0"/>
    <n v="4"/>
    <n v="1364"/>
    <m/>
    <s v="NOVA UBIRATA"/>
    <s v="78413915104"/>
    <n v="341"/>
    <n v="0"/>
  </r>
  <r>
    <d v="2025-09-23T11:10:31"/>
    <n v="4071"/>
    <x v="214"/>
    <d v="2025-09-23T00:00:00"/>
    <d v="2026-04-30T00:00:00"/>
    <x v="5"/>
    <x v="1"/>
    <s v="510200"/>
    <x v="13"/>
    <x v="1"/>
    <s v="LT"/>
    <n v="46"/>
    <s v="5385"/>
    <s v="SAFRA 25/26"/>
    <n v="12"/>
    <n v="0"/>
    <n v="12"/>
    <n v="552"/>
    <m/>
    <s v="NOVA UBIRATA"/>
    <s v="78413915104"/>
    <n v="46"/>
    <n v="0"/>
  </r>
  <r>
    <d v="2025-09-23T11:10:31"/>
    <n v="4071"/>
    <x v="214"/>
    <d v="2025-09-23T00:00:00"/>
    <d v="2026-04-30T00:00:00"/>
    <x v="5"/>
    <x v="0"/>
    <s v="510200"/>
    <x v="12"/>
    <x v="0"/>
    <s v="LT"/>
    <n v="240"/>
    <s v="5385"/>
    <s v="SAFRA 25/26"/>
    <n v="5"/>
    <n v="0"/>
    <n v="5"/>
    <n v="1200"/>
    <m/>
    <s v="NOVA UBIRATA"/>
    <s v="78413915104"/>
    <n v="240"/>
    <n v="0"/>
  </r>
  <r>
    <d v="2025-09-23T11:10:31"/>
    <n v="4071"/>
    <x v="214"/>
    <d v="2025-09-23T00:00:00"/>
    <d v="2026-04-30T00:00:00"/>
    <x v="5"/>
    <x v="1"/>
    <s v="510200"/>
    <x v="14"/>
    <x v="1"/>
    <s v="KG"/>
    <n v="390"/>
    <s v="5385"/>
    <s v="SAFRA 25/26"/>
    <n v="2"/>
    <n v="0"/>
    <n v="2"/>
    <n v="780"/>
    <m/>
    <s v="NOVA UBIRATA"/>
    <s v="78413915104"/>
    <n v="390"/>
    <n v="0"/>
  </r>
  <r>
    <d v="2025-09-23T11:10:31"/>
    <n v="4071"/>
    <x v="214"/>
    <d v="2025-09-23T00:00:00"/>
    <d v="2026-04-30T00:00:00"/>
    <x v="5"/>
    <x v="1"/>
    <s v="510200"/>
    <x v="11"/>
    <x v="1"/>
    <s v="LT"/>
    <n v="341"/>
    <s v="5385"/>
    <s v="SAFRA 25/26"/>
    <n v="4"/>
    <n v="0"/>
    <n v="4"/>
    <n v="1364"/>
    <m/>
    <s v="NOVA UBIRATA"/>
    <s v="78413915104"/>
    <n v="341"/>
    <n v="0"/>
  </r>
  <r>
    <d v="2025-09-01T10:58:04"/>
    <n v="280"/>
    <x v="215"/>
    <d v="2025-09-01T00:00:00"/>
    <d v="2026-03-30T00:00:00"/>
    <x v="2"/>
    <x v="2"/>
    <s v="610200"/>
    <x v="18"/>
    <x v="1"/>
    <s v="KG"/>
    <n v="190"/>
    <s v="5148"/>
    <s v="SAFRA 25/26"/>
    <n v="30"/>
    <n v="0"/>
    <n v="30"/>
    <n v="5700"/>
    <m/>
    <s v="NOVO PROGRESSO"/>
    <s v="01102473960"/>
    <n v="190"/>
    <n v="0"/>
  </r>
  <r>
    <d v="2025-09-01T10:58:04"/>
    <n v="280"/>
    <x v="215"/>
    <d v="2025-09-01T00:00:00"/>
    <d v="2026-03-30T00:00:00"/>
    <x v="2"/>
    <x v="0"/>
    <s v="610200"/>
    <x v="63"/>
    <x v="2"/>
    <s v="LT"/>
    <n v="78"/>
    <s v="5148"/>
    <s v="SAFRA 25/26"/>
    <n v="20"/>
    <n v="0"/>
    <n v="20"/>
    <n v="1560"/>
    <m/>
    <s v="NOVO PROGRESSO"/>
    <s v="01102473960"/>
    <n v="78"/>
    <n v="0"/>
  </r>
  <r>
    <d v="2025-04-14T10:14:35"/>
    <n v="181"/>
    <x v="216"/>
    <d v="2025-04-14T00:00:00"/>
    <d v="2025-04-14T00:00:00"/>
    <x v="2"/>
    <x v="0"/>
    <s v="510200"/>
    <x v="32"/>
    <x v="2"/>
    <s v="TON"/>
    <n v="1200"/>
    <s v="4869"/>
    <s v="SAFRA 25/26"/>
    <n v="1"/>
    <n v="0"/>
    <n v="1"/>
    <n v="1200"/>
    <m/>
    <s v="SINOP"/>
    <s v="50393430197"/>
    <n v="1200"/>
    <n v="0"/>
  </r>
  <r>
    <d v="2025-06-20T13:58:52"/>
    <n v="234"/>
    <x v="216"/>
    <d v="2025-06-20T00:00:00"/>
    <d v="2025-07-30T00:00:00"/>
    <x v="2"/>
    <x v="0"/>
    <s v="510200"/>
    <x v="32"/>
    <x v="2"/>
    <s v="TON"/>
    <n v="1060"/>
    <s v="5170"/>
    <s v="SAFRA 25/26"/>
    <n v="50"/>
    <n v="0"/>
    <n v="50"/>
    <n v="53000"/>
    <m/>
    <s v="SINOP"/>
    <s v="50393430197"/>
    <n v="1060"/>
    <n v="0"/>
  </r>
  <r>
    <d v="2026-02-17T08:22:57"/>
    <n v="551"/>
    <x v="216"/>
    <d v="2026-02-17T00:00:00"/>
    <d v="2026-08-30T00:00:00"/>
    <x v="2"/>
    <x v="2"/>
    <s v="510200"/>
    <x v="20"/>
    <x v="1"/>
    <s v="LT"/>
    <n v="35"/>
    <s v="440"/>
    <s v="SAFRINHA 2026"/>
    <n v="380"/>
    <n v="0"/>
    <n v="380"/>
    <n v="13300"/>
    <m/>
    <s v="SINOP"/>
    <s v="50393430197"/>
    <n v="35"/>
    <n v="0"/>
  </r>
  <r>
    <d v="2025-12-23T13:41:55"/>
    <n v="464"/>
    <x v="217"/>
    <d v="2025-12-23T00:00:00"/>
    <d v="2025-12-24T00:00:00"/>
    <x v="2"/>
    <x v="0"/>
    <s v="610200"/>
    <x v="24"/>
    <x v="2"/>
    <s v="LT"/>
    <n v="80"/>
    <s v="469"/>
    <s v="SAFRA 25/26"/>
    <n v="5"/>
    <n v="0"/>
    <n v="5"/>
    <n v="400"/>
    <m/>
    <s v="NOVO PROGRESSO"/>
    <s v="72963069120"/>
    <n v="80"/>
    <n v="0"/>
  </r>
  <r>
    <d v="2025-12-30T09:43:38"/>
    <n v="472"/>
    <x v="217"/>
    <d v="2025-12-30T00:00:00"/>
    <d v="2025-12-31T00:00:00"/>
    <x v="2"/>
    <x v="0"/>
    <s v="610200"/>
    <x v="24"/>
    <x v="2"/>
    <s v="LT"/>
    <n v="80"/>
    <s v="171"/>
    <s v="SAFRA 25/26"/>
    <n v="10"/>
    <n v="0"/>
    <n v="10"/>
    <n v="800"/>
    <m/>
    <s v="NOVO PROGRESSO"/>
    <s v="72963069120"/>
    <n v="80"/>
    <n v="0"/>
  </r>
  <r>
    <d v="2026-02-05T07:10:36"/>
    <n v="4527"/>
    <x v="218"/>
    <d v="2026-02-04T00:00:00"/>
    <d v="2026-03-30T00:00:00"/>
    <x v="7"/>
    <x v="1"/>
    <s v="510200"/>
    <x v="20"/>
    <x v="1"/>
    <s v="LT"/>
    <n v="45"/>
    <s v="5888"/>
    <s v="SAFRINHA 2026"/>
    <n v="50"/>
    <n v="0"/>
    <n v="50"/>
    <n v="2250"/>
    <m/>
    <s v="SORRISO"/>
    <s v="01683619900"/>
    <n v="45"/>
    <n v="0"/>
  </r>
  <r>
    <d v="2025-11-04T15:20:30"/>
    <n v="4235"/>
    <x v="219"/>
    <d v="2025-11-04T00:00:00"/>
    <d v="2026-04-30T00:00:00"/>
    <x v="5"/>
    <x v="0"/>
    <s v="510200"/>
    <x v="1"/>
    <x v="0"/>
    <s v="LT"/>
    <n v="155"/>
    <s v="5398"/>
    <s v="SAFRA 25/26"/>
    <n v="280"/>
    <n v="0"/>
    <n v="280"/>
    <n v="43400"/>
    <m/>
    <s v="NOVA UBIRATA"/>
    <s v="07796114117"/>
    <n v="155"/>
    <n v="0"/>
  </r>
  <r>
    <d v="2025-11-04T15:20:30"/>
    <n v="4235"/>
    <x v="219"/>
    <d v="2025-11-04T00:00:00"/>
    <d v="2026-04-30T00:00:00"/>
    <x v="5"/>
    <x v="0"/>
    <s v="510200"/>
    <x v="3"/>
    <x v="0"/>
    <s v="LT"/>
    <n v="22"/>
    <s v="5398"/>
    <s v="SAFRA 25/26"/>
    <n v="500"/>
    <n v="0"/>
    <n v="500"/>
    <n v="11000"/>
    <m/>
    <s v="NOVA UBIRATA"/>
    <s v="07796114117"/>
    <n v="22"/>
    <n v="0"/>
  </r>
  <r>
    <d v="2025-11-04T15:20:30"/>
    <n v="4235"/>
    <x v="219"/>
    <d v="2025-11-04T00:00:00"/>
    <d v="2026-04-30T00:00:00"/>
    <x v="5"/>
    <x v="0"/>
    <s v="510200"/>
    <x v="6"/>
    <x v="0"/>
    <s v="LT"/>
    <n v="69"/>
    <s v="5398"/>
    <s v="SAFRA 25/26"/>
    <n v="100"/>
    <n v="0"/>
    <n v="100"/>
    <n v="6900"/>
    <m/>
    <s v="NOVA UBIRATA"/>
    <s v="07796114117"/>
    <n v="69"/>
    <n v="0"/>
  </r>
  <r>
    <d v="2025-11-26T14:59:46"/>
    <n v="4303"/>
    <x v="219"/>
    <d v="2025-11-26T00:00:00"/>
    <d v="2026-04-30T00:00:00"/>
    <x v="5"/>
    <x v="0"/>
    <s v="510200"/>
    <x v="6"/>
    <x v="0"/>
    <s v="LT"/>
    <n v="69"/>
    <s v="5783"/>
    <s v="SAFRA 25/26"/>
    <n v="200"/>
    <n v="0"/>
    <n v="200"/>
    <n v="13800"/>
    <m/>
    <s v="NOVA UBIRATA"/>
    <s v="07796114117"/>
    <n v="69"/>
    <n v="0"/>
  </r>
  <r>
    <d v="2025-12-15T09:48:57"/>
    <n v="4352"/>
    <x v="219"/>
    <d v="2025-12-13T00:00:00"/>
    <d v="2026-04-30T00:00:00"/>
    <x v="5"/>
    <x v="0"/>
    <s v="510200"/>
    <x v="31"/>
    <x v="0"/>
    <s v="LT"/>
    <n v="192"/>
    <s v="5788"/>
    <s v="SAFRA 25/26"/>
    <n v="5"/>
    <n v="0"/>
    <n v="5"/>
    <n v="960"/>
    <m/>
    <s v="NOVA UBIRATA"/>
    <s v="07796114117"/>
    <n v="192"/>
    <n v="0"/>
  </r>
  <r>
    <d v="2025-12-15T09:48:57"/>
    <n v="4352"/>
    <x v="219"/>
    <d v="2025-12-13T00:00:00"/>
    <d v="2026-04-30T00:00:00"/>
    <x v="5"/>
    <x v="0"/>
    <s v="510200"/>
    <x v="6"/>
    <x v="0"/>
    <s v="LT"/>
    <n v="69"/>
    <s v="5788"/>
    <s v="SAFRA 25/26"/>
    <n v="100"/>
    <n v="0"/>
    <n v="100"/>
    <n v="6900"/>
    <m/>
    <s v="NOVA UBIRATA"/>
    <s v="07796114117"/>
    <n v="69"/>
    <n v="0"/>
  </r>
  <r>
    <d v="2025-12-29T08:42:22"/>
    <n v="4382"/>
    <x v="219"/>
    <d v="2025-12-24T00:00:00"/>
    <d v="2026-08-30T00:00:00"/>
    <x v="5"/>
    <x v="0"/>
    <s v="510200"/>
    <x v="117"/>
    <x v="2"/>
    <s v="SC"/>
    <n v="620"/>
    <s v="5795"/>
    <s v="SAFRINHA 2026"/>
    <n v="300"/>
    <n v="0"/>
    <n v="300"/>
    <n v="186000"/>
    <m/>
    <s v="NOVA UBIRATA"/>
    <s v="07796114117"/>
    <n v="620"/>
    <n v="0"/>
  </r>
  <r>
    <d v="2025-12-29T08:42:22"/>
    <n v="4382"/>
    <x v="219"/>
    <d v="2025-12-24T00:00:00"/>
    <d v="2026-08-30T00:00:00"/>
    <x v="5"/>
    <x v="0"/>
    <s v="510200"/>
    <x v="114"/>
    <x v="2"/>
    <s v="SC"/>
    <n v="620"/>
    <s v="5795"/>
    <s v="SAFRINHA 2026"/>
    <n v="10"/>
    <n v="0"/>
    <n v="10"/>
    <n v="6200"/>
    <m/>
    <s v="NOVA UBIRATA"/>
    <s v="07796114117"/>
    <n v="620"/>
    <n v="0"/>
  </r>
  <r>
    <d v="2026-01-15T10:38:10"/>
    <n v="4451"/>
    <x v="219"/>
    <d v="2026-01-15T00:00:00"/>
    <d v="2026-04-30T00:00:00"/>
    <x v="5"/>
    <x v="0"/>
    <s v="510200"/>
    <x v="6"/>
    <x v="0"/>
    <s v="LT"/>
    <n v="69"/>
    <s v="5955"/>
    <s v="SAFRA 25/26"/>
    <n v="100"/>
    <n v="0"/>
    <n v="100"/>
    <n v="6900"/>
    <m/>
    <s v="NOVA UBIRATA"/>
    <s v="07796114117"/>
    <n v="69"/>
    <n v="0"/>
  </r>
  <r>
    <d v="2026-01-15T10:38:10"/>
    <n v="4451"/>
    <x v="219"/>
    <d v="2026-01-15T00:00:00"/>
    <d v="2026-04-30T00:00:00"/>
    <x v="5"/>
    <x v="0"/>
    <s v="510200"/>
    <x v="64"/>
    <x v="2"/>
    <s v="LT"/>
    <n v="11.5"/>
    <s v="5955"/>
    <s v="SAFRA 25/26"/>
    <n v="600"/>
    <n v="0"/>
    <n v="600"/>
    <n v="6900"/>
    <m/>
    <s v="NOVA UBIRATA"/>
    <s v="07796114117"/>
    <n v="11.5"/>
    <n v="0"/>
  </r>
  <r>
    <d v="2026-01-28T11:03:12"/>
    <n v="4503"/>
    <x v="219"/>
    <d v="2026-01-28T00:00:00"/>
    <d v="2026-04-30T00:00:00"/>
    <x v="5"/>
    <x v="0"/>
    <s v="510200"/>
    <x v="64"/>
    <x v="2"/>
    <s v="LT"/>
    <n v="12"/>
    <s v="5960"/>
    <s v="SAFRINHA 2026"/>
    <n v="700"/>
    <n v="0"/>
    <n v="700"/>
    <n v="8400"/>
    <m/>
    <s v="NOVA UBIRATA"/>
    <s v="07796114117"/>
    <n v="12"/>
    <n v="0"/>
  </r>
  <r>
    <d v="2026-01-30T10:25:55"/>
    <n v="4510"/>
    <x v="219"/>
    <d v="2026-01-30T00:00:00"/>
    <d v="2026-08-30T00:00:00"/>
    <x v="5"/>
    <x v="1"/>
    <s v="510200"/>
    <x v="10"/>
    <x v="1"/>
    <s v="LT"/>
    <n v="340.97222199999999"/>
    <s v="5962"/>
    <s v="SAFRINHA 2026"/>
    <n v="36"/>
    <n v="0"/>
    <n v="36"/>
    <n v="12274.999991999999"/>
    <m/>
    <s v="NOVA UBIRATA"/>
    <s v="07796114117"/>
    <n v="340.97222199999999"/>
    <n v="0"/>
  </r>
  <r>
    <d v="2026-01-30T10:25:55"/>
    <n v="4510"/>
    <x v="219"/>
    <d v="2026-01-30T00:00:00"/>
    <d v="2026-08-30T00:00:00"/>
    <x v="5"/>
    <x v="1"/>
    <s v="510200"/>
    <x v="9"/>
    <x v="1"/>
    <s v="LT"/>
    <n v="42"/>
    <s v="5962"/>
    <s v="SAFRINHA 2026"/>
    <n v="120"/>
    <n v="0"/>
    <n v="120"/>
    <n v="5040"/>
    <m/>
    <s v="NOVA UBIRATA"/>
    <s v="07796114117"/>
    <n v="42"/>
    <n v="0"/>
  </r>
  <r>
    <d v="2026-01-30T10:25:55"/>
    <n v="4510"/>
    <x v="219"/>
    <d v="2026-01-30T00:00:00"/>
    <d v="2026-08-30T00:00:00"/>
    <x v="5"/>
    <x v="1"/>
    <s v="510200"/>
    <x v="11"/>
    <x v="1"/>
    <s v="LT"/>
    <n v="340.97222199999999"/>
    <s v="5962"/>
    <s v="SAFRINHA 2026"/>
    <n v="36"/>
    <n v="0"/>
    <n v="36"/>
    <n v="12274.999991999999"/>
    <m/>
    <s v="NOVA UBIRATA"/>
    <s v="07796114117"/>
    <n v="340.97222199999999"/>
    <n v="0"/>
  </r>
  <r>
    <d v="2026-01-30T10:25:55"/>
    <n v="4510"/>
    <x v="219"/>
    <d v="2026-01-30T00:00:00"/>
    <d v="2026-08-30T00:00:00"/>
    <x v="5"/>
    <x v="0"/>
    <s v="510200"/>
    <x v="6"/>
    <x v="0"/>
    <s v="LT"/>
    <n v="69"/>
    <s v="5962"/>
    <s v="SAFRINHA 2026"/>
    <n v="100"/>
    <n v="0"/>
    <n v="100"/>
    <n v="6900"/>
    <m/>
    <s v="NOVA UBIRATA"/>
    <s v="07796114117"/>
    <n v="69"/>
    <n v="0"/>
  </r>
  <r>
    <d v="2026-01-30T10:25:55"/>
    <n v="4510"/>
    <x v="219"/>
    <d v="2026-01-30T00:00:00"/>
    <d v="2026-08-30T00:00:00"/>
    <x v="5"/>
    <x v="0"/>
    <s v="510200"/>
    <x v="12"/>
    <x v="0"/>
    <s v="LT"/>
    <n v="210"/>
    <s v="5962"/>
    <s v="SAFRINHA 2026"/>
    <n v="60"/>
    <n v="0"/>
    <n v="60"/>
    <n v="12600"/>
    <m/>
    <s v="NOVA UBIRATA"/>
    <s v="07796114117"/>
    <n v="210"/>
    <n v="0"/>
  </r>
  <r>
    <d v="2026-02-16T07:53:10"/>
    <n v="4567"/>
    <x v="219"/>
    <d v="2026-02-16T00:00:00"/>
    <d v="2026-08-30T00:00:00"/>
    <x v="5"/>
    <x v="0"/>
    <s v="510200"/>
    <x v="64"/>
    <x v="2"/>
    <s v="LT"/>
    <n v="12"/>
    <s v="5968"/>
    <s v="SAFRINHA 2026"/>
    <n v="425"/>
    <n v="0"/>
    <n v="425"/>
    <n v="5100"/>
    <m/>
    <s v="NOVA UBIRATA"/>
    <s v="07796114117"/>
    <n v="12"/>
    <n v="0"/>
  </r>
  <r>
    <d v="2026-02-20T11:32:05"/>
    <n v="4590"/>
    <x v="219"/>
    <d v="2026-02-20T00:00:00"/>
    <d v="2026-08-30T00:00:00"/>
    <x v="5"/>
    <x v="1"/>
    <s v="510200"/>
    <x v="9"/>
    <x v="1"/>
    <s v="LT"/>
    <n v="42"/>
    <s v="5969"/>
    <s v="SAFRINHA 2026"/>
    <n v="42"/>
    <n v="18"/>
    <n v="24"/>
    <n v="1008"/>
    <m/>
    <s v="NOVA UBIRATA"/>
    <s v="07796114117"/>
    <n v="42"/>
    <n v="0"/>
  </r>
  <r>
    <d v="2026-02-20T11:32:05"/>
    <n v="4590"/>
    <x v="219"/>
    <d v="2026-02-20T00:00:00"/>
    <d v="2026-08-30T00:00:00"/>
    <x v="5"/>
    <x v="1"/>
    <s v="510200"/>
    <x v="10"/>
    <x v="1"/>
    <s v="LT"/>
    <n v="341"/>
    <s v="5969"/>
    <s v="SAFRINHA 2026"/>
    <n v="15"/>
    <n v="0"/>
    <n v="15"/>
    <n v="5115"/>
    <m/>
    <s v="NOVA UBIRATA"/>
    <s v="07796114117"/>
    <n v="341"/>
    <n v="0"/>
  </r>
  <r>
    <d v="2026-02-20T11:32:05"/>
    <n v="4590"/>
    <x v="219"/>
    <d v="2026-02-20T00:00:00"/>
    <d v="2026-08-30T00:00:00"/>
    <x v="5"/>
    <x v="0"/>
    <s v="510200"/>
    <x v="12"/>
    <x v="0"/>
    <s v="LT"/>
    <n v="210"/>
    <s v="5969"/>
    <s v="SAFRINHA 2026"/>
    <n v="20"/>
    <n v="0"/>
    <n v="20"/>
    <n v="4200"/>
    <m/>
    <s v="NOVA UBIRATA"/>
    <s v="07796114117"/>
    <n v="210"/>
    <n v="0"/>
  </r>
  <r>
    <d v="2026-02-20T11:32:05"/>
    <n v="4590"/>
    <x v="219"/>
    <d v="2026-02-20T00:00:00"/>
    <d v="2026-08-30T00:00:00"/>
    <x v="5"/>
    <x v="1"/>
    <s v="510200"/>
    <x v="11"/>
    <x v="1"/>
    <s v="LT"/>
    <n v="341"/>
    <s v="5969"/>
    <s v="SAFRINHA 2026"/>
    <n v="15"/>
    <n v="0"/>
    <n v="15"/>
    <n v="5115"/>
    <m/>
    <s v="NOVA UBIRATA"/>
    <s v="07796114117"/>
    <n v="341"/>
    <n v="0"/>
  </r>
  <r>
    <d v="2026-02-25T11:12:31"/>
    <n v="4610"/>
    <x v="219"/>
    <d v="2026-02-25T00:00:00"/>
    <d v="2026-02-26T00:00:00"/>
    <x v="5"/>
    <x v="0"/>
    <s v="510200"/>
    <x v="64"/>
    <x v="2"/>
    <s v="LT"/>
    <n v="12"/>
    <s v="6102"/>
    <s v="SAFRINHA 2026"/>
    <n v="500"/>
    <n v="0"/>
    <n v="500"/>
    <n v="6000"/>
    <m/>
    <s v="NOVA UBIRATA"/>
    <s v="07796114117"/>
    <n v="12"/>
    <n v="0"/>
  </r>
  <r>
    <d v="2026-02-25T11:12:31"/>
    <n v="4610"/>
    <x v="219"/>
    <d v="2026-02-25T00:00:00"/>
    <d v="2026-02-26T00:00:00"/>
    <x v="5"/>
    <x v="0"/>
    <s v="510200"/>
    <x v="6"/>
    <x v="0"/>
    <s v="LT"/>
    <n v="69"/>
    <s v="6102"/>
    <s v="SAFRINHA 2026"/>
    <n v="100"/>
    <n v="0"/>
    <n v="100"/>
    <n v="6900"/>
    <m/>
    <s v="NOVA UBIRATA"/>
    <s v="07796114117"/>
    <n v="69"/>
    <n v="0"/>
  </r>
  <r>
    <d v="2026-03-07T09:00:53"/>
    <n v="4644"/>
    <x v="219"/>
    <d v="2026-03-07T00:00:00"/>
    <d v="2026-03-08T00:00:00"/>
    <x v="5"/>
    <x v="0"/>
    <s v="510200"/>
    <x v="64"/>
    <x v="2"/>
    <s v="LT"/>
    <n v="12"/>
    <s v="6120"/>
    <s v="SAFRINHA 2026"/>
    <n v="500"/>
    <n v="0"/>
    <n v="500"/>
    <n v="6000"/>
    <m/>
    <s v="NOVA UBIRATA"/>
    <s v="07796114117"/>
    <n v="12"/>
    <n v="0"/>
  </r>
  <r>
    <d v="2026-03-07T09:00:53"/>
    <n v="4644"/>
    <x v="219"/>
    <d v="2026-03-07T00:00:00"/>
    <d v="2026-03-08T00:00:00"/>
    <x v="5"/>
    <x v="0"/>
    <s v="510200"/>
    <x v="6"/>
    <x v="0"/>
    <s v="LT"/>
    <n v="69"/>
    <s v="6120"/>
    <s v="SAFRINHA 2026"/>
    <n v="60"/>
    <n v="0"/>
    <n v="60"/>
    <n v="4140"/>
    <m/>
    <s v="NOVA UBIRATA"/>
    <s v="07796114117"/>
    <n v="69"/>
    <n v="0"/>
  </r>
  <r>
    <d v="2025-08-18T14:05:30"/>
    <n v="3982"/>
    <x v="220"/>
    <d v="2025-08-16T00:00:00"/>
    <d v="2026-04-30T00:00:00"/>
    <x v="8"/>
    <x v="1"/>
    <s v="510200"/>
    <x v="10"/>
    <x v="1"/>
    <s v="LT"/>
    <n v="330"/>
    <s v="4408"/>
    <s v="SAFRA 25/26"/>
    <n v="27"/>
    <n v="0"/>
    <n v="27"/>
    <n v="8910"/>
    <m/>
    <s v="IPIRANGA DO NORTE"/>
    <s v="90036662100"/>
    <n v="330"/>
    <n v="0"/>
  </r>
  <r>
    <d v="2025-08-18T14:05:30"/>
    <n v="3982"/>
    <x v="220"/>
    <d v="2025-08-16T00:00:00"/>
    <d v="2026-04-30T00:00:00"/>
    <x v="8"/>
    <x v="1"/>
    <s v="510200"/>
    <x v="13"/>
    <x v="1"/>
    <s v="LT"/>
    <n v="46"/>
    <s v="4408"/>
    <s v="SAFRA 25/26"/>
    <n v="42"/>
    <n v="0"/>
    <n v="42"/>
    <n v="1932"/>
    <m/>
    <s v="IPIRANGA DO NORTE"/>
    <s v="90036662100"/>
    <n v="46"/>
    <n v="0"/>
  </r>
  <r>
    <d v="2025-08-18T14:05:30"/>
    <n v="3982"/>
    <x v="220"/>
    <d v="2025-08-16T00:00:00"/>
    <d v="2026-04-30T00:00:00"/>
    <x v="8"/>
    <x v="1"/>
    <s v="510200"/>
    <x v="11"/>
    <x v="1"/>
    <s v="LT"/>
    <n v="340"/>
    <s v="4408"/>
    <s v="SAFRA 25/26"/>
    <n v="27"/>
    <n v="0"/>
    <n v="27"/>
    <n v="9180"/>
    <m/>
    <s v="IPIRANGA DO NORTE"/>
    <s v="90036662100"/>
    <n v="340"/>
    <n v="0"/>
  </r>
  <r>
    <d v="2025-08-18T14:05:30"/>
    <n v="3982"/>
    <x v="220"/>
    <d v="2025-08-16T00:00:00"/>
    <d v="2026-04-30T00:00:00"/>
    <x v="8"/>
    <x v="1"/>
    <s v="510200"/>
    <x v="9"/>
    <x v="1"/>
    <s v="LT"/>
    <n v="48"/>
    <s v="4408"/>
    <s v="SAFRA 25/26"/>
    <n v="54"/>
    <n v="0"/>
    <n v="54"/>
    <n v="2592"/>
    <m/>
    <s v="IPIRANGA DO NORTE"/>
    <s v="90036662100"/>
    <n v="48"/>
    <n v="0"/>
  </r>
  <r>
    <d v="2025-08-18T14:05:30"/>
    <n v="3982"/>
    <x v="220"/>
    <d v="2025-08-16T00:00:00"/>
    <d v="2026-04-30T00:00:00"/>
    <x v="8"/>
    <x v="1"/>
    <s v="510200"/>
    <x v="18"/>
    <x v="1"/>
    <s v="KG"/>
    <n v="210"/>
    <s v="4408"/>
    <s v="SAFRA 25/26"/>
    <n v="106"/>
    <n v="0"/>
    <n v="106"/>
    <n v="22260"/>
    <m/>
    <s v="IPIRANGA DO NORTE"/>
    <s v="90036662100"/>
    <n v="210"/>
    <n v="0"/>
  </r>
  <r>
    <d v="2026-01-06T06:59:25"/>
    <n v="4405"/>
    <x v="220"/>
    <d v="2026-01-06T00:00:00"/>
    <d v="2026-09-30T00:00:00"/>
    <x v="8"/>
    <x v="1"/>
    <s v="510200"/>
    <x v="18"/>
    <x v="1"/>
    <s v="KG"/>
    <n v="210"/>
    <s v="5868"/>
    <s v="SAFRINHA 2026"/>
    <n v="40"/>
    <n v="0"/>
    <n v="40"/>
    <n v="8400"/>
    <m/>
    <s v="IPIRANGA DO NORTE"/>
    <s v="90036662100"/>
    <n v="210"/>
    <n v="0"/>
  </r>
  <r>
    <d v="2026-01-06T06:59:25"/>
    <n v="4405"/>
    <x v="220"/>
    <d v="2026-01-06T00:00:00"/>
    <d v="2026-09-30T00:00:00"/>
    <x v="8"/>
    <x v="1"/>
    <s v="510200"/>
    <x v="9"/>
    <x v="1"/>
    <s v="LT"/>
    <n v="46"/>
    <s v="5868"/>
    <s v="SAFRINHA 2026"/>
    <n v="51"/>
    <n v="0"/>
    <n v="51"/>
    <n v="2346"/>
    <m/>
    <s v="IPIRANGA DO NORTE"/>
    <s v="90036662100"/>
    <n v="46"/>
    <n v="0"/>
  </r>
  <r>
    <d v="2026-01-06T06:59:25"/>
    <n v="4405"/>
    <x v="220"/>
    <d v="2026-01-06T00:00:00"/>
    <d v="2026-09-30T00:00:00"/>
    <x v="8"/>
    <x v="1"/>
    <s v="510200"/>
    <x v="11"/>
    <x v="1"/>
    <s v="LT"/>
    <n v="340"/>
    <s v="5868"/>
    <s v="SAFRINHA 2026"/>
    <n v="9"/>
    <n v="0"/>
    <n v="9"/>
    <n v="3060"/>
    <m/>
    <s v="IPIRANGA DO NORTE"/>
    <s v="90036662100"/>
    <n v="340"/>
    <n v="0"/>
  </r>
  <r>
    <d v="2026-01-06T06:59:25"/>
    <n v="4405"/>
    <x v="220"/>
    <d v="2026-01-06T00:00:00"/>
    <d v="2026-09-30T00:00:00"/>
    <x v="8"/>
    <x v="1"/>
    <s v="510200"/>
    <x v="10"/>
    <x v="1"/>
    <s v="LT"/>
    <n v="330"/>
    <s v="5868"/>
    <s v="SAFRINHA 2026"/>
    <n v="9"/>
    <n v="0"/>
    <n v="9"/>
    <n v="2970"/>
    <m/>
    <s v="IPIRANGA DO NORTE"/>
    <s v="90036662100"/>
    <n v="330"/>
    <n v="0"/>
  </r>
  <r>
    <d v="2026-01-28T10:43:51"/>
    <n v="4501"/>
    <x v="220"/>
    <d v="2026-01-28T00:00:00"/>
    <d v="2026-09-30T00:00:00"/>
    <x v="8"/>
    <x v="1"/>
    <s v="510200"/>
    <x v="10"/>
    <x v="1"/>
    <s v="LT"/>
    <n v="330"/>
    <s v="5994"/>
    <s v="SAFRINHA 2026"/>
    <n v="16"/>
    <n v="0"/>
    <n v="16"/>
    <n v="5280"/>
    <m/>
    <s v="IPIRANGA DO NORTE"/>
    <s v="90036662100"/>
    <n v="330"/>
    <n v="0"/>
  </r>
  <r>
    <d v="2026-01-28T10:43:51"/>
    <n v="4501"/>
    <x v="220"/>
    <d v="2026-01-28T00:00:00"/>
    <d v="2026-09-30T00:00:00"/>
    <x v="8"/>
    <x v="1"/>
    <s v="510200"/>
    <x v="11"/>
    <x v="1"/>
    <s v="LT"/>
    <n v="340"/>
    <s v="5994"/>
    <s v="SAFRINHA 2026"/>
    <n v="16"/>
    <n v="0"/>
    <n v="16"/>
    <n v="5440"/>
    <m/>
    <s v="IPIRANGA DO NORTE"/>
    <s v="90036662100"/>
    <n v="340"/>
    <n v="0"/>
  </r>
  <r>
    <d v="2026-01-28T10:43:51"/>
    <n v="4501"/>
    <x v="220"/>
    <d v="2026-01-28T00:00:00"/>
    <d v="2026-09-30T00:00:00"/>
    <x v="8"/>
    <x v="0"/>
    <s v="510200"/>
    <x v="63"/>
    <x v="2"/>
    <s v="LT"/>
    <n v="65"/>
    <s v="5994"/>
    <s v="SAFRINHA 2026"/>
    <n v="180"/>
    <n v="0"/>
    <n v="180"/>
    <n v="11700"/>
    <m/>
    <s v="IPIRANGA DO NORTE"/>
    <s v="90036662100"/>
    <n v="65"/>
    <n v="0"/>
  </r>
  <r>
    <d v="2026-01-28T10:43:51"/>
    <n v="4501"/>
    <x v="220"/>
    <d v="2026-01-28T00:00:00"/>
    <d v="2026-09-30T00:00:00"/>
    <x v="8"/>
    <x v="1"/>
    <s v="510200"/>
    <x v="18"/>
    <x v="1"/>
    <s v="KG"/>
    <n v="210"/>
    <s v="5994"/>
    <s v="SAFRINHA 2026"/>
    <n v="43"/>
    <n v="0"/>
    <n v="43"/>
    <n v="9030"/>
    <m/>
    <s v="IPIRANGA DO NORTE"/>
    <s v="90036662100"/>
    <n v="210"/>
    <n v="0"/>
  </r>
  <r>
    <d v="2026-01-30T14:19:48"/>
    <n v="4513"/>
    <x v="220"/>
    <d v="2026-01-29T00:00:00"/>
    <d v="2026-10-30T00:00:00"/>
    <x v="8"/>
    <x v="0"/>
    <s v="510200"/>
    <x v="2"/>
    <x v="0"/>
    <s v="KG"/>
    <n v="22"/>
    <s v="5997"/>
    <s v="SAFRINHA 2026"/>
    <n v="60"/>
    <n v="0"/>
    <n v="60"/>
    <n v="1320"/>
    <m/>
    <s v="IPIRANGA DO NORTE"/>
    <s v="90036662100"/>
    <n v="22"/>
    <n v="0"/>
  </r>
  <r>
    <d v="2026-01-30T14:19:48"/>
    <n v="4513"/>
    <x v="220"/>
    <d v="2026-01-29T00:00:00"/>
    <d v="2026-10-30T00:00:00"/>
    <x v="8"/>
    <x v="0"/>
    <s v="510200"/>
    <x v="12"/>
    <x v="0"/>
    <s v="LT"/>
    <n v="250"/>
    <s v="5997"/>
    <s v="SAFRINHA 2026"/>
    <n v="5"/>
    <n v="0"/>
    <n v="5"/>
    <n v="1250"/>
    <m/>
    <s v="IPIRANGA DO NORTE"/>
    <s v="90036662100"/>
    <n v="250"/>
    <n v="0"/>
  </r>
  <r>
    <d v="2026-01-30T14:19:48"/>
    <n v="4513"/>
    <x v="220"/>
    <d v="2026-01-29T00:00:00"/>
    <d v="2026-10-30T00:00:00"/>
    <x v="8"/>
    <x v="0"/>
    <s v="510200"/>
    <x v="1"/>
    <x v="0"/>
    <s v="LT"/>
    <n v="170"/>
    <s v="5997"/>
    <s v="SAFRINHA 2026"/>
    <n v="20"/>
    <n v="0"/>
    <n v="20"/>
    <n v="3400"/>
    <m/>
    <s v="IPIRANGA DO NORTE"/>
    <s v="90036662100"/>
    <n v="170"/>
    <n v="0"/>
  </r>
  <r>
    <d v="2026-01-30T14:19:48"/>
    <n v="4513"/>
    <x v="220"/>
    <d v="2026-01-29T00:00:00"/>
    <d v="2026-10-30T00:00:00"/>
    <x v="8"/>
    <x v="0"/>
    <s v="510200"/>
    <x v="3"/>
    <x v="0"/>
    <s v="LT"/>
    <n v="25"/>
    <s v="5997"/>
    <s v="SAFRINHA 2026"/>
    <n v="40"/>
    <n v="0"/>
    <n v="40"/>
    <n v="1000"/>
    <m/>
    <s v="IPIRANGA DO NORTE"/>
    <s v="90036662100"/>
    <n v="25"/>
    <n v="0"/>
  </r>
  <r>
    <d v="2026-01-30T14:19:48"/>
    <n v="4513"/>
    <x v="220"/>
    <d v="2026-01-29T00:00:00"/>
    <d v="2026-10-30T00:00:00"/>
    <x v="8"/>
    <x v="0"/>
    <s v="510200"/>
    <x v="4"/>
    <x v="0"/>
    <s v="KG"/>
    <n v="26"/>
    <s v="5997"/>
    <s v="SAFRINHA 2026"/>
    <n v="50"/>
    <n v="0"/>
    <n v="50"/>
    <n v="1300"/>
    <m/>
    <s v="IPIRANGA DO NORTE"/>
    <s v="90036662100"/>
    <n v="26"/>
    <n v="0"/>
  </r>
  <r>
    <d v="2026-01-30T14:26:59"/>
    <n v="4514"/>
    <x v="220"/>
    <d v="2026-01-29T00:00:00"/>
    <d v="2026-10-30T00:00:00"/>
    <x v="8"/>
    <x v="0"/>
    <s v="510200"/>
    <x v="2"/>
    <x v="0"/>
    <s v="KG"/>
    <n v="22"/>
    <s v="6051"/>
    <s v="SAFRINHA 2026"/>
    <n v="540"/>
    <n v="0"/>
    <n v="540"/>
    <n v="11880"/>
    <m/>
    <s v="IPIRANGA DO NORTE"/>
    <s v="90036662100"/>
    <n v="22"/>
    <n v="0"/>
  </r>
  <r>
    <d v="2025-07-16T16:10:04"/>
    <n v="251"/>
    <x v="221"/>
    <d v="2025-07-16T00:00:00"/>
    <d v="2026-03-30T00:00:00"/>
    <x v="1"/>
    <x v="0"/>
    <s v="510200"/>
    <x v="8"/>
    <x v="0"/>
    <s v="KG"/>
    <n v="70"/>
    <s v="12"/>
    <s v="SAFRA 25/26"/>
    <n v="210"/>
    <n v="0"/>
    <n v="210"/>
    <n v="14700"/>
    <m/>
    <s v="MARCELANDIA"/>
    <s v="75979225153"/>
    <n v="70"/>
    <n v="0"/>
  </r>
  <r>
    <d v="2025-07-16T16:10:04"/>
    <n v="251"/>
    <x v="221"/>
    <d v="2025-07-16T00:00:00"/>
    <d v="2026-03-30T00:00:00"/>
    <x v="1"/>
    <x v="0"/>
    <s v="510200"/>
    <x v="47"/>
    <x v="2"/>
    <s v="KG"/>
    <n v="32"/>
    <s v="12"/>
    <s v="SAFRA 25/26"/>
    <n v="1120"/>
    <n v="0"/>
    <n v="1120"/>
    <n v="35840"/>
    <m/>
    <s v="MARCELANDIA"/>
    <s v="75979225153"/>
    <n v="32"/>
    <n v="0"/>
  </r>
  <r>
    <d v="2025-07-16T16:10:04"/>
    <n v="251"/>
    <x v="221"/>
    <d v="2025-07-16T00:00:00"/>
    <d v="2026-03-30T00:00:00"/>
    <x v="1"/>
    <x v="0"/>
    <s v="510200"/>
    <x v="55"/>
    <x v="2"/>
    <s v="KG"/>
    <n v="24.1"/>
    <s v="12"/>
    <s v="SAFRA 25/26"/>
    <n v="100"/>
    <n v="0"/>
    <n v="100"/>
    <n v="2410"/>
    <m/>
    <s v="MARCELANDIA"/>
    <s v="75979225153"/>
    <n v="24.1"/>
    <n v="0"/>
  </r>
  <r>
    <d v="2025-07-16T16:10:04"/>
    <n v="251"/>
    <x v="221"/>
    <d v="2025-07-16T00:00:00"/>
    <d v="2026-03-30T00:00:00"/>
    <x v="1"/>
    <x v="0"/>
    <s v="510200"/>
    <x v="56"/>
    <x v="2"/>
    <s v="KG"/>
    <n v="24.1"/>
    <s v="12"/>
    <s v="SAFRA 25/26"/>
    <n v="2000"/>
    <n v="0"/>
    <n v="2000"/>
    <n v="48200"/>
    <m/>
    <s v="MARCELANDIA"/>
    <s v="75979225153"/>
    <n v="24.1"/>
    <n v="0"/>
  </r>
  <r>
    <d v="2025-07-16T16:10:04"/>
    <n v="251"/>
    <x v="221"/>
    <d v="2025-07-16T00:00:00"/>
    <d v="2026-03-30T00:00:00"/>
    <x v="1"/>
    <x v="0"/>
    <s v="510200"/>
    <x v="22"/>
    <x v="2"/>
    <s v="KG"/>
    <n v="20"/>
    <s v="12"/>
    <s v="SAFRA 25/26"/>
    <n v="2100"/>
    <n v="0"/>
    <n v="2100"/>
    <n v="42000"/>
    <m/>
    <s v="MARCELANDIA"/>
    <s v="75979225153"/>
    <n v="20"/>
    <n v="0"/>
  </r>
  <r>
    <d v="2025-07-16T16:10:04"/>
    <n v="251"/>
    <x v="221"/>
    <d v="2025-07-16T00:00:00"/>
    <d v="2026-03-30T00:00:00"/>
    <x v="1"/>
    <x v="0"/>
    <s v="510200"/>
    <x v="59"/>
    <x v="2"/>
    <s v="KG"/>
    <n v="240"/>
    <s v="12"/>
    <s v="SAFRA 25/26"/>
    <n v="280"/>
    <n v="0"/>
    <n v="280"/>
    <n v="67200"/>
    <m/>
    <s v="MARCELANDIA"/>
    <s v="75979225153"/>
    <n v="240"/>
    <n v="0"/>
  </r>
  <r>
    <d v="2025-07-16T16:10:04"/>
    <n v="251"/>
    <x v="221"/>
    <d v="2025-07-16T00:00:00"/>
    <d v="2026-03-30T00:00:00"/>
    <x v="1"/>
    <x v="0"/>
    <s v="510200"/>
    <x v="67"/>
    <x v="2"/>
    <s v="KG"/>
    <n v="185"/>
    <s v="12"/>
    <s v="SAFRA 25/26"/>
    <n v="210"/>
    <n v="0"/>
    <n v="210"/>
    <n v="38850"/>
    <m/>
    <s v="MARCELANDIA"/>
    <s v="75979225153"/>
    <n v="185"/>
    <n v="0"/>
  </r>
  <r>
    <d v="2025-07-16T16:10:04"/>
    <n v="251"/>
    <x v="221"/>
    <d v="2025-07-16T00:00:00"/>
    <d v="2026-03-30T00:00:00"/>
    <x v="1"/>
    <x v="0"/>
    <s v="510200"/>
    <x v="46"/>
    <x v="0"/>
    <s v="LT"/>
    <n v="16"/>
    <s v="12"/>
    <s v="SAFRA 25/26"/>
    <n v="2800"/>
    <n v="0"/>
    <n v="2800"/>
    <n v="44800"/>
    <m/>
    <s v="MARCELANDIA"/>
    <s v="75979225153"/>
    <n v="16"/>
    <n v="0"/>
  </r>
  <r>
    <d v="2025-11-25T08:51:19"/>
    <n v="424"/>
    <x v="222"/>
    <d v="2025-11-25T00:00:00"/>
    <d v="2026-08-30T00:00:00"/>
    <x v="1"/>
    <x v="2"/>
    <s v="510200"/>
    <x v="18"/>
    <x v="1"/>
    <s v="KG"/>
    <n v="200"/>
    <s v="181"/>
    <s v="SAFRINHA 2026"/>
    <n v="60"/>
    <n v="0"/>
    <n v="60"/>
    <n v="12000"/>
    <m/>
    <s v="MARCELANDIA"/>
    <s v="04486836103"/>
    <n v="200"/>
    <n v="0"/>
  </r>
  <r>
    <d v="2026-01-13T17:40:53"/>
    <n v="497"/>
    <x v="222"/>
    <d v="2026-01-13T00:00:00"/>
    <d v="2026-08-30T00:00:00"/>
    <x v="1"/>
    <x v="0"/>
    <s v="510200"/>
    <x v="19"/>
    <x v="0"/>
    <s v="LT"/>
    <n v="950"/>
    <s v="198"/>
    <s v="SAFRINHA 2026"/>
    <n v="10"/>
    <n v="0"/>
    <n v="10"/>
    <n v="9500"/>
    <m/>
    <s v="MARCELANDIA"/>
    <s v="04486836103"/>
    <n v="950"/>
    <n v="0"/>
  </r>
  <r>
    <d v="2026-01-13T17:40:53"/>
    <n v="497"/>
    <x v="222"/>
    <d v="2026-01-13T00:00:00"/>
    <d v="2026-08-30T00:00:00"/>
    <x v="1"/>
    <x v="2"/>
    <s v="510200"/>
    <x v="18"/>
    <x v="1"/>
    <s v="KG"/>
    <n v="200"/>
    <s v="198"/>
    <s v="SAFRINHA 2026"/>
    <n v="10"/>
    <n v="0"/>
    <n v="10"/>
    <n v="2000"/>
    <m/>
    <s v="MARCELANDIA"/>
    <s v="04486836103"/>
    <n v="200"/>
    <n v="0"/>
  </r>
  <r>
    <d v="2025-04-28T14:58:53"/>
    <n v="205"/>
    <x v="223"/>
    <d v="2025-04-28T00:00:00"/>
    <d v="2025-05-30T00:00:00"/>
    <x v="2"/>
    <x v="2"/>
    <s v="610200"/>
    <x v="18"/>
    <x v="1"/>
    <s v="KG"/>
    <n v="185"/>
    <s v="4870"/>
    <s v="SAFRA 25/26"/>
    <n v="30"/>
    <n v="0"/>
    <n v="30"/>
    <n v="5550"/>
    <m/>
    <s v="NOVO PROGRESSO"/>
    <s v="48850799187"/>
    <n v="185"/>
    <n v="0"/>
  </r>
  <r>
    <d v="2025-04-28T14:58:53"/>
    <n v="205"/>
    <x v="223"/>
    <d v="2025-04-28T00:00:00"/>
    <d v="2025-05-30T00:00:00"/>
    <x v="2"/>
    <x v="0"/>
    <s v="610200"/>
    <x v="100"/>
    <x v="2"/>
    <s v="LT"/>
    <n v="270"/>
    <s v="4870"/>
    <s v="SAFRA 25/26"/>
    <n v="40"/>
    <n v="0"/>
    <n v="40"/>
    <n v="10800"/>
    <m/>
    <s v="NOVO PROGRESSO"/>
    <s v="48850799187"/>
    <n v="270"/>
    <n v="0"/>
  </r>
  <r>
    <d v="2025-11-28T14:17:56"/>
    <n v="434"/>
    <x v="223"/>
    <d v="2025-11-28T00:00:00"/>
    <d v="2025-12-15T00:00:00"/>
    <x v="2"/>
    <x v="2"/>
    <s v="610200"/>
    <x v="18"/>
    <x v="1"/>
    <s v="KG"/>
    <n v="185"/>
    <s v="162"/>
    <s v="SAFRINHA 2026"/>
    <n v="36"/>
    <n v="0"/>
    <n v="36"/>
    <n v="6660"/>
    <m/>
    <s v="NOVO PROGRESSO"/>
    <s v="48850799187"/>
    <n v="185"/>
    <n v="0"/>
  </r>
  <r>
    <d v="2025-12-16T07:37:06"/>
    <n v="458"/>
    <x v="223"/>
    <d v="2025-12-15T00:00:00"/>
    <d v="2025-12-20T00:00:00"/>
    <x v="2"/>
    <x v="0"/>
    <s v="610200"/>
    <x v="5"/>
    <x v="0"/>
    <s v="KG"/>
    <n v="24"/>
    <s v="168"/>
    <s v="SAFRINHA 2026"/>
    <n v="150"/>
    <n v="0"/>
    <n v="150"/>
    <n v="3600"/>
    <m/>
    <s v="NOVO PROGRESSO"/>
    <s v="48850799187"/>
    <n v="24"/>
    <n v="0"/>
  </r>
  <r>
    <d v="2025-12-29T15:17:13"/>
    <n v="4390"/>
    <x v="224"/>
    <d v="2025-12-29T00:00:00"/>
    <d v="2026-08-30T00:00:00"/>
    <x v="4"/>
    <x v="0"/>
    <s v="510200"/>
    <x v="1"/>
    <x v="0"/>
    <s v="LT"/>
    <n v="158"/>
    <m/>
    <s v="SAFRINHA 2026"/>
    <n v="100"/>
    <n v="0"/>
    <n v="100"/>
    <n v="15800"/>
    <m/>
    <s v="VERA"/>
    <s v="85677361100"/>
    <n v="158"/>
    <n v="0"/>
  </r>
  <r>
    <d v="2026-03-04T10:53:28"/>
    <n v="4624"/>
    <x v="224"/>
    <d v="2026-03-04T00:00:00"/>
    <d v="2026-08-30T00:00:00"/>
    <x v="4"/>
    <x v="0"/>
    <s v="510200"/>
    <x v="0"/>
    <x v="0"/>
    <s v="LT"/>
    <n v="15"/>
    <s v="6114"/>
    <s v="SAFRINHA 2026"/>
    <n v="60"/>
    <n v="0"/>
    <n v="60"/>
    <n v="900"/>
    <m/>
    <s v="VERA"/>
    <s v="85677361100"/>
    <n v="15"/>
    <n v="0"/>
  </r>
  <r>
    <d v="2026-01-29T15:50:24"/>
    <n v="520"/>
    <x v="225"/>
    <d v="2026-01-29T00:00:00"/>
    <d v="2026-09-30T00:00:00"/>
    <x v="13"/>
    <x v="2"/>
    <s v="510200"/>
    <x v="10"/>
    <x v="1"/>
    <s v="LT"/>
    <n v="310"/>
    <s v="5240"/>
    <s v="SAFRINHA 2026"/>
    <n v="45"/>
    <n v="0"/>
    <n v="45"/>
    <n v="13950"/>
    <m/>
    <s v="CLAUDIA"/>
    <s v="05461482988"/>
    <n v="310"/>
    <n v="0"/>
  </r>
  <r>
    <d v="2026-01-29T15:50:24"/>
    <n v="520"/>
    <x v="225"/>
    <d v="2026-01-29T00:00:00"/>
    <d v="2026-09-30T00:00:00"/>
    <x v="13"/>
    <x v="2"/>
    <s v="510200"/>
    <x v="11"/>
    <x v="1"/>
    <s v="LT"/>
    <n v="320"/>
    <s v="5240"/>
    <s v="SAFRINHA 2026"/>
    <n v="45"/>
    <n v="0"/>
    <n v="45"/>
    <n v="14400"/>
    <m/>
    <s v="CLAUDIA"/>
    <s v="05461482988"/>
    <n v="320"/>
    <n v="0"/>
  </r>
  <r>
    <d v="2025-05-22T14:42:54"/>
    <n v="3861"/>
    <x v="226"/>
    <d v="2025-05-15T00:00:00"/>
    <d v="2026-04-30T00:00:00"/>
    <x v="5"/>
    <x v="1"/>
    <s v="510200"/>
    <x v="11"/>
    <x v="1"/>
    <s v="LT"/>
    <n v="345"/>
    <s v="5122"/>
    <s v="SAFRA 25/26"/>
    <n v="24"/>
    <n v="0"/>
    <n v="24"/>
    <n v="8280"/>
    <m/>
    <s v="SORRISO"/>
    <s v="29877482134"/>
    <n v="345"/>
    <n v="0"/>
  </r>
  <r>
    <d v="2025-05-22T14:42:54"/>
    <n v="3861"/>
    <x v="226"/>
    <d v="2025-05-15T00:00:00"/>
    <d v="2026-04-30T00:00:00"/>
    <x v="5"/>
    <x v="0"/>
    <s v="510200"/>
    <x v="12"/>
    <x v="0"/>
    <s v="LT"/>
    <n v="240"/>
    <s v="5122"/>
    <s v="SAFRA 25/26"/>
    <n v="50"/>
    <n v="0"/>
    <n v="50"/>
    <n v="12000"/>
    <m/>
    <s v="SORRISO"/>
    <s v="29877482134"/>
    <n v="240"/>
    <n v="0"/>
  </r>
  <r>
    <d v="2025-05-22T14:42:54"/>
    <n v="3861"/>
    <x v="226"/>
    <d v="2025-05-15T00:00:00"/>
    <d v="2026-04-30T00:00:00"/>
    <x v="5"/>
    <x v="1"/>
    <s v="510200"/>
    <x v="13"/>
    <x v="1"/>
    <s v="LT"/>
    <n v="46"/>
    <s v="5122"/>
    <s v="SAFRA 25/26"/>
    <n v="72"/>
    <n v="0"/>
    <n v="72"/>
    <n v="3312"/>
    <m/>
    <s v="SORRISO"/>
    <s v="29877482134"/>
    <n v="46"/>
    <n v="0"/>
  </r>
  <r>
    <d v="2025-05-22T14:42:54"/>
    <n v="3861"/>
    <x v="226"/>
    <d v="2025-05-15T00:00:00"/>
    <d v="2026-04-30T00:00:00"/>
    <x v="5"/>
    <x v="1"/>
    <s v="510200"/>
    <x v="9"/>
    <x v="1"/>
    <s v="LT"/>
    <n v="48"/>
    <s v="5122"/>
    <s v="SAFRA 25/26"/>
    <n v="48"/>
    <n v="0"/>
    <n v="48"/>
    <n v="2304"/>
    <m/>
    <s v="SORRISO"/>
    <s v="29877482134"/>
    <n v="48"/>
    <n v="0"/>
  </r>
  <r>
    <d v="2025-05-22T14:42:54"/>
    <n v="3861"/>
    <x v="226"/>
    <d v="2025-05-15T00:00:00"/>
    <d v="2026-04-30T00:00:00"/>
    <x v="5"/>
    <x v="1"/>
    <s v="510200"/>
    <x v="18"/>
    <x v="1"/>
    <s v="KG"/>
    <n v="190"/>
    <s v="5122"/>
    <s v="SAFRA 25/26"/>
    <n v="48"/>
    <n v="0"/>
    <n v="48"/>
    <n v="9120"/>
    <m/>
    <s v="SORRISO"/>
    <s v="29877482134"/>
    <n v="190"/>
    <n v="0"/>
  </r>
  <r>
    <d v="2025-05-22T14:42:54"/>
    <n v="3861"/>
    <x v="226"/>
    <d v="2025-05-15T00:00:00"/>
    <d v="2026-04-30T00:00:00"/>
    <x v="5"/>
    <x v="1"/>
    <s v="510200"/>
    <x v="25"/>
    <x v="1"/>
    <s v="KG"/>
    <n v="620"/>
    <s v="5122"/>
    <s v="SAFRA 25/26"/>
    <n v="24"/>
    <n v="0"/>
    <n v="24"/>
    <n v="14880"/>
    <m/>
    <s v="SORRISO"/>
    <s v="29877482134"/>
    <n v="620"/>
    <n v="0"/>
  </r>
  <r>
    <d v="2025-11-06T15:11:12"/>
    <n v="4240"/>
    <x v="226"/>
    <d v="2025-11-06T00:00:00"/>
    <d v="2026-04-30T00:00:00"/>
    <x v="5"/>
    <x v="0"/>
    <s v="510200"/>
    <x v="2"/>
    <x v="0"/>
    <s v="KG"/>
    <n v="23"/>
    <s v="5399"/>
    <s v="SAFRA 25/26"/>
    <n v="60"/>
    <n v="0"/>
    <n v="60"/>
    <n v="1380"/>
    <m/>
    <s v="SORRISO"/>
    <s v="29877482134"/>
    <n v="23"/>
    <n v="0"/>
  </r>
  <r>
    <d v="2025-11-06T15:11:12"/>
    <n v="4240"/>
    <x v="226"/>
    <d v="2025-11-06T00:00:00"/>
    <d v="2026-04-30T00:00:00"/>
    <x v="5"/>
    <x v="0"/>
    <s v="510200"/>
    <x v="3"/>
    <x v="0"/>
    <s v="LT"/>
    <n v="23"/>
    <s v="5399"/>
    <s v="SAFRA 25/26"/>
    <n v="40"/>
    <n v="0"/>
    <n v="40"/>
    <n v="920"/>
    <m/>
    <s v="SORRISO"/>
    <s v="29877482134"/>
    <n v="23"/>
    <n v="0"/>
  </r>
  <r>
    <d v="2025-11-06T15:11:12"/>
    <n v="4240"/>
    <x v="226"/>
    <d v="2025-11-06T00:00:00"/>
    <d v="2026-04-30T00:00:00"/>
    <x v="5"/>
    <x v="0"/>
    <s v="510200"/>
    <x v="39"/>
    <x v="0"/>
    <s v="LT"/>
    <n v="22"/>
    <s v="5399"/>
    <s v="SAFRA 25/26"/>
    <n v="40"/>
    <n v="0"/>
    <n v="40"/>
    <n v="880"/>
    <m/>
    <s v="SORRISO"/>
    <s v="29877482134"/>
    <n v="22"/>
    <n v="0"/>
  </r>
  <r>
    <d v="2025-11-11T14:20:34"/>
    <n v="4258"/>
    <x v="226"/>
    <d v="2025-11-11T00:00:00"/>
    <d v="2026-04-30T00:00:00"/>
    <x v="5"/>
    <x v="0"/>
    <s v="510200"/>
    <x v="3"/>
    <x v="0"/>
    <s v="LT"/>
    <n v="23"/>
    <s v="5777"/>
    <s v="SAFRA 25/26"/>
    <n v="180"/>
    <n v="0"/>
    <n v="180"/>
    <n v="4140"/>
    <m/>
    <s v="SORRISO"/>
    <s v="29877482134"/>
    <n v="23"/>
    <n v="0"/>
  </r>
  <r>
    <d v="2025-11-11T14:20:34"/>
    <n v="4258"/>
    <x v="226"/>
    <d v="2025-11-11T00:00:00"/>
    <d v="2026-04-30T00:00:00"/>
    <x v="5"/>
    <x v="0"/>
    <s v="510200"/>
    <x v="2"/>
    <x v="0"/>
    <s v="KG"/>
    <n v="23"/>
    <s v="5777"/>
    <s v="SAFRA 25/26"/>
    <n v="230"/>
    <n v="0"/>
    <n v="230"/>
    <n v="5290"/>
    <m/>
    <s v="SORRISO"/>
    <s v="29877482134"/>
    <n v="23"/>
    <n v="0"/>
  </r>
  <r>
    <d v="2025-11-11T14:20:34"/>
    <n v="4258"/>
    <x v="226"/>
    <d v="2025-11-11T00:00:00"/>
    <d v="2026-04-30T00:00:00"/>
    <x v="5"/>
    <x v="0"/>
    <s v="510200"/>
    <x v="39"/>
    <x v="0"/>
    <s v="LT"/>
    <n v="22"/>
    <s v="5777"/>
    <s v="SAFRA 25/26"/>
    <n v="180"/>
    <n v="0"/>
    <n v="180"/>
    <n v="3960"/>
    <m/>
    <s v="SORRISO"/>
    <s v="29877482134"/>
    <n v="22"/>
    <n v="0"/>
  </r>
  <r>
    <d v="2026-01-16T15:49:12"/>
    <n v="4453"/>
    <x v="226"/>
    <d v="2026-01-16T00:00:00"/>
    <d v="2026-08-30T00:00:00"/>
    <x v="5"/>
    <x v="1"/>
    <s v="510200"/>
    <x v="10"/>
    <x v="1"/>
    <s v="LT"/>
    <n v="343"/>
    <s v="5956"/>
    <s v="SAFRINHA 2026"/>
    <n v="9"/>
    <n v="0"/>
    <n v="9"/>
    <n v="3087"/>
    <m/>
    <s v="SORRISO"/>
    <s v="29877482134"/>
    <n v="343"/>
    <n v="0"/>
  </r>
  <r>
    <d v="2026-01-16T15:49:12"/>
    <n v="4453"/>
    <x v="226"/>
    <d v="2026-01-16T00:00:00"/>
    <d v="2026-08-30T00:00:00"/>
    <x v="5"/>
    <x v="1"/>
    <s v="510200"/>
    <x v="18"/>
    <x v="1"/>
    <s v="KG"/>
    <n v="180"/>
    <s v="5956"/>
    <s v="SAFRINHA 2026"/>
    <n v="32"/>
    <n v="0"/>
    <n v="32"/>
    <n v="5760"/>
    <m/>
    <s v="SORRISO"/>
    <s v="29877482134"/>
    <n v="180"/>
    <n v="0"/>
  </r>
  <r>
    <d v="2026-01-16T15:49:12"/>
    <n v="4453"/>
    <x v="226"/>
    <d v="2026-01-16T00:00:00"/>
    <d v="2026-08-30T00:00:00"/>
    <x v="5"/>
    <x v="1"/>
    <s v="510200"/>
    <x v="9"/>
    <x v="1"/>
    <s v="LT"/>
    <n v="48"/>
    <s v="5956"/>
    <s v="SAFRINHA 2026"/>
    <n v="45"/>
    <n v="0"/>
    <n v="45"/>
    <n v="2160"/>
    <m/>
    <s v="SORRISO"/>
    <s v="29877482134"/>
    <n v="48"/>
    <n v="0"/>
  </r>
  <r>
    <d v="2026-01-16T15:49:12"/>
    <n v="4453"/>
    <x v="226"/>
    <d v="2026-01-16T00:00:00"/>
    <d v="2026-08-30T00:00:00"/>
    <x v="5"/>
    <x v="1"/>
    <s v="510200"/>
    <x v="11"/>
    <x v="1"/>
    <s v="LT"/>
    <n v="343"/>
    <s v="5956"/>
    <s v="SAFRINHA 2026"/>
    <n v="9"/>
    <n v="0"/>
    <n v="9"/>
    <n v="3087"/>
    <m/>
    <s v="SORRISO"/>
    <s v="29877482134"/>
    <n v="343"/>
    <n v="0"/>
  </r>
  <r>
    <d v="2026-01-16T15:49:12"/>
    <n v="4453"/>
    <x v="226"/>
    <d v="2026-01-16T00:00:00"/>
    <d v="2026-08-30T00:00:00"/>
    <x v="5"/>
    <x v="0"/>
    <s v="510200"/>
    <x v="12"/>
    <x v="0"/>
    <s v="LT"/>
    <n v="238"/>
    <s v="5956"/>
    <s v="SAFRINHA 2026"/>
    <n v="35"/>
    <n v="0"/>
    <n v="35"/>
    <n v="8330"/>
    <m/>
    <s v="SORRISO"/>
    <s v="29877482134"/>
    <n v="238"/>
    <n v="0"/>
  </r>
  <r>
    <d v="2025-10-02T16:53:29"/>
    <n v="4121"/>
    <x v="227"/>
    <d v="2025-10-02T00:00:00"/>
    <d v="2026-04-30T00:00:00"/>
    <x v="5"/>
    <x v="0"/>
    <s v="510200"/>
    <x v="0"/>
    <x v="0"/>
    <s v="LT"/>
    <n v="17"/>
    <s v="5391"/>
    <s v="SAFRA 25/26"/>
    <n v="580"/>
    <n v="0"/>
    <n v="580"/>
    <n v="9860"/>
    <m/>
    <s v="SORRISO"/>
    <s v="36285969809"/>
    <n v="17"/>
    <n v="0"/>
  </r>
  <r>
    <d v="2025-10-02T16:53:29"/>
    <n v="4121"/>
    <x v="227"/>
    <d v="2025-10-02T00:00:00"/>
    <d v="2026-04-30T00:00:00"/>
    <x v="5"/>
    <x v="0"/>
    <s v="510200"/>
    <x v="2"/>
    <x v="0"/>
    <s v="KG"/>
    <n v="22"/>
    <s v="5391"/>
    <s v="SAFRA 25/26"/>
    <n v="870"/>
    <n v="0"/>
    <n v="870"/>
    <n v="19140"/>
    <m/>
    <s v="SORRISO"/>
    <s v="36285969809"/>
    <n v="22"/>
    <n v="0"/>
  </r>
  <r>
    <d v="2025-10-02T16:53:29"/>
    <n v="4121"/>
    <x v="227"/>
    <d v="2025-10-02T00:00:00"/>
    <d v="2026-04-30T00:00:00"/>
    <x v="5"/>
    <x v="0"/>
    <s v="510200"/>
    <x v="39"/>
    <x v="0"/>
    <s v="LT"/>
    <n v="20"/>
    <s v="5391"/>
    <s v="SAFRA 25/26"/>
    <n v="580"/>
    <n v="0"/>
    <n v="580"/>
    <n v="11600"/>
    <m/>
    <s v="SORRISO"/>
    <s v="36285969809"/>
    <n v="20"/>
    <n v="0"/>
  </r>
  <r>
    <d v="2025-10-02T16:53:29"/>
    <n v="4121"/>
    <x v="227"/>
    <d v="2025-10-02T00:00:00"/>
    <d v="2026-04-30T00:00:00"/>
    <x v="5"/>
    <x v="0"/>
    <s v="510200"/>
    <x v="5"/>
    <x v="0"/>
    <s v="KG"/>
    <n v="25"/>
    <s v="5391"/>
    <s v="SAFRA 25/26"/>
    <n v="580"/>
    <n v="0"/>
    <n v="580"/>
    <n v="14500"/>
    <m/>
    <s v="SORRISO"/>
    <s v="36285969809"/>
    <n v="25"/>
    <n v="0"/>
  </r>
  <r>
    <d v="2025-10-02T16:53:29"/>
    <n v="4121"/>
    <x v="227"/>
    <d v="2025-10-02T00:00:00"/>
    <d v="2026-04-30T00:00:00"/>
    <x v="5"/>
    <x v="0"/>
    <s v="510200"/>
    <x v="8"/>
    <x v="0"/>
    <s v="KG"/>
    <n v="85"/>
    <s v="5391"/>
    <s v="SAFRA 25/26"/>
    <n v="90"/>
    <n v="0"/>
    <n v="90"/>
    <n v="7650"/>
    <m/>
    <s v="SORRISO"/>
    <s v="36285969809"/>
    <n v="85"/>
    <n v="0"/>
  </r>
  <r>
    <d v="2025-10-02T16:53:29"/>
    <n v="4121"/>
    <x v="227"/>
    <d v="2025-10-02T00:00:00"/>
    <d v="2026-04-30T00:00:00"/>
    <x v="5"/>
    <x v="0"/>
    <s v="510200"/>
    <x v="1"/>
    <x v="0"/>
    <s v="LT"/>
    <n v="155"/>
    <s v="5391"/>
    <s v="SAFRA 25/26"/>
    <n v="120"/>
    <n v="0"/>
    <n v="120"/>
    <n v="18600"/>
    <m/>
    <s v="SORRISO"/>
    <s v="36285969809"/>
    <n v="155"/>
    <n v="0"/>
  </r>
  <r>
    <d v="2025-10-02T16:53:29"/>
    <n v="4121"/>
    <x v="227"/>
    <d v="2025-10-02T00:00:00"/>
    <d v="2026-04-30T00:00:00"/>
    <x v="5"/>
    <x v="0"/>
    <s v="510200"/>
    <x v="7"/>
    <x v="0"/>
    <s v="LT"/>
    <n v="69"/>
    <s v="5391"/>
    <s v="SAFRA 25/26"/>
    <n v="115"/>
    <n v="0"/>
    <n v="115"/>
    <n v="7935"/>
    <m/>
    <s v="SORRISO"/>
    <s v="36285969809"/>
    <n v="69"/>
    <n v="0"/>
  </r>
  <r>
    <d v="2025-10-02T16:53:29"/>
    <n v="4121"/>
    <x v="227"/>
    <d v="2025-10-02T00:00:00"/>
    <d v="2026-04-30T00:00:00"/>
    <x v="5"/>
    <x v="0"/>
    <s v="510200"/>
    <x v="6"/>
    <x v="0"/>
    <s v="LT"/>
    <n v="69"/>
    <s v="5391"/>
    <s v="SAFRA 25/26"/>
    <n v="145"/>
    <n v="0"/>
    <n v="145"/>
    <n v="10005"/>
    <m/>
    <s v="SORRISO"/>
    <s v="36285969809"/>
    <n v="69"/>
    <n v="0"/>
  </r>
  <r>
    <d v="2025-10-02T16:53:29"/>
    <n v="4121"/>
    <x v="227"/>
    <d v="2025-10-02T00:00:00"/>
    <d v="2026-04-30T00:00:00"/>
    <x v="5"/>
    <x v="0"/>
    <s v="510200"/>
    <x v="64"/>
    <x v="2"/>
    <s v="LT"/>
    <n v="12"/>
    <s v="5391"/>
    <s v="SAFRA 25/26"/>
    <n v="875"/>
    <n v="0"/>
    <n v="875"/>
    <n v="10500"/>
    <m/>
    <s v="SORRISO"/>
    <s v="36285969809"/>
    <n v="12"/>
    <n v="0"/>
  </r>
  <r>
    <d v="2025-10-02T16:53:29"/>
    <n v="4121"/>
    <x v="227"/>
    <d v="2025-10-02T00:00:00"/>
    <d v="2026-04-30T00:00:00"/>
    <x v="5"/>
    <x v="0"/>
    <s v="510200"/>
    <x v="46"/>
    <x v="0"/>
    <s v="LT"/>
    <n v="16.5"/>
    <s v="5391"/>
    <s v="SAFRA 25/26"/>
    <n v="580"/>
    <n v="0"/>
    <n v="580"/>
    <n v="9570"/>
    <m/>
    <s v="SORRISO"/>
    <s v="36285969809"/>
    <n v="16.5"/>
    <n v="0"/>
  </r>
  <r>
    <d v="2025-12-11T16:34:07"/>
    <n v="4346"/>
    <x v="227"/>
    <d v="2025-12-11T00:00:00"/>
    <d v="2026-04-30T00:00:00"/>
    <x v="5"/>
    <x v="0"/>
    <s v="510200"/>
    <x v="3"/>
    <x v="0"/>
    <s v="LT"/>
    <n v="23"/>
    <s v="5787"/>
    <s v="SAFRA 25/26"/>
    <n v="100"/>
    <n v="0"/>
    <n v="100"/>
    <n v="2300"/>
    <m/>
    <s v="SORRISO"/>
    <s v="36285969809"/>
    <n v="23"/>
    <n v="0"/>
  </r>
  <r>
    <d v="2026-01-06T11:09:22"/>
    <n v="4409"/>
    <x v="227"/>
    <d v="2026-01-06T00:00:00"/>
    <d v="2026-04-30T00:00:00"/>
    <x v="5"/>
    <x v="0"/>
    <s v="510200"/>
    <x v="6"/>
    <x v="0"/>
    <s v="LT"/>
    <n v="69"/>
    <s v="5951"/>
    <s v="SAFRA 25/26"/>
    <n v="20"/>
    <n v="0"/>
    <n v="20"/>
    <n v="1380"/>
    <m/>
    <s v="SORRISO"/>
    <s v="36285969809"/>
    <n v="69"/>
    <n v="0"/>
  </r>
  <r>
    <d v="2026-02-11T08:31:48"/>
    <n v="4552"/>
    <x v="227"/>
    <d v="2026-02-09T00:00:00"/>
    <d v="2026-08-30T00:00:00"/>
    <x v="5"/>
    <x v="0"/>
    <s v="510200"/>
    <x v="1"/>
    <x v="0"/>
    <s v="LT"/>
    <n v="150"/>
    <s v="5964"/>
    <s v="SAFRINHA 2026"/>
    <n v="100"/>
    <n v="0"/>
    <n v="100"/>
    <n v="15000"/>
    <m/>
    <s v="SORRISO"/>
    <s v="36285969809"/>
    <n v="150"/>
    <n v="0"/>
  </r>
  <r>
    <d v="2026-02-11T08:31:48"/>
    <n v="4552"/>
    <x v="227"/>
    <d v="2026-02-09T00:00:00"/>
    <d v="2026-08-30T00:00:00"/>
    <x v="5"/>
    <x v="0"/>
    <s v="510200"/>
    <x v="39"/>
    <x v="0"/>
    <s v="LT"/>
    <n v="19"/>
    <s v="5964"/>
    <s v="SAFRINHA 2026"/>
    <n v="240"/>
    <n v="0"/>
    <n v="240"/>
    <n v="4560"/>
    <m/>
    <s v="SORRISO"/>
    <s v="36285969809"/>
    <n v="19"/>
    <n v="0"/>
  </r>
  <r>
    <d v="2026-02-11T08:31:48"/>
    <n v="4552"/>
    <x v="227"/>
    <d v="2026-02-09T00:00:00"/>
    <d v="2026-08-30T00:00:00"/>
    <x v="5"/>
    <x v="0"/>
    <s v="510200"/>
    <x v="0"/>
    <x v="0"/>
    <s v="LT"/>
    <n v="16"/>
    <s v="5964"/>
    <s v="SAFRINHA 2026"/>
    <n v="460"/>
    <n v="0"/>
    <n v="460"/>
    <n v="7360"/>
    <m/>
    <s v="SORRISO"/>
    <s v="36285969809"/>
    <n v="16"/>
    <n v="0"/>
  </r>
  <r>
    <d v="2026-02-11T08:31:48"/>
    <n v="4552"/>
    <x v="227"/>
    <d v="2026-02-09T00:00:00"/>
    <d v="2026-08-30T00:00:00"/>
    <x v="5"/>
    <x v="0"/>
    <s v="510200"/>
    <x v="6"/>
    <x v="0"/>
    <s v="LT"/>
    <n v="69"/>
    <s v="5964"/>
    <s v="SAFRINHA 2026"/>
    <n v="110"/>
    <n v="0"/>
    <n v="110"/>
    <n v="7590"/>
    <m/>
    <s v="SORRISO"/>
    <s v="36285969809"/>
    <n v="69"/>
    <n v="0"/>
  </r>
  <r>
    <d v="2026-02-11T08:31:48"/>
    <n v="4552"/>
    <x v="227"/>
    <d v="2026-02-09T00:00:00"/>
    <d v="2026-08-30T00:00:00"/>
    <x v="5"/>
    <x v="0"/>
    <s v="510200"/>
    <x v="7"/>
    <x v="0"/>
    <s v="LT"/>
    <n v="69"/>
    <s v="5964"/>
    <s v="SAFRINHA 2026"/>
    <n v="50"/>
    <n v="0"/>
    <n v="50"/>
    <n v="3450"/>
    <m/>
    <s v="SORRISO"/>
    <s v="36285969809"/>
    <n v="69"/>
    <n v="0"/>
  </r>
  <r>
    <d v="2026-02-11T08:31:48"/>
    <n v="4552"/>
    <x v="227"/>
    <d v="2026-02-09T00:00:00"/>
    <d v="2026-08-30T00:00:00"/>
    <x v="5"/>
    <x v="0"/>
    <s v="510200"/>
    <x v="64"/>
    <x v="2"/>
    <s v="LT"/>
    <n v="12"/>
    <s v="5964"/>
    <s v="SAFRINHA 2026"/>
    <n v="325"/>
    <n v="0"/>
    <n v="325"/>
    <n v="3900"/>
    <m/>
    <s v="SORRISO"/>
    <s v="36285969809"/>
    <n v="12"/>
    <n v="0"/>
  </r>
  <r>
    <d v="2026-02-11T08:31:48"/>
    <n v="4552"/>
    <x v="227"/>
    <d v="2026-02-09T00:00:00"/>
    <d v="2026-08-30T00:00:00"/>
    <x v="5"/>
    <x v="1"/>
    <s v="510200"/>
    <x v="9"/>
    <x v="1"/>
    <s v="LT"/>
    <n v="44"/>
    <s v="5964"/>
    <s v="SAFRINHA 2026"/>
    <n v="48"/>
    <n v="0"/>
    <n v="48"/>
    <n v="2112"/>
    <m/>
    <s v="SORRISO"/>
    <s v="36285969809"/>
    <n v="44"/>
    <n v="0"/>
  </r>
  <r>
    <d v="2026-02-11T08:31:48"/>
    <n v="4552"/>
    <x v="227"/>
    <d v="2026-02-09T00:00:00"/>
    <d v="2026-08-30T00:00:00"/>
    <x v="5"/>
    <x v="0"/>
    <s v="510200"/>
    <x v="2"/>
    <x v="0"/>
    <s v="KG"/>
    <n v="21"/>
    <s v="5964"/>
    <s v="SAFRINHA 2026"/>
    <n v="460"/>
    <n v="0"/>
    <n v="460"/>
    <n v="9660"/>
    <m/>
    <s v="SORRISO"/>
    <s v="36285969809"/>
    <n v="21"/>
    <n v="0"/>
  </r>
  <r>
    <d v="2025-09-17T09:15:21"/>
    <n v="302"/>
    <x v="228"/>
    <d v="2025-09-17T00:00:00"/>
    <d v="2026-04-30T00:00:00"/>
    <x v="2"/>
    <x v="0"/>
    <s v="510200"/>
    <x v="63"/>
    <x v="2"/>
    <s v="LT"/>
    <n v="68"/>
    <s v="108"/>
    <s v="SAFRA 25/26"/>
    <n v="40"/>
    <n v="0"/>
    <n v="40"/>
    <n v="2720"/>
    <m/>
    <s v="SINOP"/>
    <s v="02335937138"/>
    <n v="68"/>
    <n v="0"/>
  </r>
  <r>
    <d v="2025-09-17T09:15:21"/>
    <n v="302"/>
    <x v="228"/>
    <d v="2025-09-17T00:00:00"/>
    <d v="2026-04-30T00:00:00"/>
    <x v="2"/>
    <x v="0"/>
    <s v="510200"/>
    <x v="6"/>
    <x v="0"/>
    <s v="LT"/>
    <n v="68"/>
    <s v="108"/>
    <s v="SAFRA 25/26"/>
    <n v="10"/>
    <n v="0"/>
    <n v="10"/>
    <n v="680"/>
    <m/>
    <s v="SINOP"/>
    <s v="02335937138"/>
    <n v="68"/>
    <n v="0"/>
  </r>
  <r>
    <d v="2025-10-08T15:28:04"/>
    <n v="334"/>
    <x v="228"/>
    <d v="2025-10-07T00:00:00"/>
    <d v="2026-04-30T00:00:00"/>
    <x v="2"/>
    <x v="0"/>
    <s v="510200"/>
    <x v="30"/>
    <x v="2"/>
    <s v="LT"/>
    <n v="198"/>
    <s v="117"/>
    <s v="SAFRA 25/26"/>
    <n v="14"/>
    <n v="0"/>
    <n v="14"/>
    <n v="2772"/>
    <m/>
    <s v="SINOP"/>
    <s v="02335937138"/>
    <n v="198"/>
    <n v="0"/>
  </r>
  <r>
    <d v="2025-10-15T16:08:14"/>
    <n v="352"/>
    <x v="228"/>
    <d v="2025-10-15T00:00:00"/>
    <d v="2026-04-30T00:00:00"/>
    <x v="2"/>
    <x v="0"/>
    <s v="510200"/>
    <x v="63"/>
    <x v="2"/>
    <s v="LT"/>
    <n v="68"/>
    <s v="84"/>
    <s v="SAFRA 25/26"/>
    <n v="60"/>
    <n v="0"/>
    <n v="60"/>
    <n v="4080"/>
    <m/>
    <s v="SINOP"/>
    <s v="02335937138"/>
    <n v="68"/>
    <n v="0"/>
  </r>
  <r>
    <d v="2025-11-18T15:42:07"/>
    <n v="415"/>
    <x v="228"/>
    <d v="2025-11-18T00:00:00"/>
    <d v="2026-04-30T00:00:00"/>
    <x v="2"/>
    <x v="0"/>
    <s v="510200"/>
    <x v="63"/>
    <x v="2"/>
    <s v="LT"/>
    <n v="68"/>
    <s v="155"/>
    <s v="SAFRA 25/26"/>
    <n v="60"/>
    <n v="0"/>
    <n v="60"/>
    <n v="4080"/>
    <m/>
    <s v="SINOP"/>
    <s v="02335937138"/>
    <n v="68"/>
    <n v="0"/>
  </r>
  <r>
    <d v="2025-12-16T07:42:21"/>
    <n v="459"/>
    <x v="228"/>
    <d v="2025-12-15T00:00:00"/>
    <d v="2026-04-30T00:00:00"/>
    <x v="2"/>
    <x v="0"/>
    <s v="510200"/>
    <x v="6"/>
    <x v="0"/>
    <s v="LT"/>
    <n v="68"/>
    <s v="169"/>
    <s v="SAFRA 25/26"/>
    <n v="20"/>
    <n v="0"/>
    <n v="20"/>
    <n v="1360"/>
    <m/>
    <s v="SINOP"/>
    <s v="02335937138"/>
    <n v="68"/>
    <n v="0"/>
  </r>
  <r>
    <d v="2025-12-16T07:42:21"/>
    <n v="459"/>
    <x v="228"/>
    <d v="2025-12-15T00:00:00"/>
    <d v="2026-04-30T00:00:00"/>
    <x v="2"/>
    <x v="0"/>
    <s v="510200"/>
    <x v="63"/>
    <x v="2"/>
    <s v="LT"/>
    <n v="68"/>
    <s v="169"/>
    <s v="SAFRA 25/26"/>
    <n v="40"/>
    <n v="0"/>
    <n v="40"/>
    <n v="2720"/>
    <m/>
    <s v="SINOP"/>
    <s v="02335937138"/>
    <n v="68"/>
    <n v="0"/>
  </r>
  <r>
    <d v="2026-01-09T13:21:38"/>
    <n v="486"/>
    <x v="228"/>
    <d v="2026-01-09T00:00:00"/>
    <d v="2026-08-30T00:00:00"/>
    <x v="2"/>
    <x v="0"/>
    <s v="510200"/>
    <x v="63"/>
    <x v="2"/>
    <s v="LT"/>
    <n v="68"/>
    <s v="130"/>
    <s v="SAFRINHA 2026"/>
    <n v="100"/>
    <n v="0"/>
    <n v="100"/>
    <n v="6800"/>
    <m/>
    <s v="SINOP"/>
    <s v="02335937138"/>
    <n v="68"/>
    <n v="0"/>
  </r>
  <r>
    <d v="2026-03-04T11:16:38"/>
    <n v="569"/>
    <x v="228"/>
    <d v="2026-03-04T00:00:00"/>
    <d v="2026-08-30T00:00:00"/>
    <x v="2"/>
    <x v="0"/>
    <s v="510200"/>
    <x v="31"/>
    <x v="0"/>
    <s v="LT"/>
    <n v="198"/>
    <s v="449"/>
    <s v="SAFRINHA 2026"/>
    <n v="5"/>
    <n v="0"/>
    <n v="5"/>
    <n v="990"/>
    <m/>
    <s v="SINOP"/>
    <s v="02335937138"/>
    <n v="198"/>
    <n v="0"/>
  </r>
  <r>
    <d v="2025-08-19T14:20:22"/>
    <n v="271"/>
    <x v="229"/>
    <d v="2025-08-19T00:00:00"/>
    <d v="2026-03-30T00:00:00"/>
    <x v="10"/>
    <x v="0"/>
    <s v="510200"/>
    <x v="4"/>
    <x v="0"/>
    <s v="KG"/>
    <n v="20.65"/>
    <s v="5341"/>
    <s v="SAFRA 25/26"/>
    <n v="3000"/>
    <n v="0"/>
    <n v="3000"/>
    <n v="61949.999999999993"/>
    <m/>
    <s v="MARCELANDIA"/>
    <s v="04644589195"/>
    <n v="20.65"/>
    <n v="0"/>
  </r>
  <r>
    <d v="2025-08-25T10:47:10"/>
    <n v="3997"/>
    <x v="230"/>
    <d v="2025-08-25T00:00:00"/>
    <d v="2026-03-30T00:00:00"/>
    <x v="3"/>
    <x v="0"/>
    <s v="510200"/>
    <x v="70"/>
    <x v="2"/>
    <s v="LT"/>
    <n v="35"/>
    <s v="5554"/>
    <s v="SAFRA 25/26"/>
    <n v="280"/>
    <n v="0"/>
    <n v="280"/>
    <n v="9800"/>
    <m/>
    <s v="NOVA UBIRATA"/>
    <s v="45919321172"/>
    <n v="35"/>
    <n v="0"/>
  </r>
  <r>
    <d v="2025-08-25T10:47:10"/>
    <n v="3997"/>
    <x v="230"/>
    <d v="2025-08-25T00:00:00"/>
    <d v="2026-03-30T00:00:00"/>
    <x v="3"/>
    <x v="0"/>
    <s v="510200"/>
    <x v="71"/>
    <x v="2"/>
    <s v="LT"/>
    <n v="18.780618"/>
    <s v="5554"/>
    <s v="SAFRA 25/26"/>
    <n v="1390"/>
    <n v="0"/>
    <n v="1390"/>
    <n v="26105.059020000001"/>
    <m/>
    <s v="NOVA UBIRATA"/>
    <s v="45919321172"/>
    <n v="18.780618"/>
    <n v="0"/>
  </r>
  <r>
    <d v="2025-08-25T10:47:10"/>
    <n v="3997"/>
    <x v="230"/>
    <d v="2025-08-25T00:00:00"/>
    <d v="2026-03-30T00:00:00"/>
    <x v="3"/>
    <x v="0"/>
    <s v="510200"/>
    <x v="29"/>
    <x v="2"/>
    <s v="LT"/>
    <n v="11"/>
    <s v="5554"/>
    <s v="SAFRA 25/26"/>
    <n v="2800"/>
    <n v="0"/>
    <n v="2800"/>
    <n v="30800"/>
    <m/>
    <s v="NOVA UBIRATA"/>
    <s v="45919321172"/>
    <n v="11"/>
    <n v="0"/>
  </r>
  <r>
    <d v="2025-08-25T10:47:10"/>
    <n v="3997"/>
    <x v="230"/>
    <d v="2025-08-25T00:00:00"/>
    <d v="2026-03-30T00:00:00"/>
    <x v="3"/>
    <x v="0"/>
    <s v="510200"/>
    <x v="72"/>
    <x v="2"/>
    <s v="KG"/>
    <n v="330"/>
    <s v="5554"/>
    <s v="SAFRA 25/26"/>
    <n v="150"/>
    <n v="0"/>
    <n v="150"/>
    <n v="49500"/>
    <m/>
    <s v="NOVA UBIRATA"/>
    <s v="45919321172"/>
    <n v="330"/>
    <n v="0"/>
  </r>
  <r>
    <d v="2025-10-22T10:35:17"/>
    <n v="4196"/>
    <x v="231"/>
    <d v="2025-10-22T00:00:00"/>
    <d v="2025-10-22T00:00:00"/>
    <x v="3"/>
    <x v="0"/>
    <s v="510200"/>
    <x v="21"/>
    <x v="2"/>
    <s v="KG"/>
    <n v="36"/>
    <s v="5753"/>
    <s v="SAFRA 25/26"/>
    <n v="15"/>
    <n v="0"/>
    <n v="15"/>
    <n v="540"/>
    <m/>
    <s v="TABAPORA"/>
    <s v="40764621068"/>
    <n v="36"/>
    <n v="0"/>
  </r>
  <r>
    <d v="2025-07-16T14:14:53"/>
    <n v="3933"/>
    <x v="232"/>
    <d v="2025-07-16T00:00:00"/>
    <d v="2026-04-30T00:00:00"/>
    <x v="3"/>
    <x v="1"/>
    <s v="510200"/>
    <x v="17"/>
    <x v="1"/>
    <s v="LT"/>
    <n v="39"/>
    <s v="5328"/>
    <s v="SAFRA 25/26"/>
    <n v="1470"/>
    <n v="0"/>
    <n v="1470"/>
    <n v="57330"/>
    <m/>
    <s v="GAUCHA DO NORTE"/>
    <s v="04733158904"/>
    <n v="39"/>
    <n v="0"/>
  </r>
  <r>
    <d v="2025-07-16T14:14:53"/>
    <n v="3933"/>
    <x v="232"/>
    <d v="2025-07-16T00:00:00"/>
    <d v="2026-04-30T00:00:00"/>
    <x v="3"/>
    <x v="1"/>
    <s v="510200"/>
    <x v="10"/>
    <x v="1"/>
    <s v="LT"/>
    <n v="248"/>
    <s v="5328"/>
    <s v="SAFRA 25/26"/>
    <n v="940"/>
    <n v="0"/>
    <n v="940"/>
    <n v="233120"/>
    <m/>
    <s v="GAUCHA DO NORTE"/>
    <s v="04733158904"/>
    <n v="248"/>
    <n v="0"/>
  </r>
  <r>
    <d v="2025-09-23T15:46:50"/>
    <n v="4078"/>
    <x v="232"/>
    <d v="2025-07-16T00:00:00"/>
    <d v="2026-04-30T00:00:00"/>
    <x v="3"/>
    <x v="1"/>
    <s v="512011"/>
    <x v="11"/>
    <x v="1"/>
    <s v="LT"/>
    <n v="248"/>
    <s v="5328"/>
    <s v="SAFRA 25/26"/>
    <n v="1044"/>
    <n v="0"/>
    <n v="1044"/>
    <n v="258912"/>
    <m/>
    <s v="GAUCHA DO NORTE"/>
    <s v="04733158904"/>
    <n v="248"/>
    <n v="0"/>
  </r>
  <r>
    <d v="2025-09-23T15:46:50"/>
    <n v="4078"/>
    <x v="232"/>
    <d v="2025-07-16T00:00:00"/>
    <d v="2026-04-30T00:00:00"/>
    <x v="3"/>
    <x v="1"/>
    <s v="512011"/>
    <x v="9"/>
    <x v="1"/>
    <s v="LT"/>
    <n v="34"/>
    <s v="5328"/>
    <s v="SAFRA 25/26"/>
    <n v="264"/>
    <n v="0"/>
    <n v="264"/>
    <n v="8976"/>
    <m/>
    <s v="GAUCHA DO NORTE"/>
    <s v="04733158904"/>
    <n v="34"/>
    <n v="0"/>
  </r>
  <r>
    <d v="2025-09-23T15:46:50"/>
    <n v="4078"/>
    <x v="232"/>
    <d v="2025-07-16T00:00:00"/>
    <d v="2026-04-30T00:00:00"/>
    <x v="3"/>
    <x v="1"/>
    <s v="512011"/>
    <x v="13"/>
    <x v="1"/>
    <s v="LT"/>
    <n v="29"/>
    <s v="5328"/>
    <s v="SAFRA 25/26"/>
    <n v="4440"/>
    <n v="0"/>
    <n v="4440"/>
    <n v="128760"/>
    <m/>
    <s v="GAUCHA DO NORTE"/>
    <s v="04733158904"/>
    <n v="29"/>
    <n v="0"/>
  </r>
  <r>
    <d v="2025-09-23T15:46:50"/>
    <n v="4078"/>
    <x v="232"/>
    <d v="2025-07-16T00:00:00"/>
    <d v="2026-04-30T00:00:00"/>
    <x v="3"/>
    <x v="1"/>
    <s v="512011"/>
    <x v="25"/>
    <x v="1"/>
    <s v="KG"/>
    <n v="490"/>
    <s v="5328"/>
    <s v="SAFRA 25/26"/>
    <n v="100"/>
    <n v="0"/>
    <n v="100"/>
    <n v="49000"/>
    <m/>
    <s v="GAUCHA DO NORTE"/>
    <s v="04733158904"/>
    <n v="490"/>
    <n v="0"/>
  </r>
  <r>
    <d v="2025-09-23T15:46:50"/>
    <n v="4078"/>
    <x v="232"/>
    <d v="2025-07-16T00:00:00"/>
    <d v="2026-04-30T00:00:00"/>
    <x v="3"/>
    <x v="1"/>
    <s v="512011"/>
    <x v="23"/>
    <x v="1"/>
    <s v="KG"/>
    <n v="240"/>
    <s v="5328"/>
    <s v="SAFRA 25/26"/>
    <n v="6625"/>
    <n v="0"/>
    <n v="6625"/>
    <n v="1590000"/>
    <m/>
    <s v="GAUCHA DO NORTE"/>
    <s v="04733158904"/>
    <n v="240"/>
    <n v="0"/>
  </r>
  <r>
    <d v="2025-09-23T15:46:50"/>
    <n v="4078"/>
    <x v="232"/>
    <d v="2025-07-16T00:00:00"/>
    <d v="2026-04-30T00:00:00"/>
    <x v="3"/>
    <x v="1"/>
    <s v="512011"/>
    <x v="76"/>
    <x v="1"/>
    <s v="LT"/>
    <n v="48"/>
    <s v="5328"/>
    <s v="SAFRA 25/26"/>
    <n v="804"/>
    <n v="0"/>
    <n v="804"/>
    <n v="38592"/>
    <m/>
    <s v="GAUCHA DO NORTE"/>
    <s v="04733158904"/>
    <n v="48"/>
    <n v="0"/>
  </r>
  <r>
    <d v="2025-09-23T15:46:50"/>
    <n v="4078"/>
    <x v="232"/>
    <d v="2025-07-16T00:00:00"/>
    <d v="2026-04-30T00:00:00"/>
    <x v="3"/>
    <x v="1"/>
    <s v="512011"/>
    <x v="14"/>
    <x v="1"/>
    <s v="KG"/>
    <n v="310"/>
    <s v="5328"/>
    <s v="SAFRA 25/26"/>
    <n v="1700"/>
    <n v="0"/>
    <n v="1700"/>
    <n v="527000"/>
    <m/>
    <s v="GAUCHA DO NORTE"/>
    <s v="04733158904"/>
    <n v="310"/>
    <n v="0"/>
  </r>
  <r>
    <d v="2025-08-14T16:42:07"/>
    <n v="3980"/>
    <x v="233"/>
    <d v="2025-08-14T00:00:00"/>
    <d v="2025-08-30T00:00:00"/>
    <x v="0"/>
    <x v="1"/>
    <s v="510200"/>
    <x v="11"/>
    <x v="1"/>
    <s v="LT"/>
    <n v="288.3"/>
    <s v="4405"/>
    <s v="SAFRA 25/26"/>
    <n v="150"/>
    <n v="0"/>
    <n v="150"/>
    <n v="43245"/>
    <m/>
    <s v="SORRISO"/>
    <s v="20826710972"/>
    <n v="288.3"/>
    <n v="0"/>
  </r>
  <r>
    <d v="2025-08-14T16:42:07"/>
    <n v="3980"/>
    <x v="233"/>
    <d v="2025-08-14T00:00:00"/>
    <d v="2025-08-30T00:00:00"/>
    <x v="0"/>
    <x v="1"/>
    <s v="510200"/>
    <x v="9"/>
    <x v="1"/>
    <s v="LT"/>
    <n v="46.5"/>
    <s v="4405"/>
    <s v="SAFRA 25/26"/>
    <n v="108"/>
    <n v="0"/>
    <n v="108"/>
    <n v="5022"/>
    <m/>
    <s v="SORRISO"/>
    <s v="20826710972"/>
    <n v="46.5"/>
    <n v="0"/>
  </r>
  <r>
    <d v="2025-08-14T16:42:07"/>
    <n v="3980"/>
    <x v="233"/>
    <d v="2025-08-14T00:00:00"/>
    <d v="2025-08-30T00:00:00"/>
    <x v="0"/>
    <x v="1"/>
    <s v="510200"/>
    <x v="13"/>
    <x v="1"/>
    <s v="LT"/>
    <n v="42.78"/>
    <s v="4405"/>
    <s v="SAFRA 25/26"/>
    <n v="408"/>
    <n v="0"/>
    <n v="408"/>
    <n v="17454.240000000002"/>
    <m/>
    <s v="SORRISO"/>
    <s v="20826710972"/>
    <n v="42.78"/>
    <n v="0"/>
  </r>
  <r>
    <d v="2025-08-14T16:42:07"/>
    <n v="3980"/>
    <x v="233"/>
    <d v="2025-08-14T00:00:00"/>
    <d v="2025-08-30T00:00:00"/>
    <x v="0"/>
    <x v="1"/>
    <s v="510200"/>
    <x v="25"/>
    <x v="1"/>
    <s v="KG"/>
    <n v="511.5"/>
    <s v="4405"/>
    <s v="SAFRA 25/26"/>
    <n v="50"/>
    <n v="0"/>
    <n v="50"/>
    <n v="25575"/>
    <m/>
    <s v="SORRISO"/>
    <s v="20826710972"/>
    <n v="511.5"/>
    <n v="0"/>
  </r>
  <r>
    <d v="2025-12-12T09:08:49"/>
    <n v="4348"/>
    <x v="233"/>
    <d v="2025-12-12T00:00:00"/>
    <d v="2026-01-30T00:00:00"/>
    <x v="8"/>
    <x v="1"/>
    <s v="510200"/>
    <x v="10"/>
    <x v="1"/>
    <s v="LT"/>
    <n v="273.95999999999998"/>
    <s v="5989"/>
    <s v="SAFRINHA 2026"/>
    <n v="50"/>
    <n v="0"/>
    <n v="50"/>
    <n v="13697.999999999998"/>
    <m/>
    <s v="SORRISO"/>
    <s v="20826710972"/>
    <n v="273.95999999999998"/>
    <n v="0"/>
  </r>
  <r>
    <d v="2025-12-12T09:08:49"/>
    <n v="4348"/>
    <x v="233"/>
    <d v="2025-12-12T00:00:00"/>
    <d v="2026-01-30T00:00:00"/>
    <x v="8"/>
    <x v="1"/>
    <s v="510200"/>
    <x v="9"/>
    <x v="1"/>
    <s v="LT"/>
    <n v="44.23"/>
    <s v="5989"/>
    <s v="SAFRINHA 2026"/>
    <n v="102"/>
    <n v="0"/>
    <n v="102"/>
    <n v="4511.46"/>
    <m/>
    <s v="SORRISO"/>
    <s v="20826710972"/>
    <n v="44.23"/>
    <n v="0"/>
  </r>
  <r>
    <d v="2025-12-12T09:08:49"/>
    <n v="4348"/>
    <x v="233"/>
    <d v="2025-12-12T00:00:00"/>
    <d v="2026-01-30T00:00:00"/>
    <x v="8"/>
    <x v="1"/>
    <s v="510200"/>
    <x v="11"/>
    <x v="1"/>
    <s v="LT"/>
    <n v="273.95999999999998"/>
    <s v="5989"/>
    <s v="SAFRINHA 2026"/>
    <n v="50"/>
    <n v="0"/>
    <n v="50"/>
    <n v="13697.999999999998"/>
    <m/>
    <s v="SORRISO"/>
    <s v="20826710972"/>
    <n v="273.95999999999998"/>
    <n v="0"/>
  </r>
  <r>
    <d v="2025-12-12T09:08:49"/>
    <n v="4348"/>
    <x v="233"/>
    <d v="2025-12-12T00:00:00"/>
    <d v="2026-01-30T00:00:00"/>
    <x v="8"/>
    <x v="1"/>
    <s v="510200"/>
    <x v="14"/>
    <x v="1"/>
    <s v="KG"/>
    <n v="342.45"/>
    <s v="5989"/>
    <s v="SAFRINHA 2026"/>
    <n v="60"/>
    <n v="0"/>
    <n v="60"/>
    <n v="20547"/>
    <m/>
    <s v="SORRISO"/>
    <s v="20826710972"/>
    <n v="342.45"/>
    <n v="0"/>
  </r>
  <r>
    <d v="2026-01-12T13:04:58"/>
    <n v="4429"/>
    <x v="233"/>
    <d v="2026-01-12T00:00:00"/>
    <d v="2026-01-30T00:00:00"/>
    <x v="8"/>
    <x v="1"/>
    <s v="510200"/>
    <x v="11"/>
    <x v="1"/>
    <s v="LT"/>
    <n v="273.95999999999998"/>
    <s v="5988"/>
    <s v="SAFRINHA 2026"/>
    <n v="200"/>
    <n v="0"/>
    <n v="200"/>
    <n v="54791.999999999993"/>
    <m/>
    <s v="FELIZ NATAL"/>
    <s v="20826710972"/>
    <n v="273.95999999999998"/>
    <n v="0"/>
  </r>
  <r>
    <d v="2026-01-12T13:04:58"/>
    <n v="4429"/>
    <x v="233"/>
    <d v="2026-01-12T00:00:00"/>
    <d v="2026-01-30T00:00:00"/>
    <x v="8"/>
    <x v="1"/>
    <s v="510200"/>
    <x v="10"/>
    <x v="1"/>
    <s v="LT"/>
    <n v="273.95999999999998"/>
    <s v="5988"/>
    <s v="SAFRINHA 2026"/>
    <n v="200"/>
    <n v="0"/>
    <n v="200"/>
    <n v="54791.999999999993"/>
    <m/>
    <s v="FELIZ NATAL"/>
    <s v="20826710972"/>
    <n v="273.95999999999998"/>
    <n v="0"/>
  </r>
  <r>
    <d v="2026-01-12T13:04:58"/>
    <n v="4429"/>
    <x v="233"/>
    <d v="2026-01-12T00:00:00"/>
    <d v="2026-01-30T00:00:00"/>
    <x v="8"/>
    <x v="1"/>
    <s v="510200"/>
    <x v="9"/>
    <x v="1"/>
    <s v="LT"/>
    <n v="44.23"/>
    <s v="5988"/>
    <s v="SAFRINHA 2026"/>
    <n v="402"/>
    <n v="0"/>
    <n v="402"/>
    <n v="17780.46"/>
    <m/>
    <s v="FELIZ NATAL"/>
    <s v="20826710972"/>
    <n v="44.23"/>
    <n v="0"/>
  </r>
  <r>
    <d v="2026-01-12T13:04:58"/>
    <n v="4429"/>
    <x v="233"/>
    <d v="2026-01-12T00:00:00"/>
    <d v="2026-01-30T00:00:00"/>
    <x v="8"/>
    <x v="1"/>
    <s v="510200"/>
    <x v="14"/>
    <x v="1"/>
    <s v="KG"/>
    <n v="342.45"/>
    <s v="5988"/>
    <s v="SAFRINHA 2026"/>
    <n v="240"/>
    <n v="0"/>
    <n v="240"/>
    <n v="82188"/>
    <m/>
    <s v="FELIZ NATAL"/>
    <s v="20826710972"/>
    <n v="342.45"/>
    <n v="0"/>
  </r>
  <r>
    <d v="2026-01-20T17:29:20"/>
    <n v="4469"/>
    <x v="233"/>
    <d v="2026-01-19T00:00:00"/>
    <d v="2026-01-30T00:00:00"/>
    <x v="8"/>
    <x v="1"/>
    <s v="510200"/>
    <x v="14"/>
    <x v="1"/>
    <s v="KG"/>
    <n v="342.45"/>
    <s v="5990"/>
    <s v="SAFRINHA 2026"/>
    <n v="96"/>
    <n v="0"/>
    <n v="96"/>
    <n v="32875.199999999997"/>
    <m/>
    <s v="NOVA UBIRATA"/>
    <s v="20826710972"/>
    <n v="342.45"/>
    <n v="0"/>
  </r>
  <r>
    <d v="2026-01-20T17:29:20"/>
    <n v="4469"/>
    <x v="233"/>
    <d v="2026-01-19T00:00:00"/>
    <d v="2026-01-30T00:00:00"/>
    <x v="8"/>
    <x v="1"/>
    <s v="510200"/>
    <x v="9"/>
    <x v="1"/>
    <s v="LT"/>
    <n v="44.23"/>
    <s v="5990"/>
    <s v="SAFRINHA 2026"/>
    <n v="162"/>
    <n v="0"/>
    <n v="162"/>
    <n v="7165.2599999999993"/>
    <m/>
    <s v="NOVA UBIRATA"/>
    <s v="20826710972"/>
    <n v="44.23"/>
    <n v="0"/>
  </r>
  <r>
    <d v="2026-01-20T17:29:20"/>
    <n v="4469"/>
    <x v="233"/>
    <d v="2026-01-19T00:00:00"/>
    <d v="2026-01-30T00:00:00"/>
    <x v="8"/>
    <x v="1"/>
    <s v="510200"/>
    <x v="11"/>
    <x v="1"/>
    <s v="LT"/>
    <n v="273.95999999999998"/>
    <s v="5990"/>
    <s v="SAFRINHA 2026"/>
    <n v="80"/>
    <n v="0"/>
    <n v="80"/>
    <n v="21916.799999999999"/>
    <m/>
    <s v="NOVA UBIRATA"/>
    <s v="20826710972"/>
    <n v="273.95999999999998"/>
    <n v="0"/>
  </r>
  <r>
    <d v="2026-01-20T17:29:20"/>
    <n v="4469"/>
    <x v="233"/>
    <d v="2026-01-19T00:00:00"/>
    <d v="2026-01-30T00:00:00"/>
    <x v="8"/>
    <x v="1"/>
    <s v="510200"/>
    <x v="10"/>
    <x v="1"/>
    <s v="LT"/>
    <n v="273.95999999999998"/>
    <s v="5990"/>
    <s v="SAFRINHA 2026"/>
    <n v="80"/>
    <n v="0"/>
    <n v="80"/>
    <n v="21916.799999999999"/>
    <m/>
    <s v="NOVA UBIRATA"/>
    <s v="20826710972"/>
    <n v="273.95999999999998"/>
    <n v="0"/>
  </r>
  <r>
    <d v="2025-03-03T14:15:47"/>
    <n v="3712"/>
    <x v="234"/>
    <d v="2024-12-19T00:00:00"/>
    <d v="2025-09-30T00:00:00"/>
    <x v="0"/>
    <x v="1"/>
    <s v="510200"/>
    <x v="14"/>
    <x v="1"/>
    <s v="KG"/>
    <n v="360.75"/>
    <s v="4560"/>
    <s v="SAFRA 25/26"/>
    <n v="200"/>
    <n v="0"/>
    <n v="200"/>
    <n v="72150"/>
    <m/>
    <s v="SORRISO"/>
    <s v="47993898900"/>
    <n v="360.75"/>
    <n v="0"/>
  </r>
  <r>
    <d v="2025-03-03T14:15:47"/>
    <n v="3712"/>
    <x v="234"/>
    <d v="2024-12-19T00:00:00"/>
    <d v="2025-09-30T00:00:00"/>
    <x v="0"/>
    <x v="1"/>
    <s v="510200"/>
    <x v="10"/>
    <x v="1"/>
    <s v="LT"/>
    <n v="292.5"/>
    <s v="4560"/>
    <s v="SAFRA 25/26"/>
    <n v="160"/>
    <n v="0"/>
    <n v="160"/>
    <n v="46800"/>
    <m/>
    <s v="SORRISO"/>
    <s v="47993898900"/>
    <n v="292.5"/>
    <n v="0"/>
  </r>
  <r>
    <d v="2025-03-03T14:15:47"/>
    <n v="3712"/>
    <x v="234"/>
    <d v="2024-12-19T00:00:00"/>
    <d v="2025-09-30T00:00:00"/>
    <x v="0"/>
    <x v="0"/>
    <s v="510200"/>
    <x v="125"/>
    <x v="2"/>
    <s v="LT"/>
    <n v="219.37"/>
    <s v="4560"/>
    <s v="SAFRA 25/26"/>
    <n v="300"/>
    <n v="0"/>
    <n v="300"/>
    <n v="65811"/>
    <m/>
    <s v="SORRISO"/>
    <s v="47993898900"/>
    <n v="219.37"/>
    <n v="0"/>
  </r>
  <r>
    <d v="2025-03-03T14:15:47"/>
    <n v="3712"/>
    <x v="234"/>
    <d v="2024-12-19T00:00:00"/>
    <d v="2025-09-30T00:00:00"/>
    <x v="0"/>
    <x v="0"/>
    <s v="510200"/>
    <x v="56"/>
    <x v="2"/>
    <s v="KG"/>
    <n v="25.35"/>
    <s v="4560"/>
    <s v="SAFRA 25/26"/>
    <n v="1000"/>
    <n v="0"/>
    <n v="1000"/>
    <n v="25350"/>
    <m/>
    <s v="SORRISO"/>
    <s v="47993898900"/>
    <n v="25.35"/>
    <n v="0"/>
  </r>
  <r>
    <d v="2025-03-03T14:15:47"/>
    <n v="3712"/>
    <x v="234"/>
    <d v="2024-12-19T00:00:00"/>
    <d v="2025-09-30T00:00:00"/>
    <x v="0"/>
    <x v="1"/>
    <s v="510200"/>
    <x v="11"/>
    <x v="1"/>
    <s v="LT"/>
    <n v="292.5"/>
    <s v="4560"/>
    <s v="SAFRA 25/26"/>
    <n v="200"/>
    <n v="0"/>
    <n v="200"/>
    <n v="58500"/>
    <m/>
    <s v="SORRISO"/>
    <s v="47993898900"/>
    <n v="292.5"/>
    <n v="0"/>
  </r>
  <r>
    <d v="2025-03-03T14:15:47"/>
    <n v="3712"/>
    <x v="234"/>
    <d v="2024-12-19T00:00:00"/>
    <d v="2025-09-30T00:00:00"/>
    <x v="0"/>
    <x v="1"/>
    <s v="510200"/>
    <x v="13"/>
    <x v="1"/>
    <s v="LT"/>
    <n v="43.651741000000001"/>
    <s v="4560"/>
    <s v="SAFRA 25/26"/>
    <n v="402"/>
    <n v="0"/>
    <n v="402"/>
    <n v="17547.999882"/>
    <m/>
    <s v="SORRISO"/>
    <s v="47993898900"/>
    <n v="43.651741000000001"/>
    <n v="0"/>
  </r>
  <r>
    <d v="2025-03-03T14:15:47"/>
    <n v="3712"/>
    <x v="234"/>
    <d v="2024-12-19T00:00:00"/>
    <d v="2025-09-30T00:00:00"/>
    <x v="0"/>
    <x v="1"/>
    <s v="510200"/>
    <x v="9"/>
    <x v="1"/>
    <s v="LT"/>
    <n v="43.651741000000001"/>
    <s v="4560"/>
    <s v="SAFRA 25/26"/>
    <n v="201"/>
    <n v="0"/>
    <n v="201"/>
    <n v="8773.999941"/>
    <m/>
    <s v="SORRISO"/>
    <s v="47993898900"/>
    <n v="43.651741000000001"/>
    <n v="0"/>
  </r>
  <r>
    <d v="2025-03-03T14:15:47"/>
    <n v="3712"/>
    <x v="234"/>
    <d v="2024-12-19T00:00:00"/>
    <d v="2025-09-30T00:00:00"/>
    <x v="0"/>
    <x v="0"/>
    <s v="510200"/>
    <x v="58"/>
    <x v="2"/>
    <s v="LT"/>
    <n v="24.37"/>
    <s v="4560"/>
    <s v="SAFRA 25/26"/>
    <n v="3000"/>
    <n v="0"/>
    <n v="3000"/>
    <n v="73110"/>
    <m/>
    <s v="SORRISO"/>
    <s v="47993898900"/>
    <n v="24.37"/>
    <n v="0"/>
  </r>
  <r>
    <d v="2025-03-03T14:15:47"/>
    <n v="3712"/>
    <x v="234"/>
    <d v="2024-12-19T00:00:00"/>
    <d v="2025-09-30T00:00:00"/>
    <x v="0"/>
    <x v="0"/>
    <s v="510200"/>
    <x v="55"/>
    <x v="2"/>
    <s v="KG"/>
    <n v="25.35"/>
    <s v="4560"/>
    <s v="SAFRA 25/26"/>
    <n v="1000"/>
    <n v="0"/>
    <n v="1000"/>
    <n v="25350"/>
    <m/>
    <s v="SORRISO"/>
    <s v="47993898900"/>
    <n v="25.35"/>
    <n v="0"/>
  </r>
  <r>
    <d v="2025-03-03T14:15:47"/>
    <n v="3712"/>
    <x v="234"/>
    <d v="2024-12-19T00:00:00"/>
    <d v="2025-09-30T00:00:00"/>
    <x v="0"/>
    <x v="0"/>
    <s v="510200"/>
    <x v="101"/>
    <x v="2"/>
    <s v="KG"/>
    <n v="63.37"/>
    <s v="4560"/>
    <s v="SAFRA 25/26"/>
    <n v="600"/>
    <n v="0"/>
    <n v="600"/>
    <n v="38022"/>
    <m/>
    <s v="SORRISO"/>
    <s v="47993898900"/>
    <n v="63.37"/>
    <n v="0"/>
  </r>
  <r>
    <d v="2025-03-03T14:15:47"/>
    <n v="3712"/>
    <x v="234"/>
    <d v="2024-12-19T00:00:00"/>
    <d v="2025-09-30T00:00:00"/>
    <x v="0"/>
    <x v="0"/>
    <s v="510200"/>
    <x v="59"/>
    <x v="2"/>
    <s v="KG"/>
    <n v="250.57"/>
    <s v="4560"/>
    <s v="SAFRA 25/26"/>
    <n v="175"/>
    <n v="0"/>
    <n v="175"/>
    <n v="43849.75"/>
    <m/>
    <s v="SORRISO"/>
    <s v="47993898900"/>
    <n v="250.57"/>
    <n v="0"/>
  </r>
  <r>
    <d v="2025-03-03T14:15:47"/>
    <n v="3712"/>
    <x v="234"/>
    <d v="2024-12-19T00:00:00"/>
    <d v="2025-09-30T00:00:00"/>
    <x v="0"/>
    <x v="0"/>
    <s v="510200"/>
    <x v="22"/>
    <x v="2"/>
    <s v="KG"/>
    <n v="22.42"/>
    <s v="4560"/>
    <s v="SAFRA 25/26"/>
    <n v="2000"/>
    <n v="0"/>
    <n v="2000"/>
    <n v="44840"/>
    <m/>
    <s v="SORRISO"/>
    <s v="47993898900"/>
    <n v="22.42"/>
    <n v="0"/>
  </r>
  <r>
    <d v="2025-03-03T14:15:47"/>
    <n v="3712"/>
    <x v="234"/>
    <d v="2024-12-19T00:00:00"/>
    <d v="2025-09-30T00:00:00"/>
    <x v="0"/>
    <x v="0"/>
    <s v="510200"/>
    <x v="126"/>
    <x v="2"/>
    <s v="KG"/>
    <n v="25.74"/>
    <s v="4560"/>
    <s v="SAFRA 25/26"/>
    <n v="2000"/>
    <n v="0"/>
    <n v="2000"/>
    <n v="51480"/>
    <m/>
    <s v="SORRISO"/>
    <s v="47993898900"/>
    <n v="25.74"/>
    <n v="0"/>
  </r>
  <r>
    <d v="2025-03-03T14:15:47"/>
    <n v="3712"/>
    <x v="234"/>
    <d v="2024-12-19T00:00:00"/>
    <d v="2025-09-30T00:00:00"/>
    <x v="0"/>
    <x v="1"/>
    <s v="510200"/>
    <x v="25"/>
    <x v="1"/>
    <s v="KG"/>
    <n v="585"/>
    <s v="4560"/>
    <s v="SAFRA 25/26"/>
    <n v="20"/>
    <n v="0"/>
    <n v="20"/>
    <n v="11700"/>
    <m/>
    <s v="SORRISO"/>
    <s v="47993898900"/>
    <n v="585"/>
    <n v="0"/>
  </r>
  <r>
    <d v="2025-03-03T14:15:47"/>
    <n v="3712"/>
    <x v="234"/>
    <d v="2024-12-19T00:00:00"/>
    <d v="2025-09-30T00:00:00"/>
    <x v="0"/>
    <x v="0"/>
    <s v="510200"/>
    <x v="57"/>
    <x v="2"/>
    <s v="KG"/>
    <n v="250.57"/>
    <s v="4560"/>
    <s v="SAFRA 25/26"/>
    <n v="25"/>
    <n v="0"/>
    <n v="25"/>
    <n v="6264.25"/>
    <m/>
    <s v="SORRISO"/>
    <s v="47993898900"/>
    <n v="250.57"/>
    <n v="0"/>
  </r>
  <r>
    <d v="2025-03-03T14:23:51"/>
    <n v="3713"/>
    <x v="234"/>
    <d v="2024-12-19T00:00:00"/>
    <d v="2025-09-30T00:00:00"/>
    <x v="0"/>
    <x v="1"/>
    <s v="510200"/>
    <x v="9"/>
    <x v="1"/>
    <s v="LT"/>
    <n v="43.87"/>
    <s v="4561"/>
    <s v="SAFRINHA 2026"/>
    <n v="180"/>
    <n v="0"/>
    <n v="180"/>
    <n v="7896.5999999999995"/>
    <m/>
    <s v="SORRISO"/>
    <s v="47993898900"/>
    <n v="43.87"/>
    <n v="0"/>
  </r>
  <r>
    <d v="2025-03-03T14:23:51"/>
    <n v="3713"/>
    <x v="234"/>
    <d v="2024-12-19T00:00:00"/>
    <d v="2025-09-30T00:00:00"/>
    <x v="0"/>
    <x v="1"/>
    <s v="510200"/>
    <x v="11"/>
    <x v="1"/>
    <s v="LT"/>
    <n v="292.5"/>
    <s v="4561"/>
    <s v="SAFRINHA 2026"/>
    <n v="180"/>
    <n v="0"/>
    <n v="180"/>
    <n v="52650"/>
    <m/>
    <s v="SORRISO"/>
    <s v="47993898900"/>
    <n v="292.5"/>
    <n v="0"/>
  </r>
  <r>
    <d v="2025-03-03T14:23:51"/>
    <n v="3713"/>
    <x v="234"/>
    <d v="2024-12-19T00:00:00"/>
    <d v="2025-09-30T00:00:00"/>
    <x v="0"/>
    <x v="1"/>
    <s v="510200"/>
    <x v="10"/>
    <x v="1"/>
    <s v="LT"/>
    <n v="292.5"/>
    <s v="4561"/>
    <s v="SAFRINHA 2026"/>
    <n v="180"/>
    <n v="0"/>
    <n v="180"/>
    <n v="52650"/>
    <m/>
    <s v="SORRISO"/>
    <s v="47993898900"/>
    <n v="292.5"/>
    <n v="0"/>
  </r>
  <r>
    <d v="2025-03-03T14:23:51"/>
    <n v="3713"/>
    <x v="234"/>
    <d v="2024-12-19T00:00:00"/>
    <d v="2025-09-30T00:00:00"/>
    <x v="0"/>
    <x v="1"/>
    <s v="510200"/>
    <x v="14"/>
    <x v="1"/>
    <s v="KG"/>
    <n v="360.75"/>
    <s v="4561"/>
    <s v="SAFRINHA 2026"/>
    <n v="180"/>
    <n v="0"/>
    <n v="180"/>
    <n v="64935"/>
    <m/>
    <s v="SORRISO"/>
    <s v="47993898900"/>
    <n v="360.75"/>
    <n v="0"/>
  </r>
  <r>
    <d v="2025-03-03T14:23:51"/>
    <n v="3713"/>
    <x v="234"/>
    <d v="2024-12-19T00:00:00"/>
    <d v="2025-09-30T00:00:00"/>
    <x v="0"/>
    <x v="0"/>
    <s v="510200"/>
    <x v="125"/>
    <x v="2"/>
    <s v="LT"/>
    <n v="219.36666600000001"/>
    <s v="4561"/>
    <s v="SAFRINHA 2026"/>
    <n v="240"/>
    <n v="0"/>
    <n v="240"/>
    <n v="52647.999840000004"/>
    <m/>
    <s v="SORRISO"/>
    <s v="47993898900"/>
    <n v="219.36666600000001"/>
    <n v="0"/>
  </r>
  <r>
    <d v="2025-03-03T14:23:51"/>
    <n v="3713"/>
    <x v="234"/>
    <d v="2024-12-19T00:00:00"/>
    <d v="2025-09-30T00:00:00"/>
    <x v="0"/>
    <x v="0"/>
    <s v="510200"/>
    <x v="58"/>
    <x v="2"/>
    <s v="LT"/>
    <n v="24.37"/>
    <s v="4561"/>
    <s v="SAFRINHA 2026"/>
    <n v="1800"/>
    <n v="0"/>
    <n v="1800"/>
    <n v="43866"/>
    <m/>
    <s v="SORRISO"/>
    <s v="47993898900"/>
    <n v="24.37"/>
    <n v="0"/>
  </r>
  <r>
    <d v="2025-03-03T14:23:51"/>
    <n v="3713"/>
    <x v="234"/>
    <d v="2024-12-19T00:00:00"/>
    <d v="2025-09-30T00:00:00"/>
    <x v="0"/>
    <x v="0"/>
    <s v="510200"/>
    <x v="127"/>
    <x v="2"/>
    <s v="KG"/>
    <n v="92.62"/>
    <s v="4561"/>
    <s v="SAFRINHA 2026"/>
    <n v="270"/>
    <n v="0"/>
    <n v="270"/>
    <n v="25007.4"/>
    <m/>
    <s v="SORRISO"/>
    <s v="47993898900"/>
    <n v="92.62"/>
    <n v="0"/>
  </r>
  <r>
    <d v="2025-03-03T14:23:51"/>
    <n v="3713"/>
    <x v="234"/>
    <d v="2024-12-19T00:00:00"/>
    <d v="2025-09-30T00:00:00"/>
    <x v="0"/>
    <x v="0"/>
    <s v="510200"/>
    <x v="111"/>
    <x v="2"/>
    <s v="KG"/>
    <n v="25.74"/>
    <s v="4561"/>
    <s v="SAFRINHA 2026"/>
    <n v="760"/>
    <n v="0"/>
    <n v="760"/>
    <n v="19562.399999999998"/>
    <m/>
    <s v="SORRISO"/>
    <s v="47993898900"/>
    <n v="25.74"/>
    <n v="0"/>
  </r>
  <r>
    <d v="2025-03-03T14:23:51"/>
    <n v="3713"/>
    <x v="234"/>
    <d v="2024-12-19T00:00:00"/>
    <d v="2025-09-30T00:00:00"/>
    <x v="0"/>
    <x v="0"/>
    <s v="510200"/>
    <x v="57"/>
    <x v="2"/>
    <s v="KG"/>
    <n v="250.57"/>
    <s v="4561"/>
    <s v="SAFRINHA 2026"/>
    <n v="5"/>
    <n v="0"/>
    <n v="5"/>
    <n v="1252.8499999999999"/>
    <m/>
    <s v="SORRISO"/>
    <s v="47993898900"/>
    <n v="250.57"/>
    <n v="0"/>
  </r>
  <r>
    <d v="2025-03-03T14:23:51"/>
    <n v="3713"/>
    <x v="234"/>
    <d v="2024-12-19T00:00:00"/>
    <d v="2025-09-30T00:00:00"/>
    <x v="0"/>
    <x v="0"/>
    <s v="510200"/>
    <x v="95"/>
    <x v="2"/>
    <s v="LT"/>
    <n v="66.742221999999998"/>
    <s v="4561"/>
    <s v="SAFRINHA 2026"/>
    <n v="1000"/>
    <n v="0"/>
    <n v="1000"/>
    <n v="66742.221999999994"/>
    <m/>
    <s v="SORRISO"/>
    <s v="47993898900"/>
    <n v="66.742221999999998"/>
    <n v="0"/>
  </r>
  <r>
    <d v="2025-03-03T14:23:51"/>
    <n v="3713"/>
    <x v="234"/>
    <d v="2024-12-19T00:00:00"/>
    <d v="2025-09-30T00:00:00"/>
    <x v="0"/>
    <x v="0"/>
    <s v="510200"/>
    <x v="59"/>
    <x v="2"/>
    <s v="KG"/>
    <n v="250.57"/>
    <s v="4561"/>
    <s v="SAFRINHA 2026"/>
    <n v="175"/>
    <n v="0"/>
    <n v="175"/>
    <n v="43849.75"/>
    <m/>
    <s v="SORRISO"/>
    <s v="47993898900"/>
    <n v="250.57"/>
    <n v="0"/>
  </r>
  <r>
    <d v="2025-03-03T14:23:51"/>
    <n v="3713"/>
    <x v="234"/>
    <d v="2024-12-19T00:00:00"/>
    <d v="2025-09-30T00:00:00"/>
    <x v="0"/>
    <x v="0"/>
    <s v="510200"/>
    <x v="98"/>
    <x v="2"/>
    <s v="LT"/>
    <n v="219.36666600000001"/>
    <s v="4561"/>
    <s v="SAFRINHA 2026"/>
    <n v="30"/>
    <n v="0"/>
    <n v="30"/>
    <n v="6580.9999800000005"/>
    <m/>
    <s v="SORRISO"/>
    <s v="47993898900"/>
    <n v="219.36666600000001"/>
    <n v="0"/>
  </r>
  <r>
    <d v="2025-03-03T14:23:51"/>
    <n v="3713"/>
    <x v="234"/>
    <d v="2024-12-19T00:00:00"/>
    <d v="2025-09-30T00:00:00"/>
    <x v="0"/>
    <x v="0"/>
    <s v="510200"/>
    <x v="126"/>
    <x v="2"/>
    <s v="KG"/>
    <n v="25.74"/>
    <s v="4561"/>
    <s v="SAFRINHA 2026"/>
    <n v="1040"/>
    <n v="0"/>
    <n v="1040"/>
    <n v="26769.599999999999"/>
    <m/>
    <s v="SORRISO"/>
    <s v="47993898900"/>
    <n v="25.74"/>
    <n v="0"/>
  </r>
  <r>
    <d v="2025-03-03T14:23:51"/>
    <n v="3713"/>
    <x v="234"/>
    <d v="2024-12-19T00:00:00"/>
    <d v="2025-09-30T00:00:00"/>
    <x v="0"/>
    <x v="0"/>
    <s v="510200"/>
    <x v="124"/>
    <x v="2"/>
    <s v="LT"/>
    <n v="66.742221999999998"/>
    <s v="4561"/>
    <s v="SAFRINHA 2026"/>
    <n v="800"/>
    <n v="0"/>
    <n v="800"/>
    <n v="53393.777600000001"/>
    <m/>
    <s v="SORRISO"/>
    <s v="47993898900"/>
    <n v="66.742221999999998"/>
    <n v="0"/>
  </r>
  <r>
    <d v="2025-03-03T14:23:51"/>
    <n v="3713"/>
    <x v="234"/>
    <d v="2024-12-19T00:00:00"/>
    <d v="2025-09-30T00:00:00"/>
    <x v="0"/>
    <x v="0"/>
    <s v="510200"/>
    <x v="128"/>
    <x v="2"/>
    <s v="KG"/>
    <n v="73.12"/>
    <s v="4561"/>
    <s v="SAFRINHA 2026"/>
    <n v="720"/>
    <n v="0"/>
    <n v="720"/>
    <n v="52646.400000000001"/>
    <m/>
    <s v="SORRISO"/>
    <s v="47993898900"/>
    <n v="73.12"/>
    <n v="0"/>
  </r>
  <r>
    <d v="2025-06-06T14:54:06"/>
    <n v="3880"/>
    <x v="234"/>
    <d v="2025-06-06T00:00:00"/>
    <d v="2025-09-30T00:00:00"/>
    <x v="0"/>
    <x v="0"/>
    <s v="510200"/>
    <x v="6"/>
    <x v="0"/>
    <s v="LT"/>
    <n v="68"/>
    <s v="4573"/>
    <s v="SAFRA 25/26"/>
    <n v="1000"/>
    <n v="0"/>
    <n v="1000"/>
    <n v="68000"/>
    <m/>
    <s v="SORRISO"/>
    <s v="47993898900"/>
    <n v="68"/>
    <n v="0"/>
  </r>
  <r>
    <d v="2025-07-08T09:35:53"/>
    <n v="3926"/>
    <x v="234"/>
    <d v="2025-07-08T00:00:00"/>
    <d v="2025-09-30T00:00:00"/>
    <x v="0"/>
    <x v="1"/>
    <s v="510200"/>
    <x v="25"/>
    <x v="1"/>
    <s v="KG"/>
    <n v="585"/>
    <s v="5460"/>
    <s v="SAFRA 25/26"/>
    <n v="20"/>
    <n v="0"/>
    <n v="20"/>
    <n v="11700"/>
    <m/>
    <s v="SORRISO"/>
    <s v="47993898900"/>
    <n v="585"/>
    <n v="0"/>
  </r>
  <r>
    <d v="2026-02-15T09:14:46"/>
    <n v="4564"/>
    <x v="234"/>
    <d v="2026-02-15T00:00:00"/>
    <d v="2026-03-30T00:00:00"/>
    <x v="0"/>
    <x v="1"/>
    <s v="510200"/>
    <x v="14"/>
    <x v="1"/>
    <s v="KG"/>
    <n v="360.75"/>
    <s v="6080"/>
    <s v="SAFRINHA 2026"/>
    <n v="20"/>
    <n v="0"/>
    <n v="20"/>
    <n v="7215"/>
    <m/>
    <s v="SORRISO"/>
    <s v="47993898900"/>
    <n v="360.75"/>
    <n v="0"/>
  </r>
  <r>
    <d v="2026-02-15T09:14:46"/>
    <n v="4564"/>
    <x v="234"/>
    <d v="2026-02-15T00:00:00"/>
    <d v="2026-03-30T00:00:00"/>
    <x v="0"/>
    <x v="0"/>
    <s v="510200"/>
    <x v="12"/>
    <x v="0"/>
    <s v="LT"/>
    <n v="219.4"/>
    <s v="6080"/>
    <s v="SAFRINHA 2026"/>
    <n v="30"/>
    <n v="0"/>
    <n v="30"/>
    <n v="6582"/>
    <m/>
    <s v="SORRISO"/>
    <s v="47993898900"/>
    <n v="219.4"/>
    <n v="0"/>
  </r>
  <r>
    <d v="2026-02-15T09:14:46"/>
    <n v="4564"/>
    <x v="234"/>
    <d v="2026-02-15T00:00:00"/>
    <d v="2026-03-30T00:00:00"/>
    <x v="0"/>
    <x v="1"/>
    <s v="510200"/>
    <x v="9"/>
    <x v="1"/>
    <s v="LT"/>
    <n v="43.87"/>
    <s v="6080"/>
    <s v="SAFRINHA 2026"/>
    <n v="21"/>
    <n v="0"/>
    <n v="21"/>
    <n v="921.27"/>
    <m/>
    <s v="SORRISO"/>
    <s v="47993898900"/>
    <n v="43.87"/>
    <n v="0"/>
  </r>
  <r>
    <d v="2026-02-15T09:14:46"/>
    <n v="4564"/>
    <x v="234"/>
    <d v="2026-02-15T00:00:00"/>
    <d v="2026-03-30T00:00:00"/>
    <x v="0"/>
    <x v="1"/>
    <s v="510200"/>
    <x v="11"/>
    <x v="1"/>
    <s v="LT"/>
    <n v="292.5"/>
    <s v="6080"/>
    <s v="SAFRINHA 2026"/>
    <n v="20"/>
    <n v="0"/>
    <n v="20"/>
    <n v="5850"/>
    <m/>
    <s v="SORRISO"/>
    <s v="47993898900"/>
    <n v="292.5"/>
    <n v="0"/>
  </r>
  <r>
    <d v="2026-02-15T09:14:46"/>
    <n v="4564"/>
    <x v="234"/>
    <d v="2026-02-15T00:00:00"/>
    <d v="2026-03-30T00:00:00"/>
    <x v="0"/>
    <x v="1"/>
    <s v="510200"/>
    <x v="10"/>
    <x v="1"/>
    <s v="LT"/>
    <n v="292.5"/>
    <s v="6080"/>
    <s v="SAFRINHA 2026"/>
    <n v="20"/>
    <n v="0"/>
    <n v="20"/>
    <n v="5850"/>
    <m/>
    <s v="SORRISO"/>
    <s v="47993898900"/>
    <n v="292.5"/>
    <n v="0"/>
  </r>
  <r>
    <d v="2026-02-19T10:18:34"/>
    <n v="4584"/>
    <x v="234"/>
    <d v="2026-02-19T00:00:00"/>
    <d v="2026-04-30T00:00:00"/>
    <x v="0"/>
    <x v="0"/>
    <s v="510200"/>
    <x v="2"/>
    <x v="0"/>
    <s v="KG"/>
    <n v="22"/>
    <s v="6093"/>
    <s v="SAFRINHA 2026"/>
    <n v="300"/>
    <n v="0"/>
    <n v="300"/>
    <n v="6600"/>
    <m/>
    <s v="SORRISO"/>
    <s v="47993898900"/>
    <n v="22"/>
    <n v="0"/>
  </r>
  <r>
    <d v="2026-02-19T10:18:34"/>
    <n v="4584"/>
    <x v="234"/>
    <d v="2026-02-19T00:00:00"/>
    <d v="2026-04-30T00:00:00"/>
    <x v="0"/>
    <x v="0"/>
    <s v="510200"/>
    <x v="43"/>
    <x v="0"/>
    <s v="KG"/>
    <n v="58"/>
    <s v="6093"/>
    <s v="SAFRINHA 2026"/>
    <n v="80"/>
    <n v="0"/>
    <n v="80"/>
    <n v="4640"/>
    <m/>
    <s v="SORRISO"/>
    <s v="47993898900"/>
    <n v="58"/>
    <n v="0"/>
  </r>
  <r>
    <d v="2026-02-19T10:18:34"/>
    <n v="4584"/>
    <x v="234"/>
    <d v="2026-02-19T00:00:00"/>
    <d v="2026-04-30T00:00:00"/>
    <x v="0"/>
    <x v="0"/>
    <s v="510200"/>
    <x v="78"/>
    <x v="0"/>
    <s v="KG"/>
    <n v="32"/>
    <s v="6093"/>
    <s v="SAFRINHA 2026"/>
    <n v="80"/>
    <n v="0"/>
    <n v="80"/>
    <n v="2560"/>
    <m/>
    <s v="SORRISO"/>
    <s v="47993898900"/>
    <n v="32"/>
    <n v="0"/>
  </r>
  <r>
    <d v="2026-02-19T10:18:34"/>
    <n v="4584"/>
    <x v="234"/>
    <d v="2026-02-19T00:00:00"/>
    <d v="2026-04-30T00:00:00"/>
    <x v="0"/>
    <x v="0"/>
    <s v="510200"/>
    <x v="3"/>
    <x v="0"/>
    <s v="LT"/>
    <n v="23"/>
    <s v="6093"/>
    <s v="SAFRINHA 2026"/>
    <n v="200"/>
    <n v="0"/>
    <n v="200"/>
    <n v="4600"/>
    <m/>
    <s v="SORRISO"/>
    <s v="47993898900"/>
    <n v="23"/>
    <n v="0"/>
  </r>
  <r>
    <d v="2026-02-19T10:18:34"/>
    <n v="4584"/>
    <x v="234"/>
    <d v="2026-02-19T00:00:00"/>
    <d v="2026-04-30T00:00:00"/>
    <x v="0"/>
    <x v="1"/>
    <s v="510200"/>
    <x v="48"/>
    <x v="1"/>
    <s v="LT"/>
    <n v="65"/>
    <s v="6093"/>
    <s v="SAFRINHA 2026"/>
    <n v="200"/>
    <n v="0"/>
    <n v="200"/>
    <n v="13000"/>
    <m/>
    <s v="SORRISO"/>
    <s v="47993898900"/>
    <n v="65"/>
    <n v="0"/>
  </r>
  <r>
    <d v="2026-02-19T10:18:34"/>
    <n v="4584"/>
    <x v="234"/>
    <d v="2026-02-19T00:00:00"/>
    <d v="2026-04-30T00:00:00"/>
    <x v="0"/>
    <x v="0"/>
    <s v="510200"/>
    <x v="1"/>
    <x v="0"/>
    <s v="LT"/>
    <n v="140"/>
    <s v="6093"/>
    <s v="SAFRINHA 2026"/>
    <n v="40"/>
    <n v="0"/>
    <n v="40"/>
    <n v="5600"/>
    <m/>
    <s v="SORRISO"/>
    <s v="47993898900"/>
    <n v="140"/>
    <n v="0"/>
  </r>
  <r>
    <d v="2025-04-22T07:41:22"/>
    <n v="197"/>
    <x v="235"/>
    <d v="2025-04-22T00:00:00"/>
    <d v="2026-04-30T00:00:00"/>
    <x v="2"/>
    <x v="2"/>
    <s v="510200"/>
    <x v="14"/>
    <x v="1"/>
    <s v="KG"/>
    <n v="350"/>
    <s v="5152"/>
    <s v="SAFRA 25/26"/>
    <n v="210"/>
    <n v="0"/>
    <n v="210"/>
    <n v="73500"/>
    <m/>
    <s v="ITAUBA"/>
    <s v="18267882987"/>
    <n v="350"/>
    <n v="0"/>
  </r>
  <r>
    <d v="2025-04-22T07:41:22"/>
    <n v="197"/>
    <x v="235"/>
    <d v="2025-04-22T00:00:00"/>
    <d v="2026-04-30T00:00:00"/>
    <x v="2"/>
    <x v="2"/>
    <s v="510200"/>
    <x v="10"/>
    <x v="1"/>
    <s v="LT"/>
    <n v="270"/>
    <s v="5152"/>
    <s v="SAFRA 25/26"/>
    <n v="210"/>
    <n v="0"/>
    <n v="210"/>
    <n v="56700"/>
    <m/>
    <s v="ITAUBA"/>
    <s v="18267882987"/>
    <n v="270"/>
    <n v="0"/>
  </r>
  <r>
    <d v="2025-04-22T07:41:22"/>
    <n v="197"/>
    <x v="235"/>
    <d v="2025-04-22T00:00:00"/>
    <d v="2026-04-30T00:00:00"/>
    <x v="2"/>
    <x v="2"/>
    <s v="510200"/>
    <x v="11"/>
    <x v="1"/>
    <s v="LT"/>
    <n v="270"/>
    <s v="5152"/>
    <s v="SAFRA 25/26"/>
    <n v="210"/>
    <n v="0"/>
    <n v="210"/>
    <n v="56700"/>
    <m/>
    <s v="ITAUBA"/>
    <s v="18267882987"/>
    <n v="270"/>
    <n v="0"/>
  </r>
  <r>
    <d v="2025-04-22T07:41:22"/>
    <n v="197"/>
    <x v="235"/>
    <d v="2025-04-22T00:00:00"/>
    <d v="2026-04-30T00:00:00"/>
    <x v="2"/>
    <x v="0"/>
    <s v="510200"/>
    <x v="64"/>
    <x v="2"/>
    <s v="LT"/>
    <n v="9.4600000000000009"/>
    <s v="5152"/>
    <s v="SAFRA 25/26"/>
    <n v="3500"/>
    <n v="0"/>
    <n v="3500"/>
    <n v="33110"/>
    <m/>
    <s v="ITAUBA"/>
    <s v="18267882987"/>
    <n v="9.4600000000000009"/>
    <n v="0"/>
  </r>
  <r>
    <d v="2025-09-16T10:35:31"/>
    <n v="297"/>
    <x v="235"/>
    <d v="2025-09-16T00:00:00"/>
    <d v="2026-08-30T00:00:00"/>
    <x v="2"/>
    <x v="2"/>
    <s v="510200"/>
    <x v="11"/>
    <x v="1"/>
    <s v="LT"/>
    <n v="270"/>
    <s v="102"/>
    <s v="SAFRINHA 2026"/>
    <n v="100"/>
    <n v="0"/>
    <n v="100"/>
    <n v="27000"/>
    <m/>
    <s v="ITAUBA"/>
    <s v="18267882987"/>
    <n v="270"/>
    <n v="0"/>
  </r>
  <r>
    <d v="2025-09-16T10:35:31"/>
    <n v="297"/>
    <x v="235"/>
    <d v="2025-09-16T00:00:00"/>
    <d v="2026-08-30T00:00:00"/>
    <x v="2"/>
    <x v="2"/>
    <s v="510200"/>
    <x v="14"/>
    <x v="1"/>
    <s v="KG"/>
    <n v="350"/>
    <s v="102"/>
    <s v="SAFRINHA 2026"/>
    <n v="100"/>
    <n v="0"/>
    <n v="100"/>
    <n v="35000"/>
    <m/>
    <s v="ITAUBA"/>
    <s v="18267882987"/>
    <n v="350"/>
    <n v="0"/>
  </r>
  <r>
    <d v="2025-09-16T10:35:31"/>
    <n v="297"/>
    <x v="235"/>
    <d v="2025-09-16T00:00:00"/>
    <d v="2026-08-30T00:00:00"/>
    <x v="2"/>
    <x v="2"/>
    <s v="510200"/>
    <x v="10"/>
    <x v="1"/>
    <s v="LT"/>
    <n v="270"/>
    <s v="102"/>
    <s v="SAFRINHA 2026"/>
    <n v="100"/>
    <n v="0"/>
    <n v="100"/>
    <n v="27000"/>
    <m/>
    <s v="ITAUBA"/>
    <s v="18267882987"/>
    <n v="270"/>
    <n v="0"/>
  </r>
  <r>
    <d v="2025-12-22T10:38:17"/>
    <n v="463"/>
    <x v="235"/>
    <d v="2025-12-22T00:00:00"/>
    <d v="2026-04-30T00:00:00"/>
    <x v="2"/>
    <x v="0"/>
    <s v="510200"/>
    <x v="64"/>
    <x v="2"/>
    <s v="LT"/>
    <n v="9.4600000000000009"/>
    <s v="467"/>
    <s v="SAFRA 25/26"/>
    <n v="1000"/>
    <n v="0"/>
    <n v="1000"/>
    <n v="9460"/>
    <m/>
    <s v="ITAUBA"/>
    <s v="18267882987"/>
    <n v="9.4600000000000009"/>
    <n v="0"/>
  </r>
  <r>
    <d v="2026-01-16T17:25:45"/>
    <n v="505"/>
    <x v="235"/>
    <d v="2026-01-16T00:00:00"/>
    <d v="2026-09-30T00:00:00"/>
    <x v="2"/>
    <x v="0"/>
    <s v="510200"/>
    <x v="64"/>
    <x v="2"/>
    <s v="LT"/>
    <n v="10.5"/>
    <s v="144"/>
    <s v="SAFRINHA 2026"/>
    <n v="1500"/>
    <n v="0"/>
    <n v="1500"/>
    <n v="15750"/>
    <m/>
    <s v="ITAUBA"/>
    <s v="18267882987"/>
    <n v="10.5"/>
    <n v="0"/>
  </r>
  <r>
    <d v="2026-01-16T17:25:45"/>
    <n v="505"/>
    <x v="235"/>
    <d v="2026-01-16T00:00:00"/>
    <d v="2026-09-30T00:00:00"/>
    <x v="2"/>
    <x v="2"/>
    <s v="510200"/>
    <x v="9"/>
    <x v="1"/>
    <s v="LT"/>
    <n v="50"/>
    <s v="144"/>
    <s v="SAFRINHA 2026"/>
    <n v="243"/>
    <n v="0"/>
    <n v="243"/>
    <n v="12150"/>
    <m/>
    <s v="ITAUBA"/>
    <s v="18267882987"/>
    <n v="50"/>
    <n v="0"/>
  </r>
  <r>
    <d v="2026-02-09T14:20:01"/>
    <n v="537"/>
    <x v="235"/>
    <d v="2026-02-09T00:00:00"/>
    <d v="2026-09-30T00:00:00"/>
    <x v="2"/>
    <x v="0"/>
    <s v="510200"/>
    <x v="7"/>
    <x v="0"/>
    <s v="LT"/>
    <n v="60"/>
    <s v="432"/>
    <s v="SAFRINHA 2026"/>
    <n v="140"/>
    <n v="0"/>
    <n v="140"/>
    <n v="8400"/>
    <m/>
    <s v="ITAUBA"/>
    <s v="18267882987"/>
    <n v="60"/>
    <n v="0"/>
  </r>
  <r>
    <d v="2026-02-20T09:43:59"/>
    <n v="558"/>
    <x v="235"/>
    <d v="2026-02-20T00:00:00"/>
    <d v="2026-09-30T00:00:00"/>
    <x v="2"/>
    <x v="0"/>
    <s v="510200"/>
    <x v="64"/>
    <x v="2"/>
    <s v="LT"/>
    <n v="10.5"/>
    <s v="446"/>
    <s v="SAFRINHA 2026"/>
    <n v="675"/>
    <n v="0"/>
    <n v="675"/>
    <n v="7087.5"/>
    <m/>
    <s v="ITAUBA"/>
    <s v="18267882987"/>
    <n v="10.5"/>
    <n v="0"/>
  </r>
  <r>
    <d v="2025-11-10T15:25:09"/>
    <n v="4255"/>
    <x v="236"/>
    <d v="2025-11-10T00:00:00"/>
    <d v="2025-12-10T00:00:00"/>
    <x v="3"/>
    <x v="1"/>
    <s v="510200"/>
    <x v="9"/>
    <x v="1"/>
    <s v="LT"/>
    <n v="36.799999999999997"/>
    <s v="5807"/>
    <s v="SAFRA 25/26"/>
    <n v="3"/>
    <n v="0"/>
    <n v="3"/>
    <n v="110.39999999999999"/>
    <m/>
    <s v="NOVA MUTUM"/>
    <s v="57167060100"/>
    <n v="36.799999999999997"/>
    <n v="0"/>
  </r>
  <r>
    <d v="2025-08-25T10:33:21"/>
    <n v="3992"/>
    <x v="237"/>
    <d v="2025-08-25T00:00:00"/>
    <d v="2026-03-30T00:00:00"/>
    <x v="3"/>
    <x v="0"/>
    <s v="510200"/>
    <x v="70"/>
    <x v="2"/>
    <s v="LT"/>
    <n v="35"/>
    <s v="5559"/>
    <s v="SAFRA 25/26"/>
    <n v="35"/>
    <n v="0"/>
    <n v="35"/>
    <n v="1225"/>
    <m/>
    <s v="NOVA UBIRATA"/>
    <s v="75810514987"/>
    <n v="35"/>
    <n v="0"/>
  </r>
  <r>
    <d v="2025-08-25T10:33:21"/>
    <n v="3992"/>
    <x v="237"/>
    <d v="2025-08-25T00:00:00"/>
    <d v="2026-03-30T00:00:00"/>
    <x v="3"/>
    <x v="0"/>
    <s v="510200"/>
    <x v="71"/>
    <x v="2"/>
    <s v="LT"/>
    <n v="18.7806"/>
    <s v="5559"/>
    <s v="SAFRA 25/26"/>
    <n v="50"/>
    <n v="0"/>
    <n v="50"/>
    <n v="939.03"/>
    <m/>
    <s v="NOVA UBIRATA"/>
    <s v="75810514987"/>
    <n v="18.7806"/>
    <n v="0"/>
  </r>
  <r>
    <d v="2025-08-25T10:33:21"/>
    <n v="3992"/>
    <x v="237"/>
    <d v="2025-08-25T00:00:00"/>
    <d v="2026-03-30T00:00:00"/>
    <x v="3"/>
    <x v="0"/>
    <s v="510200"/>
    <x v="72"/>
    <x v="2"/>
    <s v="KG"/>
    <n v="330"/>
    <s v="5559"/>
    <s v="SAFRA 25/26"/>
    <n v="18"/>
    <n v="0"/>
    <n v="18"/>
    <n v="5940"/>
    <m/>
    <s v="NOVA UBIRATA"/>
    <s v="75810514987"/>
    <n v="330"/>
    <n v="0"/>
  </r>
  <r>
    <d v="2025-11-24T17:00:50"/>
    <n v="423"/>
    <x v="238"/>
    <d v="2025-11-24T00:00:00"/>
    <d v="2025-11-25T00:00:00"/>
    <x v="1"/>
    <x v="0"/>
    <s v="510200"/>
    <x v="46"/>
    <x v="0"/>
    <s v="LT"/>
    <n v="17"/>
    <s v="182"/>
    <s v="SAFRA 25/26"/>
    <n v="480"/>
    <n v="0"/>
    <n v="480"/>
    <n v="8160"/>
    <m/>
    <s v="ITAUBA"/>
    <s v="06130089015"/>
    <n v="17"/>
    <n v="0"/>
  </r>
  <r>
    <d v="2025-10-11T09:20:54"/>
    <n v="4149"/>
    <x v="239"/>
    <d v="2025-10-10T00:00:00"/>
    <d v="2026-04-30T00:00:00"/>
    <x v="5"/>
    <x v="0"/>
    <s v="510200"/>
    <x v="0"/>
    <x v="0"/>
    <s v="LT"/>
    <n v="17"/>
    <s v="5392"/>
    <s v="SAFRA 25/26"/>
    <n v="880"/>
    <n v="0"/>
    <n v="880"/>
    <n v="14960"/>
    <m/>
    <s v="PARANATINGA"/>
    <s v="20451830920"/>
    <n v="17"/>
    <n v="0"/>
  </r>
  <r>
    <d v="2025-10-11T09:20:54"/>
    <n v="4149"/>
    <x v="239"/>
    <d v="2025-10-10T00:00:00"/>
    <d v="2026-04-30T00:00:00"/>
    <x v="5"/>
    <x v="0"/>
    <s v="510200"/>
    <x v="2"/>
    <x v="0"/>
    <s v="KG"/>
    <n v="22"/>
    <s v="5392"/>
    <s v="SAFRA 25/26"/>
    <n v="1320"/>
    <n v="0"/>
    <n v="1320"/>
    <n v="29040"/>
    <m/>
    <s v="PARANATINGA"/>
    <s v="20451830920"/>
    <n v="22"/>
    <n v="0"/>
  </r>
  <r>
    <d v="2025-10-11T09:20:54"/>
    <n v="4149"/>
    <x v="239"/>
    <d v="2025-10-10T00:00:00"/>
    <d v="2026-04-30T00:00:00"/>
    <x v="5"/>
    <x v="0"/>
    <s v="510200"/>
    <x v="39"/>
    <x v="0"/>
    <s v="LT"/>
    <n v="20"/>
    <s v="5392"/>
    <s v="SAFRA 25/26"/>
    <n v="880"/>
    <n v="0"/>
    <n v="880"/>
    <n v="17600"/>
    <m/>
    <s v="PARANATINGA"/>
    <s v="20451830920"/>
    <n v="20"/>
    <n v="0"/>
  </r>
  <r>
    <d v="2025-10-11T09:20:54"/>
    <n v="4149"/>
    <x v="239"/>
    <d v="2025-10-10T00:00:00"/>
    <d v="2026-04-30T00:00:00"/>
    <x v="5"/>
    <x v="0"/>
    <s v="510200"/>
    <x v="5"/>
    <x v="0"/>
    <s v="KG"/>
    <n v="25"/>
    <s v="5392"/>
    <s v="SAFRA 25/26"/>
    <n v="880"/>
    <n v="0"/>
    <n v="880"/>
    <n v="22000"/>
    <m/>
    <s v="PARANATINGA"/>
    <s v="20451830920"/>
    <n v="25"/>
    <n v="0"/>
  </r>
  <r>
    <d v="2025-10-11T09:20:54"/>
    <n v="4149"/>
    <x v="239"/>
    <d v="2025-10-10T00:00:00"/>
    <d v="2026-04-30T00:00:00"/>
    <x v="5"/>
    <x v="0"/>
    <s v="510200"/>
    <x v="8"/>
    <x v="0"/>
    <s v="KG"/>
    <n v="85"/>
    <s v="5392"/>
    <s v="SAFRA 25/26"/>
    <n v="132"/>
    <n v="0"/>
    <n v="132"/>
    <n v="11220"/>
    <m/>
    <s v="PARANATINGA"/>
    <s v="20451830920"/>
    <n v="85"/>
    <n v="0"/>
  </r>
  <r>
    <d v="2025-10-11T09:20:54"/>
    <n v="4149"/>
    <x v="239"/>
    <d v="2025-10-10T00:00:00"/>
    <d v="2026-04-30T00:00:00"/>
    <x v="5"/>
    <x v="0"/>
    <s v="510200"/>
    <x v="1"/>
    <x v="0"/>
    <s v="LT"/>
    <n v="155"/>
    <s v="5392"/>
    <s v="SAFRA 25/26"/>
    <n v="180"/>
    <n v="0"/>
    <n v="180"/>
    <n v="27900"/>
    <m/>
    <s v="PARANATINGA"/>
    <s v="20451830920"/>
    <n v="155"/>
    <n v="0"/>
  </r>
  <r>
    <d v="2025-10-11T09:20:54"/>
    <n v="4149"/>
    <x v="239"/>
    <d v="2025-10-10T00:00:00"/>
    <d v="2026-04-30T00:00:00"/>
    <x v="5"/>
    <x v="0"/>
    <s v="510200"/>
    <x v="7"/>
    <x v="0"/>
    <s v="LT"/>
    <n v="69"/>
    <s v="5392"/>
    <s v="SAFRA 25/26"/>
    <n v="135"/>
    <n v="0"/>
    <n v="135"/>
    <n v="9315"/>
    <m/>
    <s v="PARANATINGA"/>
    <s v="20451830920"/>
    <n v="69"/>
    <n v="0"/>
  </r>
  <r>
    <d v="2025-10-11T09:20:54"/>
    <n v="4149"/>
    <x v="239"/>
    <d v="2025-10-10T00:00:00"/>
    <d v="2026-04-30T00:00:00"/>
    <x v="5"/>
    <x v="0"/>
    <s v="510200"/>
    <x v="6"/>
    <x v="0"/>
    <s v="LT"/>
    <n v="69"/>
    <s v="5392"/>
    <s v="SAFRA 25/26"/>
    <n v="220"/>
    <n v="0"/>
    <n v="220"/>
    <n v="15180"/>
    <m/>
    <s v="PARANATINGA"/>
    <s v="20451830920"/>
    <n v="69"/>
    <n v="0"/>
  </r>
  <r>
    <d v="2025-10-11T09:20:54"/>
    <n v="4149"/>
    <x v="239"/>
    <d v="2025-10-10T00:00:00"/>
    <d v="2026-04-30T00:00:00"/>
    <x v="5"/>
    <x v="0"/>
    <s v="510200"/>
    <x v="64"/>
    <x v="2"/>
    <s v="LT"/>
    <n v="12"/>
    <s v="5392"/>
    <s v="SAFRA 25/26"/>
    <n v="1325"/>
    <n v="0"/>
    <n v="1325"/>
    <n v="15900"/>
    <m/>
    <s v="PARANATINGA"/>
    <s v="20451830920"/>
    <n v="12"/>
    <n v="0"/>
  </r>
  <r>
    <d v="2025-10-11T09:20:54"/>
    <n v="4149"/>
    <x v="239"/>
    <d v="2025-10-10T00:00:00"/>
    <d v="2026-04-30T00:00:00"/>
    <x v="5"/>
    <x v="0"/>
    <s v="510200"/>
    <x v="46"/>
    <x v="0"/>
    <s v="LT"/>
    <n v="16.5"/>
    <s v="5392"/>
    <s v="SAFRA 25/26"/>
    <n v="880"/>
    <n v="0"/>
    <n v="880"/>
    <n v="14520"/>
    <m/>
    <s v="PARANATINGA"/>
    <s v="20451830920"/>
    <n v="16.5"/>
    <n v="0"/>
  </r>
  <r>
    <d v="2025-10-13T08:43:47"/>
    <n v="4152"/>
    <x v="239"/>
    <d v="2025-10-10T00:00:00"/>
    <d v="2026-04-30T00:00:00"/>
    <x v="5"/>
    <x v="0"/>
    <s v="510200"/>
    <x v="12"/>
    <x v="0"/>
    <s v="LT"/>
    <n v="235"/>
    <s v="5393"/>
    <s v="SAFRA 25/26"/>
    <n v="70"/>
    <n v="0"/>
    <n v="70"/>
    <n v="16450"/>
    <m/>
    <s v="PARANATINGA"/>
    <s v="20451830920"/>
    <n v="235"/>
    <n v="0"/>
  </r>
  <r>
    <d v="2025-10-13T08:43:47"/>
    <n v="4152"/>
    <x v="239"/>
    <d v="2025-10-10T00:00:00"/>
    <d v="2026-04-30T00:00:00"/>
    <x v="5"/>
    <x v="1"/>
    <s v="510200"/>
    <x v="18"/>
    <x v="1"/>
    <s v="KG"/>
    <n v="185"/>
    <s v="5393"/>
    <s v="SAFRA 25/26"/>
    <n v="88"/>
    <n v="0"/>
    <n v="88"/>
    <n v="16280"/>
    <m/>
    <s v="PARANATINGA"/>
    <s v="20451830920"/>
    <n v="185"/>
    <n v="0"/>
  </r>
  <r>
    <d v="2025-10-13T08:43:47"/>
    <n v="4152"/>
    <x v="239"/>
    <d v="2025-10-10T00:00:00"/>
    <d v="2026-04-30T00:00:00"/>
    <x v="5"/>
    <x v="1"/>
    <s v="510200"/>
    <x v="10"/>
    <x v="1"/>
    <s v="LT"/>
    <n v="341"/>
    <s v="5393"/>
    <s v="SAFRA 25/26"/>
    <n v="40"/>
    <n v="0"/>
    <n v="40"/>
    <n v="13640"/>
    <m/>
    <s v="PARANATINGA"/>
    <s v="20451830920"/>
    <n v="341"/>
    <n v="0"/>
  </r>
  <r>
    <d v="2025-10-13T08:43:47"/>
    <n v="4152"/>
    <x v="239"/>
    <d v="2025-10-10T00:00:00"/>
    <d v="2026-04-30T00:00:00"/>
    <x v="5"/>
    <x v="1"/>
    <s v="510200"/>
    <x v="11"/>
    <x v="1"/>
    <s v="LT"/>
    <n v="341"/>
    <s v="5393"/>
    <s v="SAFRA 25/26"/>
    <n v="40"/>
    <n v="0"/>
    <n v="40"/>
    <n v="13640"/>
    <m/>
    <s v="PARANATINGA"/>
    <s v="20451830920"/>
    <n v="341"/>
    <n v="0"/>
  </r>
  <r>
    <d v="2025-10-13T08:43:47"/>
    <n v="4152"/>
    <x v="239"/>
    <d v="2025-10-10T00:00:00"/>
    <d v="2026-04-30T00:00:00"/>
    <x v="5"/>
    <x v="1"/>
    <s v="510200"/>
    <x v="9"/>
    <x v="1"/>
    <s v="LT"/>
    <n v="45"/>
    <s v="5393"/>
    <s v="SAFRA 25/26"/>
    <n v="45"/>
    <n v="0"/>
    <n v="45"/>
    <n v="2025"/>
    <m/>
    <s v="PARANATINGA"/>
    <s v="20451830920"/>
    <n v="45"/>
    <n v="0"/>
  </r>
  <r>
    <d v="2025-10-13T08:43:47"/>
    <n v="4152"/>
    <x v="239"/>
    <d v="2025-10-10T00:00:00"/>
    <d v="2026-04-30T00:00:00"/>
    <x v="5"/>
    <x v="1"/>
    <s v="510200"/>
    <x v="13"/>
    <x v="1"/>
    <s v="LT"/>
    <n v="45"/>
    <s v="5393"/>
    <s v="SAFRA 25/26"/>
    <n v="132"/>
    <n v="0"/>
    <n v="132"/>
    <n v="5940"/>
    <m/>
    <s v="PARANATINGA"/>
    <s v="20451830920"/>
    <n v="45"/>
    <n v="0"/>
  </r>
  <r>
    <d v="2025-11-17T13:30:19"/>
    <n v="4276"/>
    <x v="239"/>
    <d v="2025-11-17T00:00:00"/>
    <d v="2026-04-30T00:00:00"/>
    <x v="5"/>
    <x v="1"/>
    <s v="510200"/>
    <x v="11"/>
    <x v="1"/>
    <s v="LT"/>
    <n v="341"/>
    <s v="5779"/>
    <s v="SAFRA 25/26"/>
    <n v="5"/>
    <n v="0"/>
    <n v="5"/>
    <n v="1705"/>
    <m/>
    <s v="PARANATINGA"/>
    <s v="20451830920"/>
    <n v="341"/>
    <n v="0"/>
  </r>
  <r>
    <d v="2025-11-17T13:30:19"/>
    <n v="4276"/>
    <x v="239"/>
    <d v="2025-11-17T00:00:00"/>
    <d v="2026-04-30T00:00:00"/>
    <x v="5"/>
    <x v="1"/>
    <s v="510200"/>
    <x v="10"/>
    <x v="1"/>
    <s v="LT"/>
    <n v="341"/>
    <s v="5779"/>
    <s v="SAFRA 25/26"/>
    <n v="5"/>
    <n v="0"/>
    <n v="5"/>
    <n v="1705"/>
    <m/>
    <s v="PARANATINGA"/>
    <s v="20451830920"/>
    <n v="341"/>
    <n v="0"/>
  </r>
  <r>
    <d v="2025-11-17T13:30:19"/>
    <n v="4276"/>
    <x v="239"/>
    <d v="2025-11-17T00:00:00"/>
    <d v="2026-04-30T00:00:00"/>
    <x v="5"/>
    <x v="1"/>
    <s v="510200"/>
    <x v="13"/>
    <x v="1"/>
    <s v="LT"/>
    <n v="45"/>
    <s v="5779"/>
    <s v="SAFRA 25/26"/>
    <n v="15"/>
    <n v="0"/>
    <n v="15"/>
    <n v="675"/>
    <m/>
    <s v="PARANATINGA"/>
    <s v="20451830920"/>
    <n v="45"/>
    <n v="0"/>
  </r>
  <r>
    <d v="2025-11-17T13:30:19"/>
    <n v="4276"/>
    <x v="239"/>
    <d v="2025-11-17T00:00:00"/>
    <d v="2026-04-30T00:00:00"/>
    <x v="5"/>
    <x v="1"/>
    <s v="510200"/>
    <x v="9"/>
    <x v="1"/>
    <s v="LT"/>
    <n v="45"/>
    <s v="5779"/>
    <s v="SAFRA 25/26"/>
    <n v="6"/>
    <n v="0"/>
    <n v="6"/>
    <n v="270"/>
    <m/>
    <s v="PARANATINGA"/>
    <s v="20451830920"/>
    <n v="45"/>
    <n v="0"/>
  </r>
  <r>
    <d v="2025-11-17T13:30:19"/>
    <n v="4276"/>
    <x v="239"/>
    <d v="2025-11-17T00:00:00"/>
    <d v="2026-04-30T00:00:00"/>
    <x v="5"/>
    <x v="1"/>
    <s v="510200"/>
    <x v="18"/>
    <x v="1"/>
    <s v="KG"/>
    <n v="185"/>
    <s v="5779"/>
    <s v="SAFRA 25/26"/>
    <n v="10"/>
    <n v="0"/>
    <n v="10"/>
    <n v="1850"/>
    <m/>
    <s v="PARANATINGA"/>
    <s v="20451830920"/>
    <n v="185"/>
    <n v="0"/>
  </r>
  <r>
    <d v="2025-11-17T13:30:19"/>
    <n v="4276"/>
    <x v="239"/>
    <d v="2025-11-17T00:00:00"/>
    <d v="2026-04-30T00:00:00"/>
    <x v="5"/>
    <x v="0"/>
    <s v="510200"/>
    <x v="12"/>
    <x v="0"/>
    <s v="LT"/>
    <n v="235"/>
    <s v="5779"/>
    <s v="SAFRA 25/26"/>
    <n v="10"/>
    <n v="0"/>
    <n v="10"/>
    <n v="2350"/>
    <m/>
    <s v="PARANATINGA"/>
    <s v="20451830920"/>
    <n v="235"/>
    <n v="0"/>
  </r>
  <r>
    <d v="2026-02-03T14:43:07"/>
    <n v="4522"/>
    <x v="239"/>
    <d v="2026-02-03T00:00:00"/>
    <d v="2026-08-30T00:00:00"/>
    <x v="5"/>
    <x v="0"/>
    <s v="510200"/>
    <x v="7"/>
    <x v="0"/>
    <s v="LT"/>
    <n v="69"/>
    <s v="6041"/>
    <s v="SAFRINHA 2026"/>
    <n v="45"/>
    <n v="0"/>
    <n v="45"/>
    <n v="3105"/>
    <m/>
    <s v="PARANATINGA"/>
    <s v="20451830920"/>
    <n v="69"/>
    <n v="0"/>
  </r>
  <r>
    <d v="2026-02-11T08:24:04"/>
    <n v="4551"/>
    <x v="239"/>
    <d v="2026-02-09T00:00:00"/>
    <d v="2026-08-30T00:00:00"/>
    <x v="5"/>
    <x v="0"/>
    <s v="510200"/>
    <x v="7"/>
    <x v="0"/>
    <s v="LT"/>
    <n v="69"/>
    <s v="5966"/>
    <s v="SAFRINHA 2026"/>
    <n v="110"/>
    <n v="50"/>
    <n v="60"/>
    <n v="4140"/>
    <m/>
    <s v="PARANATINGA"/>
    <s v="20451830920"/>
    <n v="69"/>
    <n v="0"/>
  </r>
  <r>
    <d v="2026-02-11T08:24:04"/>
    <n v="4551"/>
    <x v="239"/>
    <d v="2026-02-09T00:00:00"/>
    <d v="2026-08-30T00:00:00"/>
    <x v="5"/>
    <x v="0"/>
    <s v="510200"/>
    <x v="0"/>
    <x v="0"/>
    <s v="LT"/>
    <n v="16"/>
    <s v="5966"/>
    <s v="SAFRINHA 2026"/>
    <n v="140"/>
    <n v="0"/>
    <n v="140"/>
    <n v="2240"/>
    <m/>
    <s v="PARANATINGA"/>
    <s v="20451830920"/>
    <n v="16"/>
    <n v="0"/>
  </r>
  <r>
    <d v="2026-02-11T08:24:04"/>
    <n v="4551"/>
    <x v="239"/>
    <d v="2026-02-09T00:00:00"/>
    <d v="2026-08-30T00:00:00"/>
    <x v="5"/>
    <x v="0"/>
    <s v="510200"/>
    <x v="6"/>
    <x v="0"/>
    <s v="LT"/>
    <n v="69"/>
    <s v="5966"/>
    <s v="SAFRINHA 2026"/>
    <n v="185"/>
    <n v="90"/>
    <n v="95"/>
    <n v="6555"/>
    <m/>
    <s v="PARANATINGA"/>
    <s v="20451830920"/>
    <n v="69"/>
    <n v="0"/>
  </r>
  <r>
    <d v="2026-02-11T08:24:04"/>
    <n v="4551"/>
    <x v="239"/>
    <d v="2026-02-09T00:00:00"/>
    <d v="2026-08-30T00:00:00"/>
    <x v="5"/>
    <x v="0"/>
    <s v="510200"/>
    <x v="39"/>
    <x v="0"/>
    <s v="LT"/>
    <n v="19"/>
    <s v="5966"/>
    <s v="SAFRINHA 2026"/>
    <n v="80"/>
    <n v="0"/>
    <n v="80"/>
    <n v="1520"/>
    <m/>
    <s v="PARANATINGA"/>
    <s v="20451830920"/>
    <n v="19"/>
    <n v="0"/>
  </r>
  <r>
    <d v="2026-02-11T08:24:04"/>
    <n v="4551"/>
    <x v="239"/>
    <d v="2026-02-09T00:00:00"/>
    <d v="2026-08-30T00:00:00"/>
    <x v="5"/>
    <x v="0"/>
    <s v="510200"/>
    <x v="1"/>
    <x v="0"/>
    <s v="LT"/>
    <n v="150"/>
    <s v="5966"/>
    <s v="SAFRINHA 2026"/>
    <n v="20"/>
    <n v="0"/>
    <n v="20"/>
    <n v="3000"/>
    <m/>
    <s v="PARANATINGA"/>
    <s v="20451830920"/>
    <n v="150"/>
    <n v="0"/>
  </r>
  <r>
    <d v="2026-02-11T08:24:04"/>
    <n v="4551"/>
    <x v="239"/>
    <d v="2026-02-09T00:00:00"/>
    <d v="2026-08-30T00:00:00"/>
    <x v="5"/>
    <x v="0"/>
    <s v="510200"/>
    <x v="64"/>
    <x v="2"/>
    <s v="LT"/>
    <n v="12"/>
    <s v="5966"/>
    <s v="SAFRINHA 2026"/>
    <n v="1275"/>
    <n v="775"/>
    <n v="500"/>
    <n v="6000"/>
    <m/>
    <s v="PARANATINGA"/>
    <s v="20451830920"/>
    <n v="12"/>
    <n v="0"/>
  </r>
  <r>
    <d v="2026-02-11T08:24:04"/>
    <n v="4551"/>
    <x v="239"/>
    <d v="2026-02-09T00:00:00"/>
    <d v="2026-08-30T00:00:00"/>
    <x v="5"/>
    <x v="1"/>
    <s v="510200"/>
    <x v="11"/>
    <x v="1"/>
    <s v="LT"/>
    <n v="341"/>
    <s v="5966"/>
    <s v="SAFRINHA 2026"/>
    <n v="19"/>
    <n v="0"/>
    <n v="19"/>
    <n v="6479"/>
    <m/>
    <s v="PARANATINGA"/>
    <s v="20451830920"/>
    <n v="341"/>
    <n v="0"/>
  </r>
  <r>
    <d v="2026-02-11T08:24:04"/>
    <n v="4551"/>
    <x v="239"/>
    <d v="2026-02-09T00:00:00"/>
    <d v="2026-08-30T00:00:00"/>
    <x v="5"/>
    <x v="1"/>
    <s v="510200"/>
    <x v="10"/>
    <x v="1"/>
    <s v="LT"/>
    <n v="341"/>
    <s v="5966"/>
    <s v="SAFRINHA 2026"/>
    <n v="19"/>
    <n v="0"/>
    <n v="19"/>
    <n v="6479"/>
    <m/>
    <s v="PARANATINGA"/>
    <s v="20451830920"/>
    <n v="341"/>
    <n v="0"/>
  </r>
  <r>
    <d v="2026-02-11T08:24:04"/>
    <n v="4551"/>
    <x v="239"/>
    <d v="2026-02-09T00:00:00"/>
    <d v="2026-08-30T00:00:00"/>
    <x v="5"/>
    <x v="0"/>
    <s v="510200"/>
    <x v="2"/>
    <x v="0"/>
    <s v="KG"/>
    <n v="21"/>
    <s v="5966"/>
    <s v="SAFRINHA 2026"/>
    <n v="150"/>
    <n v="0"/>
    <n v="150"/>
    <n v="3150"/>
    <m/>
    <s v="PARANATINGA"/>
    <s v="20451830920"/>
    <n v="21"/>
    <n v="0"/>
  </r>
  <r>
    <d v="2025-04-17T07:30:45"/>
    <n v="3813"/>
    <x v="240"/>
    <d v="2025-01-31T00:00:00"/>
    <d v="2025-09-30T00:00:00"/>
    <x v="7"/>
    <x v="0"/>
    <s v="510200"/>
    <x v="58"/>
    <x v="2"/>
    <s v="LT"/>
    <n v="24"/>
    <s v="4720"/>
    <s v="SAFRINHA 2026"/>
    <n v="200"/>
    <n v="0"/>
    <n v="200"/>
    <n v="4800"/>
    <m/>
    <s v="SORRISO"/>
    <s v="35608897072"/>
    <n v="24"/>
    <n v="0"/>
  </r>
  <r>
    <d v="2025-04-17T07:30:45"/>
    <n v="3813"/>
    <x v="240"/>
    <d v="2025-01-31T00:00:00"/>
    <d v="2025-09-30T00:00:00"/>
    <x v="7"/>
    <x v="0"/>
    <s v="510200"/>
    <x v="47"/>
    <x v="2"/>
    <s v="KG"/>
    <n v="30"/>
    <s v="4720"/>
    <s v="SAFRINHA 2026"/>
    <n v="100"/>
    <n v="0"/>
    <n v="100"/>
    <n v="3000"/>
    <m/>
    <s v="SORRISO"/>
    <s v="35608897072"/>
    <n v="30"/>
    <n v="0"/>
  </r>
  <r>
    <d v="2025-04-11T13:46:49"/>
    <n v="3807"/>
    <x v="240"/>
    <d v="2025-04-10T00:00:00"/>
    <d v="2026-04-30T00:00:00"/>
    <x v="7"/>
    <x v="0"/>
    <s v="510200"/>
    <x v="1"/>
    <x v="0"/>
    <s v="LT"/>
    <n v="150"/>
    <s v="5042"/>
    <s v="SAFRA 25/26"/>
    <n v="280"/>
    <n v="0"/>
    <n v="280"/>
    <n v="42000"/>
    <m/>
    <s v="SORRISO"/>
    <s v="35608897072"/>
    <n v="150"/>
    <n v="0"/>
  </r>
  <r>
    <d v="2025-04-11T13:46:49"/>
    <n v="3807"/>
    <x v="240"/>
    <d v="2025-04-10T00:00:00"/>
    <d v="2026-04-30T00:00:00"/>
    <x v="7"/>
    <x v="0"/>
    <s v="510200"/>
    <x v="6"/>
    <x v="0"/>
    <s v="LT"/>
    <n v="70"/>
    <s v="5042"/>
    <s v="SAFRA 25/26"/>
    <n v="210"/>
    <n v="0"/>
    <n v="210"/>
    <n v="14700"/>
    <m/>
    <s v="SORRISO"/>
    <s v="35608897072"/>
    <n v="70"/>
    <n v="0"/>
  </r>
  <r>
    <d v="2025-04-11T13:46:49"/>
    <n v="3807"/>
    <x v="240"/>
    <d v="2025-04-10T00:00:00"/>
    <d v="2026-04-30T00:00:00"/>
    <x v="7"/>
    <x v="0"/>
    <s v="510200"/>
    <x v="7"/>
    <x v="0"/>
    <s v="LT"/>
    <n v="70"/>
    <s v="5042"/>
    <s v="SAFRA 25/26"/>
    <n v="100"/>
    <n v="0"/>
    <n v="100"/>
    <n v="7000"/>
    <m/>
    <s v="SORRISO"/>
    <s v="35608897072"/>
    <n v="70"/>
    <n v="0"/>
  </r>
  <r>
    <d v="2025-04-11T13:46:49"/>
    <n v="3807"/>
    <x v="240"/>
    <d v="2025-04-10T00:00:00"/>
    <d v="2026-04-30T00:00:00"/>
    <x v="7"/>
    <x v="0"/>
    <s v="510200"/>
    <x v="12"/>
    <x v="0"/>
    <s v="LT"/>
    <n v="230"/>
    <s v="5042"/>
    <s v="SAFRA 25/26"/>
    <n v="140"/>
    <n v="0"/>
    <n v="140"/>
    <n v="32200"/>
    <m/>
    <s v="SORRISO"/>
    <s v="35608897072"/>
    <n v="230"/>
    <n v="0"/>
  </r>
  <r>
    <d v="2025-07-24T08:03:22"/>
    <n v="3941"/>
    <x v="240"/>
    <d v="2025-07-23T00:00:00"/>
    <d v="2026-04-30T00:00:00"/>
    <x v="7"/>
    <x v="0"/>
    <s v="510200"/>
    <x v="0"/>
    <x v="0"/>
    <s v="LT"/>
    <n v="16"/>
    <s v="5436"/>
    <s v="SAFRA 25/26"/>
    <n v="1400"/>
    <n v="0"/>
    <n v="1400"/>
    <n v="22400"/>
    <m/>
    <s v="SORRISO"/>
    <s v="35608897072"/>
    <n v="16"/>
    <n v="0"/>
  </r>
  <r>
    <d v="2025-07-24T08:03:22"/>
    <n v="3941"/>
    <x v="240"/>
    <d v="2025-07-23T00:00:00"/>
    <d v="2026-04-30T00:00:00"/>
    <x v="7"/>
    <x v="0"/>
    <s v="510200"/>
    <x v="8"/>
    <x v="0"/>
    <s v="KG"/>
    <n v="95"/>
    <s v="5436"/>
    <s v="SAFRA 25/26"/>
    <n v="210"/>
    <n v="0"/>
    <n v="210"/>
    <n v="19950"/>
    <m/>
    <s v="SORRISO"/>
    <s v="35608897072"/>
    <n v="95"/>
    <n v="0"/>
  </r>
  <r>
    <d v="2025-07-24T08:03:22"/>
    <n v="3941"/>
    <x v="240"/>
    <d v="2025-07-23T00:00:00"/>
    <d v="2026-04-30T00:00:00"/>
    <x v="7"/>
    <x v="0"/>
    <s v="510200"/>
    <x v="4"/>
    <x v="0"/>
    <s v="KG"/>
    <n v="24"/>
    <s v="5436"/>
    <s v="SAFRA 25/26"/>
    <n v="840"/>
    <n v="0"/>
    <n v="840"/>
    <n v="20160"/>
    <m/>
    <s v="SORRISO"/>
    <s v="35608897072"/>
    <n v="24"/>
    <n v="0"/>
  </r>
  <r>
    <d v="2025-07-24T08:03:22"/>
    <n v="3941"/>
    <x v="240"/>
    <d v="2025-07-23T00:00:00"/>
    <d v="2026-04-30T00:00:00"/>
    <x v="7"/>
    <x v="0"/>
    <s v="510200"/>
    <x v="5"/>
    <x v="0"/>
    <s v="KG"/>
    <n v="24"/>
    <s v="5436"/>
    <s v="SAFRA 25/26"/>
    <n v="1400"/>
    <n v="0"/>
    <n v="1400"/>
    <n v="33600"/>
    <m/>
    <s v="SORRISO"/>
    <s v="35608897072"/>
    <n v="24"/>
    <n v="0"/>
  </r>
  <r>
    <d v="2025-07-24T08:03:22"/>
    <n v="3941"/>
    <x v="240"/>
    <d v="2025-07-23T00:00:00"/>
    <d v="2026-04-30T00:00:00"/>
    <x v="7"/>
    <x v="0"/>
    <s v="510200"/>
    <x v="45"/>
    <x v="0"/>
    <s v="KG"/>
    <n v="21"/>
    <s v="5436"/>
    <s v="SAFRA 25/26"/>
    <n v="1400"/>
    <n v="0"/>
    <n v="1400"/>
    <n v="29400"/>
    <m/>
    <s v="SORRISO"/>
    <s v="35608897072"/>
    <n v="21"/>
    <n v="0"/>
  </r>
  <r>
    <d v="2025-07-24T08:03:22"/>
    <n v="3941"/>
    <x v="240"/>
    <d v="2025-07-23T00:00:00"/>
    <d v="2026-04-30T00:00:00"/>
    <x v="7"/>
    <x v="0"/>
    <s v="510200"/>
    <x v="3"/>
    <x v="0"/>
    <s v="LT"/>
    <n v="21.5"/>
    <s v="5436"/>
    <s v="SAFRA 25/26"/>
    <n v="1400"/>
    <n v="0"/>
    <n v="1400"/>
    <n v="30100"/>
    <m/>
    <s v="SORRISO"/>
    <s v="35608897072"/>
    <n v="21.5"/>
    <n v="0"/>
  </r>
  <r>
    <d v="2025-07-24T08:06:12"/>
    <n v="3942"/>
    <x v="240"/>
    <d v="2025-07-23T00:00:00"/>
    <d v="2026-04-30T00:00:00"/>
    <x v="7"/>
    <x v="1"/>
    <s v="510200"/>
    <x v="10"/>
    <x v="1"/>
    <s v="LT"/>
    <n v="360"/>
    <s v="5439"/>
    <s v="SAFRA 25/26"/>
    <n v="20"/>
    <n v="0"/>
    <n v="20"/>
    <n v="7200"/>
    <m/>
    <s v="SORRISO"/>
    <s v="35608897072"/>
    <n v="360"/>
    <n v="0"/>
  </r>
  <r>
    <d v="2025-07-24T08:06:12"/>
    <n v="3942"/>
    <x v="240"/>
    <d v="2025-07-23T00:00:00"/>
    <d v="2026-04-30T00:00:00"/>
    <x v="7"/>
    <x v="1"/>
    <s v="510200"/>
    <x v="11"/>
    <x v="1"/>
    <s v="LT"/>
    <n v="370"/>
    <s v="5439"/>
    <s v="SAFRA 25/26"/>
    <n v="20"/>
    <n v="0"/>
    <n v="20"/>
    <n v="7400"/>
    <m/>
    <s v="SORRISO"/>
    <s v="35608897072"/>
    <n v="370"/>
    <n v="0"/>
  </r>
  <r>
    <d v="2025-07-24T08:06:12"/>
    <n v="3942"/>
    <x v="240"/>
    <d v="2025-07-23T00:00:00"/>
    <d v="2026-04-30T00:00:00"/>
    <x v="7"/>
    <x v="1"/>
    <s v="510200"/>
    <x v="13"/>
    <x v="1"/>
    <s v="LT"/>
    <n v="47"/>
    <s v="5439"/>
    <s v="SAFRA 25/26"/>
    <n v="60"/>
    <n v="0"/>
    <n v="60"/>
    <n v="2820"/>
    <m/>
    <s v="SORRISO"/>
    <s v="35608897072"/>
    <n v="47"/>
    <n v="0"/>
  </r>
  <r>
    <d v="2025-07-24T08:06:12"/>
    <n v="3942"/>
    <x v="240"/>
    <d v="2025-07-23T00:00:00"/>
    <d v="2026-04-30T00:00:00"/>
    <x v="7"/>
    <x v="1"/>
    <s v="510200"/>
    <x v="9"/>
    <x v="1"/>
    <s v="LT"/>
    <n v="52"/>
    <s v="5439"/>
    <s v="SAFRA 25/26"/>
    <n v="42"/>
    <n v="0"/>
    <n v="42"/>
    <n v="2184"/>
    <m/>
    <s v="SORRISO"/>
    <s v="35608897072"/>
    <n v="52"/>
    <n v="0"/>
  </r>
  <r>
    <d v="2025-07-24T08:06:12"/>
    <n v="3942"/>
    <x v="240"/>
    <d v="2025-07-23T00:00:00"/>
    <d v="2026-04-30T00:00:00"/>
    <x v="7"/>
    <x v="1"/>
    <s v="510200"/>
    <x v="18"/>
    <x v="1"/>
    <s v="KG"/>
    <n v="200"/>
    <s v="5439"/>
    <s v="SAFRA 25/26"/>
    <n v="40"/>
    <n v="0"/>
    <n v="40"/>
    <n v="8000"/>
    <m/>
    <s v="SORRISO"/>
    <s v="35608897072"/>
    <n v="200"/>
    <n v="0"/>
  </r>
  <r>
    <d v="2025-09-18T14:05:48"/>
    <n v="4057"/>
    <x v="240"/>
    <d v="2025-09-18T00:00:00"/>
    <d v="2026-04-30T00:00:00"/>
    <x v="7"/>
    <x v="0"/>
    <s v="510200"/>
    <x v="4"/>
    <x v="0"/>
    <s v="KG"/>
    <n v="24"/>
    <s v="5577"/>
    <s v="SAFRA 25/26"/>
    <n v="560"/>
    <n v="0"/>
    <n v="560"/>
    <n v="13440"/>
    <m/>
    <s v="SORRISO"/>
    <s v="35608897072"/>
    <n v="24"/>
    <n v="0"/>
  </r>
  <r>
    <d v="2025-10-20T15:17:56"/>
    <n v="4186"/>
    <x v="240"/>
    <d v="2025-10-20T00:00:00"/>
    <d v="2026-04-30T00:00:00"/>
    <x v="7"/>
    <x v="0"/>
    <s v="510200"/>
    <x v="7"/>
    <x v="0"/>
    <s v="LT"/>
    <n v="70"/>
    <s v="5702"/>
    <s v="SAFRA 25/26"/>
    <n v="40"/>
    <n v="0"/>
    <n v="40"/>
    <n v="2800"/>
    <m/>
    <s v="SORRISO"/>
    <s v="35608897072"/>
    <n v="70"/>
    <n v="0"/>
  </r>
  <r>
    <d v="2025-11-04T07:40:12"/>
    <n v="4233"/>
    <x v="240"/>
    <d v="2025-11-04T00:00:00"/>
    <d v="2026-04-30T00:00:00"/>
    <x v="7"/>
    <x v="0"/>
    <s v="510200"/>
    <x v="7"/>
    <x v="0"/>
    <s v="LT"/>
    <n v="70"/>
    <s v="5769"/>
    <s v="SAFRA 25/26"/>
    <n v="20"/>
    <n v="0"/>
    <n v="20"/>
    <n v="1400"/>
    <m/>
    <s v="SORRISO"/>
    <s v="35608897072"/>
    <n v="70"/>
    <n v="0"/>
  </r>
  <r>
    <d v="2025-11-10T14:21:00"/>
    <n v="4252"/>
    <x v="240"/>
    <d v="2025-11-10T00:00:00"/>
    <d v="2026-04-30T00:00:00"/>
    <x v="7"/>
    <x v="0"/>
    <s v="510200"/>
    <x v="7"/>
    <x v="0"/>
    <s v="LT"/>
    <n v="70"/>
    <s v="5805"/>
    <s v="SAFRA 25/26"/>
    <n v="20"/>
    <n v="0"/>
    <n v="20"/>
    <n v="1400"/>
    <m/>
    <s v="SORRISO"/>
    <s v="35608897072"/>
    <n v="70"/>
    <n v="0"/>
  </r>
  <r>
    <d v="2025-09-23T07:14:14"/>
    <n v="310"/>
    <x v="241"/>
    <d v="2025-09-22T00:00:00"/>
    <d v="2026-03-30T00:00:00"/>
    <x v="1"/>
    <x v="0"/>
    <s v="510200"/>
    <x v="8"/>
    <x v="0"/>
    <s v="KG"/>
    <n v="85"/>
    <s v="17"/>
    <s v="SAFRA 25/26"/>
    <n v="6"/>
    <n v="0"/>
    <n v="6"/>
    <n v="510"/>
    <m/>
    <s v="MARCELANDIA"/>
    <s v="02570535141"/>
    <n v="85"/>
    <n v="0"/>
  </r>
  <r>
    <d v="2025-09-23T07:14:14"/>
    <n v="310"/>
    <x v="241"/>
    <d v="2025-09-22T00:00:00"/>
    <d v="2026-03-30T00:00:00"/>
    <x v="1"/>
    <x v="0"/>
    <s v="510200"/>
    <x v="2"/>
    <x v="0"/>
    <s v="KG"/>
    <n v="23"/>
    <s v="17"/>
    <s v="SAFRA 25/26"/>
    <n v="40"/>
    <n v="0"/>
    <n v="40"/>
    <n v="920"/>
    <m/>
    <s v="MARCELANDIA"/>
    <s v="02570535141"/>
    <n v="23"/>
    <n v="0"/>
  </r>
  <r>
    <d v="2025-09-23T07:14:14"/>
    <n v="310"/>
    <x v="241"/>
    <d v="2025-09-22T00:00:00"/>
    <d v="2026-03-30T00:00:00"/>
    <x v="1"/>
    <x v="0"/>
    <s v="510200"/>
    <x v="4"/>
    <x v="0"/>
    <s v="KG"/>
    <n v="24"/>
    <s v="17"/>
    <s v="SAFRA 25/26"/>
    <n v="20"/>
    <n v="0"/>
    <n v="20"/>
    <n v="480"/>
    <m/>
    <s v="MARCELANDIA"/>
    <s v="02570535141"/>
    <n v="24"/>
    <n v="0"/>
  </r>
  <r>
    <d v="2025-09-23T07:14:14"/>
    <n v="310"/>
    <x v="241"/>
    <d v="2025-09-22T00:00:00"/>
    <d v="2026-03-30T00:00:00"/>
    <x v="1"/>
    <x v="0"/>
    <s v="510200"/>
    <x v="3"/>
    <x v="0"/>
    <s v="LT"/>
    <n v="24"/>
    <s v="17"/>
    <s v="SAFRA 25/26"/>
    <n v="40"/>
    <n v="0"/>
    <n v="40"/>
    <n v="960"/>
    <m/>
    <s v="MARCELANDIA"/>
    <s v="02570535141"/>
    <n v="24"/>
    <n v="0"/>
  </r>
  <r>
    <d v="2025-09-23T07:14:14"/>
    <n v="310"/>
    <x v="241"/>
    <d v="2025-09-22T00:00:00"/>
    <d v="2026-03-30T00:00:00"/>
    <x v="1"/>
    <x v="0"/>
    <s v="510200"/>
    <x v="1"/>
    <x v="0"/>
    <s v="LT"/>
    <n v="145"/>
    <s v="17"/>
    <s v="SAFRA 25/26"/>
    <n v="20"/>
    <n v="0"/>
    <n v="20"/>
    <n v="2900"/>
    <m/>
    <s v="MARCELANDIA"/>
    <s v="02570535141"/>
    <n v="145"/>
    <n v="0"/>
  </r>
  <r>
    <d v="2025-09-23T07:14:14"/>
    <n v="310"/>
    <x v="241"/>
    <d v="2025-09-22T00:00:00"/>
    <d v="2026-03-30T00:00:00"/>
    <x v="1"/>
    <x v="0"/>
    <s v="510200"/>
    <x v="7"/>
    <x v="0"/>
    <s v="LT"/>
    <n v="74"/>
    <s v="17"/>
    <s v="SAFRA 25/26"/>
    <n v="5"/>
    <n v="0"/>
    <n v="5"/>
    <n v="370"/>
    <m/>
    <s v="MARCELANDIA"/>
    <s v="02570535141"/>
    <n v="74"/>
    <n v="0"/>
  </r>
  <r>
    <d v="2025-09-23T07:14:14"/>
    <n v="310"/>
    <x v="241"/>
    <d v="2025-09-22T00:00:00"/>
    <d v="2026-03-30T00:00:00"/>
    <x v="1"/>
    <x v="0"/>
    <s v="510200"/>
    <x v="5"/>
    <x v="0"/>
    <s v="KG"/>
    <n v="25"/>
    <s v="17"/>
    <s v="SAFRA 25/26"/>
    <n v="40"/>
    <n v="0"/>
    <n v="40"/>
    <n v="1000"/>
    <m/>
    <s v="MARCELANDIA"/>
    <s v="02570535141"/>
    <n v="25"/>
    <n v="0"/>
  </r>
  <r>
    <d v="2025-09-23T07:14:14"/>
    <n v="310"/>
    <x v="241"/>
    <d v="2025-09-22T00:00:00"/>
    <d v="2026-03-30T00:00:00"/>
    <x v="1"/>
    <x v="0"/>
    <s v="510200"/>
    <x v="46"/>
    <x v="0"/>
    <s v="LT"/>
    <n v="18"/>
    <s v="17"/>
    <s v="SAFRA 25/26"/>
    <n v="80"/>
    <n v="0"/>
    <n v="80"/>
    <n v="1440"/>
    <m/>
    <s v="MARCELANDIA"/>
    <s v="02570535141"/>
    <n v="18"/>
    <n v="0"/>
  </r>
  <r>
    <d v="2025-09-23T07:14:14"/>
    <n v="310"/>
    <x v="241"/>
    <d v="2025-09-22T00:00:00"/>
    <d v="2026-03-30T00:00:00"/>
    <x v="1"/>
    <x v="0"/>
    <s v="510200"/>
    <x v="6"/>
    <x v="0"/>
    <s v="LT"/>
    <n v="74"/>
    <s v="17"/>
    <s v="SAFRA 25/26"/>
    <n v="10"/>
    <n v="0"/>
    <n v="10"/>
    <n v="740"/>
    <m/>
    <s v="MARCELANDIA"/>
    <s v="02570535141"/>
    <n v="74"/>
    <n v="0"/>
  </r>
  <r>
    <d v="2025-09-23T07:14:14"/>
    <n v="310"/>
    <x v="241"/>
    <d v="2025-09-22T00:00:00"/>
    <d v="2026-03-30T00:00:00"/>
    <x v="1"/>
    <x v="0"/>
    <s v="510200"/>
    <x v="43"/>
    <x v="0"/>
    <s v="KG"/>
    <n v="68"/>
    <s v="17"/>
    <s v="SAFRA 25/26"/>
    <n v="20"/>
    <n v="0"/>
    <n v="20"/>
    <n v="1360"/>
    <m/>
    <s v="MARCELANDIA"/>
    <s v="02570535141"/>
    <n v="68"/>
    <n v="0"/>
  </r>
  <r>
    <d v="2025-04-11T13:19:32"/>
    <n v="3804"/>
    <x v="242"/>
    <d v="2025-04-07T00:00:00"/>
    <d v="2026-04-30T00:00:00"/>
    <x v="5"/>
    <x v="0"/>
    <s v="510200"/>
    <x v="32"/>
    <x v="2"/>
    <s v="TON"/>
    <n v="1667"/>
    <s v="5112"/>
    <s v="SAFRA 25/26"/>
    <n v="40"/>
    <n v="0"/>
    <n v="40"/>
    <n v="66680"/>
    <m/>
    <s v="NOVA UBIRATA"/>
    <s v="28843894153"/>
    <n v="1667"/>
    <n v="0"/>
  </r>
  <r>
    <d v="2025-12-18T07:43:05"/>
    <n v="4367"/>
    <x v="243"/>
    <d v="2025-12-18T00:00:00"/>
    <d v="2025-12-19T00:00:00"/>
    <x v="3"/>
    <x v="0"/>
    <s v="510200"/>
    <x v="129"/>
    <x v="2"/>
    <s v="KG"/>
    <n v="0.816666"/>
    <s v="693C"/>
    <s v="SAFRA 25/26"/>
    <n v="160260"/>
    <n v="0"/>
    <n v="160260"/>
    <n v="130878.89316000001"/>
    <m/>
    <m/>
    <s v="37711303000122"/>
    <n v="0.816666"/>
    <n v="0"/>
  </r>
  <r>
    <m/>
    <m/>
    <x v="244"/>
    <m/>
    <m/>
    <x v="15"/>
    <x v="0"/>
    <m/>
    <x v="130"/>
    <x v="2"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0775EB-0085-4D05-93A6-FFEFDCC7EFD8}" name="Tabela dinâmica5" cacheId="18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5:C15" firstHeaderRow="0" firstDataRow="1" firstDataCol="1" rowPageCount="3" colPageCount="1"/>
  <pivotFields count="23">
    <pivotField showAll="0"/>
    <pivotField showAll="0"/>
    <pivotField showAll="0"/>
    <pivotField showAll="0"/>
    <pivotField showAll="0"/>
    <pivotField axis="axisPage" multipleItemSelectionAllowed="1" showAll="0">
      <items count="17">
        <item x="12"/>
        <item x="11"/>
        <item x="8"/>
        <item x="2"/>
        <item x="13"/>
        <item x="5"/>
        <item x="7"/>
        <item x="6"/>
        <item x="1"/>
        <item x="9"/>
        <item x="4"/>
        <item x="0"/>
        <item x="10"/>
        <item x="3"/>
        <item x="14"/>
        <item x="15"/>
        <item t="default"/>
      </items>
    </pivotField>
    <pivotField axis="axisPage" multipleItemSelectionAllowed="1" showAll="0">
      <items count="4">
        <item x="2"/>
        <item x="1"/>
        <item x="0"/>
        <item t="default"/>
      </items>
    </pivotField>
    <pivotField showAll="0"/>
    <pivotField axis="axisRow" showAll="0">
      <items count="132">
        <item h="1" x="16"/>
        <item h="1" x="89"/>
        <item h="1" x="107"/>
        <item h="1" x="64"/>
        <item h="1" x="80"/>
        <item h="1" x="84"/>
        <item h="1" x="85"/>
        <item h="1" x="76"/>
        <item h="1" x="27"/>
        <item h="1" x="77"/>
        <item h="1" x="32"/>
        <item h="1" x="90"/>
        <item h="1" x="26"/>
        <item h="1" x="91"/>
        <item h="1" x="103"/>
        <item h="1" x="21"/>
        <item h="1" x="20"/>
        <item h="1" x="74"/>
        <item h="1" x="100"/>
        <item h="1" x="70"/>
        <item h="1" x="71"/>
        <item h="1" x="115"/>
        <item h="1" x="72"/>
        <item h="1" x="108"/>
        <item h="1" x="124"/>
        <item h="1" x="95"/>
        <item h="1" x="87"/>
        <item h="1" x="62"/>
        <item h="1" x="116"/>
        <item h="1" x="63"/>
        <item h="1" x="56"/>
        <item h="1" x="55"/>
        <item h="1" x="22"/>
        <item h="1" x="47"/>
        <item h="1" x="61"/>
        <item h="1" x="98"/>
        <item h="1" x="125"/>
        <item h="1" x="15"/>
        <item h="1" x="24"/>
        <item h="1" x="68"/>
        <item h="1" x="37"/>
        <item h="1" x="38"/>
        <item h="1" x="101"/>
        <item h="1" x="29"/>
        <item h="1" x="66"/>
        <item h="1" x="67"/>
        <item h="1" x="69"/>
        <item h="1" x="102"/>
        <item h="1" x="58"/>
        <item h="1" x="60"/>
        <item h="1" x="82"/>
        <item h="1" x="83"/>
        <item h="1" x="52"/>
        <item h="1" x="110"/>
        <item h="1" x="57"/>
        <item h="1" x="59"/>
        <item h="1" x="86"/>
        <item h="1" x="30"/>
        <item h="1" x="128"/>
        <item h="1" x="126"/>
        <item h="1" x="111"/>
        <item h="1" x="127"/>
        <item h="1" x="50"/>
        <item x="36"/>
        <item x="34"/>
        <item x="99"/>
        <item x="75"/>
        <item x="105"/>
        <item x="93"/>
        <item x="17"/>
        <item x="112"/>
        <item x="13"/>
        <item h="1" x="23"/>
        <item h="1" x="25"/>
        <item h="1" x="9"/>
        <item h="1" x="48"/>
        <item h="1" x="18"/>
        <item h="1" x="42"/>
        <item h="1" x="81"/>
        <item h="1" x="129"/>
        <item h="1" x="11"/>
        <item h="1" x="119"/>
        <item h="1" x="54"/>
        <item h="1" x="14"/>
        <item h="1" x="51"/>
        <item h="1" x="10"/>
        <item h="1" x="120"/>
        <item h="1" x="109"/>
        <item h="1" x="118"/>
        <item h="1" x="113"/>
        <item h="1" x="114"/>
        <item h="1" x="117"/>
        <item h="1" x="96"/>
        <item h="1" x="122"/>
        <item h="1" x="79"/>
        <item h="1" x="97"/>
        <item h="1" x="94"/>
        <item h="1" x="41"/>
        <item h="1" x="7"/>
        <item h="1" x="39"/>
        <item h="1" x="35"/>
        <item h="1" x="4"/>
        <item h="1" x="8"/>
        <item h="1" x="104"/>
        <item h="1" x="88"/>
        <item h="1" x="33"/>
        <item h="1" x="19"/>
        <item h="1" x="49"/>
        <item h="1" x="92"/>
        <item h="1" x="6"/>
        <item h="1" x="1"/>
        <item h="1" x="46"/>
        <item h="1" x="0"/>
        <item h="1" x="43"/>
        <item h="1" x="106"/>
        <item h="1" x="53"/>
        <item h="1" x="31"/>
        <item h="1" x="78"/>
        <item h="1" x="5"/>
        <item h="1" x="45"/>
        <item h="1" x="2"/>
        <item h="1" x="12"/>
        <item h="1" x="40"/>
        <item h="1" x="3"/>
        <item h="1" x="44"/>
        <item h="1" x="121"/>
        <item h="1" x="73"/>
        <item h="1" x="123"/>
        <item h="1" x="28"/>
        <item h="1" x="65"/>
        <item h="1" x="130"/>
        <item t="default"/>
      </items>
    </pivotField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</pivotFields>
  <rowFields count="1">
    <field x="8"/>
  </rowFields>
  <rowItems count="10"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 t="grand">
      <x/>
    </i>
  </rowItems>
  <colFields count="1">
    <field x="-2"/>
  </colFields>
  <colItems count="2">
    <i>
      <x/>
    </i>
    <i i="1">
      <x v="1"/>
    </i>
  </colItems>
  <pageFields count="3">
    <pageField fld="5" hier="-1"/>
    <pageField fld="9" hier="-1"/>
    <pageField fld="6" hier="-1"/>
  </pageFields>
  <dataFields count="2">
    <dataField name="Soma de Quantidade Faturada" fld="16" baseField="0" baseItem="0"/>
    <dataField name="Soma de Total Vendas" fld="17" baseField="8" baseItem="98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31B8A3-8508-4FBC-90F0-02171ECF5F47}" name="Tabela dinâmica6" cacheId="18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5:C164" firstHeaderRow="0" firstDataRow="1" firstDataCol="1" rowPageCount="3" colPageCount="1"/>
  <pivotFields count="23">
    <pivotField showAll="0"/>
    <pivotField showAll="0"/>
    <pivotField axis="axisRow" showAll="0">
      <items count="2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t="default"/>
      </items>
    </pivotField>
    <pivotField showAll="0"/>
    <pivotField showAll="0"/>
    <pivotField axis="axisPage" multipleItemSelectionAllowed="1" showAll="0">
      <items count="17">
        <item h="1" x="12"/>
        <item h="1" x="11"/>
        <item h="1" x="8"/>
        <item x="2"/>
        <item h="1" x="13"/>
        <item h="1" x="5"/>
        <item h="1" x="7"/>
        <item h="1" x="6"/>
        <item h="1" x="1"/>
        <item h="1" x="9"/>
        <item h="1" x="4"/>
        <item h="1" x="0"/>
        <item h="1" x="10"/>
        <item h="1" x="3"/>
        <item h="1" x="14"/>
        <item h="1" x="15"/>
        <item t="default"/>
      </items>
    </pivotField>
    <pivotField axis="axisPage" multipleItemSelectionAllowed="1" showAll="0">
      <items count="4">
        <item x="2"/>
        <item h="1" x="1"/>
        <item h="1" x="0"/>
        <item t="default"/>
      </items>
    </pivotField>
    <pivotField showAll="0"/>
    <pivotField axis="axisRow" showAll="0">
      <items count="132">
        <item x="16"/>
        <item x="89"/>
        <item x="107"/>
        <item x="64"/>
        <item x="80"/>
        <item x="84"/>
        <item x="85"/>
        <item x="76"/>
        <item x="27"/>
        <item x="77"/>
        <item x="32"/>
        <item x="90"/>
        <item x="26"/>
        <item x="91"/>
        <item x="103"/>
        <item x="21"/>
        <item x="20"/>
        <item x="74"/>
        <item x="100"/>
        <item x="70"/>
        <item x="71"/>
        <item x="115"/>
        <item x="72"/>
        <item x="108"/>
        <item x="124"/>
        <item x="95"/>
        <item x="87"/>
        <item x="62"/>
        <item x="116"/>
        <item x="63"/>
        <item x="56"/>
        <item x="55"/>
        <item x="22"/>
        <item x="47"/>
        <item x="61"/>
        <item x="98"/>
        <item x="125"/>
        <item x="15"/>
        <item x="24"/>
        <item x="68"/>
        <item x="37"/>
        <item x="38"/>
        <item x="101"/>
        <item x="29"/>
        <item x="66"/>
        <item x="67"/>
        <item x="69"/>
        <item x="102"/>
        <item x="58"/>
        <item x="60"/>
        <item x="82"/>
        <item x="83"/>
        <item x="52"/>
        <item x="110"/>
        <item x="57"/>
        <item x="59"/>
        <item x="86"/>
        <item x="30"/>
        <item x="128"/>
        <item x="126"/>
        <item x="111"/>
        <item x="127"/>
        <item x="50"/>
        <item x="36"/>
        <item x="34"/>
        <item x="99"/>
        <item x="75"/>
        <item x="105"/>
        <item x="93"/>
        <item x="17"/>
        <item x="112"/>
        <item x="13"/>
        <item x="23"/>
        <item x="25"/>
        <item x="9"/>
        <item x="48"/>
        <item x="18"/>
        <item x="42"/>
        <item x="81"/>
        <item x="129"/>
        <item x="11"/>
        <item x="119"/>
        <item x="54"/>
        <item x="14"/>
        <item x="51"/>
        <item x="10"/>
        <item x="120"/>
        <item x="109"/>
        <item x="118"/>
        <item x="113"/>
        <item x="114"/>
        <item x="117"/>
        <item x="96"/>
        <item x="122"/>
        <item x="79"/>
        <item x="97"/>
        <item x="94"/>
        <item x="41"/>
        <item x="7"/>
        <item x="39"/>
        <item x="35"/>
        <item x="4"/>
        <item x="8"/>
        <item x="104"/>
        <item x="88"/>
        <item x="33"/>
        <item x="19"/>
        <item x="49"/>
        <item x="92"/>
        <item x="6"/>
        <item x="1"/>
        <item x="46"/>
        <item x="0"/>
        <item x="43"/>
        <item x="106"/>
        <item x="53"/>
        <item x="31"/>
        <item x="78"/>
        <item x="5"/>
        <item x="45"/>
        <item x="2"/>
        <item x="12"/>
        <item x="40"/>
        <item x="3"/>
        <item x="44"/>
        <item x="121"/>
        <item x="73"/>
        <item x="123"/>
        <item x="28"/>
        <item x="65"/>
        <item x="130"/>
        <item t="default"/>
      </items>
    </pivotField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</pivotFields>
  <rowFields count="2">
    <field x="2"/>
    <field x="8"/>
  </rowFields>
  <rowItems count="159">
    <i>
      <x v="3"/>
    </i>
    <i r="1">
      <x v="16"/>
    </i>
    <i r="1">
      <x v="76"/>
    </i>
    <i r="1">
      <x v="80"/>
    </i>
    <i r="1">
      <x v="85"/>
    </i>
    <i>
      <x v="11"/>
    </i>
    <i r="1">
      <x v="74"/>
    </i>
    <i r="1">
      <x v="76"/>
    </i>
    <i r="1">
      <x v="80"/>
    </i>
    <i r="1">
      <x v="85"/>
    </i>
    <i>
      <x v="27"/>
    </i>
    <i r="1">
      <x v="16"/>
    </i>
    <i r="1">
      <x v="71"/>
    </i>
    <i r="1">
      <x v="74"/>
    </i>
    <i r="1">
      <x v="76"/>
    </i>
    <i r="1">
      <x v="80"/>
    </i>
    <i r="1">
      <x v="85"/>
    </i>
    <i>
      <x v="29"/>
    </i>
    <i r="1">
      <x v="71"/>
    </i>
    <i r="1">
      <x v="74"/>
    </i>
    <i r="1">
      <x v="76"/>
    </i>
    <i r="1">
      <x v="80"/>
    </i>
    <i r="1">
      <x v="85"/>
    </i>
    <i>
      <x v="30"/>
    </i>
    <i r="1">
      <x v="71"/>
    </i>
    <i r="1">
      <x v="74"/>
    </i>
    <i>
      <x v="31"/>
    </i>
    <i r="1">
      <x v="71"/>
    </i>
    <i r="1">
      <x v="73"/>
    </i>
    <i r="1">
      <x v="74"/>
    </i>
    <i r="1">
      <x v="76"/>
    </i>
    <i r="1">
      <x v="80"/>
    </i>
    <i r="1">
      <x v="85"/>
    </i>
    <i>
      <x v="58"/>
    </i>
    <i r="1">
      <x v="71"/>
    </i>
    <i r="1">
      <x v="73"/>
    </i>
    <i r="1">
      <x v="74"/>
    </i>
    <i r="1">
      <x v="76"/>
    </i>
    <i r="1">
      <x v="80"/>
    </i>
    <i r="1">
      <x v="85"/>
    </i>
    <i>
      <x v="64"/>
    </i>
    <i r="1">
      <x v="71"/>
    </i>
    <i r="1">
      <x v="74"/>
    </i>
    <i r="1">
      <x v="76"/>
    </i>
    <i>
      <x v="69"/>
    </i>
    <i r="1">
      <x v="17"/>
    </i>
    <i r="1">
      <x v="72"/>
    </i>
    <i r="1">
      <x v="80"/>
    </i>
    <i r="1">
      <x v="83"/>
    </i>
    <i r="1">
      <x v="85"/>
    </i>
    <i>
      <x v="72"/>
    </i>
    <i r="1">
      <x v="76"/>
    </i>
    <i>
      <x v="74"/>
    </i>
    <i r="1">
      <x v="72"/>
    </i>
    <i>
      <x v="77"/>
    </i>
    <i r="1">
      <x v="16"/>
    </i>
    <i>
      <x v="78"/>
    </i>
    <i r="1">
      <x v="16"/>
    </i>
    <i r="1">
      <x v="71"/>
    </i>
    <i r="1">
      <x v="74"/>
    </i>
    <i r="1">
      <x v="76"/>
    </i>
    <i r="1">
      <x v="80"/>
    </i>
    <i r="1">
      <x v="85"/>
    </i>
    <i>
      <x v="79"/>
    </i>
    <i r="1">
      <x v="17"/>
    </i>
    <i>
      <x v="87"/>
    </i>
    <i r="1">
      <x v="16"/>
    </i>
    <i r="1">
      <x v="17"/>
    </i>
    <i r="1">
      <x v="72"/>
    </i>
    <i>
      <x v="90"/>
    </i>
    <i r="1">
      <x v="76"/>
    </i>
    <i>
      <x v="96"/>
    </i>
    <i r="1">
      <x v="71"/>
    </i>
    <i>
      <x v="102"/>
    </i>
    <i r="1">
      <x v="71"/>
    </i>
    <i r="1">
      <x v="74"/>
    </i>
    <i r="1">
      <x v="76"/>
    </i>
    <i>
      <x v="105"/>
    </i>
    <i r="1">
      <x v="74"/>
    </i>
    <i r="1">
      <x v="76"/>
    </i>
    <i>
      <x v="107"/>
    </i>
    <i r="1">
      <x v="72"/>
    </i>
    <i r="1">
      <x v="74"/>
    </i>
    <i r="1">
      <x v="80"/>
    </i>
    <i r="1">
      <x v="85"/>
    </i>
    <i>
      <x v="110"/>
    </i>
    <i r="1">
      <x v="76"/>
    </i>
    <i>
      <x v="117"/>
    </i>
    <i r="1">
      <x v="76"/>
    </i>
    <i>
      <x v="121"/>
    </i>
    <i r="1">
      <x v="71"/>
    </i>
    <i r="1">
      <x v="74"/>
    </i>
    <i r="1">
      <x v="76"/>
    </i>
    <i r="1">
      <x v="80"/>
    </i>
    <i r="1">
      <x v="85"/>
    </i>
    <i>
      <x v="125"/>
    </i>
    <i r="1">
      <x v="76"/>
    </i>
    <i>
      <x v="143"/>
    </i>
    <i r="1">
      <x v="74"/>
    </i>
    <i r="1">
      <x v="76"/>
    </i>
    <i r="1">
      <x v="80"/>
    </i>
    <i r="1">
      <x v="85"/>
    </i>
    <i>
      <x v="152"/>
    </i>
    <i r="1">
      <x v="73"/>
    </i>
    <i r="1">
      <x v="76"/>
    </i>
    <i r="1">
      <x v="80"/>
    </i>
    <i>
      <x v="153"/>
    </i>
    <i r="1">
      <x v="17"/>
    </i>
    <i r="1">
      <x v="73"/>
    </i>
    <i r="1">
      <x v="76"/>
    </i>
    <i r="1">
      <x v="80"/>
    </i>
    <i r="1">
      <x v="85"/>
    </i>
    <i>
      <x v="156"/>
    </i>
    <i r="1">
      <x v="71"/>
    </i>
    <i r="1">
      <x v="74"/>
    </i>
    <i r="1">
      <x v="76"/>
    </i>
    <i r="1">
      <x v="80"/>
    </i>
    <i r="1">
      <x v="85"/>
    </i>
    <i>
      <x v="161"/>
    </i>
    <i r="1">
      <x v="16"/>
    </i>
    <i r="1">
      <x v="74"/>
    </i>
    <i r="1">
      <x v="76"/>
    </i>
    <i r="1">
      <x v="80"/>
    </i>
    <i r="1">
      <x v="85"/>
    </i>
    <i>
      <x v="177"/>
    </i>
    <i r="1">
      <x v="71"/>
    </i>
    <i r="1">
      <x v="74"/>
    </i>
    <i r="1">
      <x v="76"/>
    </i>
    <i r="1">
      <x v="80"/>
    </i>
    <i r="1">
      <x v="85"/>
    </i>
    <i>
      <x v="184"/>
    </i>
    <i r="1">
      <x v="76"/>
    </i>
    <i>
      <x v="186"/>
    </i>
    <i r="1">
      <x v="74"/>
    </i>
    <i r="1">
      <x v="76"/>
    </i>
    <i r="1">
      <x v="80"/>
    </i>
    <i r="1">
      <x v="85"/>
    </i>
    <i>
      <x v="190"/>
    </i>
    <i r="1">
      <x v="17"/>
    </i>
    <i r="1">
      <x v="71"/>
    </i>
    <i r="1">
      <x v="74"/>
    </i>
    <i r="1">
      <x v="80"/>
    </i>
    <i r="1">
      <x v="83"/>
    </i>
    <i r="1">
      <x v="85"/>
    </i>
    <i>
      <x v="200"/>
    </i>
    <i r="1">
      <x v="71"/>
    </i>
    <i r="1">
      <x v="76"/>
    </i>
    <i>
      <x v="215"/>
    </i>
    <i r="1">
      <x v="76"/>
    </i>
    <i>
      <x v="216"/>
    </i>
    <i r="1">
      <x v="16"/>
    </i>
    <i>
      <x v="223"/>
    </i>
    <i r="1">
      <x v="76"/>
    </i>
    <i>
      <x v="235"/>
    </i>
    <i r="1">
      <x v="74"/>
    </i>
    <i r="1">
      <x v="80"/>
    </i>
    <i r="1">
      <x v="83"/>
    </i>
    <i r="1">
      <x v="85"/>
    </i>
    <i t="grand">
      <x/>
    </i>
  </rowItems>
  <colFields count="1">
    <field x="-2"/>
  </colFields>
  <colItems count="2">
    <i>
      <x/>
    </i>
    <i i="1">
      <x v="1"/>
    </i>
  </colItems>
  <pageFields count="3">
    <pageField fld="5" hier="-1"/>
    <pageField fld="9" hier="-1"/>
    <pageField fld="6" hier="-1"/>
  </pageFields>
  <dataFields count="2">
    <dataField name="Soma de Quantidade Faturada" fld="16" baseField="0" baseItem="0"/>
    <dataField name="Soma de Total Vendas" fld="17" baseField="2" baseItem="3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81F7A-EF08-4FDC-A262-6E515C903FAF}">
  <dimension ref="A1:C15"/>
  <sheetViews>
    <sheetView tabSelected="1" zoomScale="115" zoomScaleNormal="115" workbookViewId="0">
      <selection activeCell="P27" sqref="P27"/>
    </sheetView>
  </sheetViews>
  <sheetFormatPr defaultRowHeight="13.2" x14ac:dyDescent="0.25"/>
  <cols>
    <col min="1" max="1" width="48.33203125" bestFit="1" customWidth="1"/>
    <col min="2" max="2" width="28.44140625" bestFit="1" customWidth="1"/>
    <col min="3" max="3" width="21.21875" bestFit="1" customWidth="1"/>
    <col min="4" max="11" width="2" bestFit="1" customWidth="1"/>
    <col min="12" max="81" width="3" bestFit="1" customWidth="1"/>
    <col min="82" max="212" width="4.109375" bestFit="1" customWidth="1"/>
    <col min="213" max="246" width="5.109375" bestFit="1" customWidth="1"/>
    <col min="247" max="247" width="10.77734375" bestFit="1" customWidth="1"/>
    <col min="248" max="248" width="4" bestFit="1" customWidth="1"/>
    <col min="249" max="249" width="6" bestFit="1" customWidth="1"/>
    <col min="250" max="250" width="4" bestFit="1" customWidth="1"/>
    <col min="251" max="251" width="5" bestFit="1" customWidth="1"/>
    <col min="252" max="252" width="4" bestFit="1" customWidth="1"/>
    <col min="253" max="253" width="7" bestFit="1" customWidth="1"/>
    <col min="254" max="254" width="4" bestFit="1" customWidth="1"/>
    <col min="255" max="255" width="5" bestFit="1" customWidth="1"/>
    <col min="256" max="256" width="4" bestFit="1" customWidth="1"/>
    <col min="257" max="257" width="11" bestFit="1" customWidth="1"/>
    <col min="258" max="259" width="4" bestFit="1" customWidth="1"/>
    <col min="260" max="260" width="8" bestFit="1" customWidth="1"/>
    <col min="261" max="261" width="4" bestFit="1" customWidth="1"/>
    <col min="262" max="262" width="11" bestFit="1" customWidth="1"/>
    <col min="263" max="263" width="7" bestFit="1" customWidth="1"/>
    <col min="264" max="264" width="6" bestFit="1" customWidth="1"/>
    <col min="265" max="266" width="4" bestFit="1" customWidth="1"/>
    <col min="267" max="267" width="11" bestFit="1" customWidth="1"/>
    <col min="268" max="269" width="4" bestFit="1" customWidth="1"/>
    <col min="270" max="270" width="11" bestFit="1" customWidth="1"/>
    <col min="271" max="272" width="4" bestFit="1" customWidth="1"/>
    <col min="273" max="273" width="5" bestFit="1" customWidth="1"/>
    <col min="274" max="274" width="6" bestFit="1" customWidth="1"/>
    <col min="275" max="275" width="4" bestFit="1" customWidth="1"/>
    <col min="276" max="276" width="5" bestFit="1" customWidth="1"/>
    <col min="277" max="277" width="4" bestFit="1" customWidth="1"/>
    <col min="278" max="278" width="7" bestFit="1" customWidth="1"/>
    <col min="279" max="279" width="5" bestFit="1" customWidth="1"/>
    <col min="280" max="281" width="4" bestFit="1" customWidth="1"/>
    <col min="282" max="282" width="7" bestFit="1" customWidth="1"/>
    <col min="283" max="283" width="4" bestFit="1" customWidth="1"/>
    <col min="284" max="284" width="5" bestFit="1" customWidth="1"/>
    <col min="285" max="286" width="4" bestFit="1" customWidth="1"/>
    <col min="287" max="287" width="5" bestFit="1" customWidth="1"/>
    <col min="288" max="288" width="6" bestFit="1" customWidth="1"/>
    <col min="289" max="289" width="5" bestFit="1" customWidth="1"/>
    <col min="290" max="290" width="4" bestFit="1" customWidth="1"/>
    <col min="291" max="291" width="10" bestFit="1" customWidth="1"/>
    <col min="292" max="292" width="6" bestFit="1" customWidth="1"/>
    <col min="293" max="294" width="4" bestFit="1" customWidth="1"/>
    <col min="295" max="296" width="5" bestFit="1" customWidth="1"/>
    <col min="297" max="297" width="4" bestFit="1" customWidth="1"/>
    <col min="298" max="298" width="5" bestFit="1" customWidth="1"/>
    <col min="299" max="299" width="6" bestFit="1" customWidth="1"/>
    <col min="300" max="300" width="4" bestFit="1" customWidth="1"/>
    <col min="301" max="301" width="10" bestFit="1" customWidth="1"/>
    <col min="302" max="302" width="6" bestFit="1" customWidth="1"/>
    <col min="303" max="303" width="5" bestFit="1" customWidth="1"/>
    <col min="304" max="304" width="4" bestFit="1" customWidth="1"/>
    <col min="305" max="305" width="7" bestFit="1" customWidth="1"/>
    <col min="306" max="306" width="4" bestFit="1" customWidth="1"/>
    <col min="307" max="307" width="11" bestFit="1" customWidth="1"/>
    <col min="308" max="308" width="4" bestFit="1" customWidth="1"/>
    <col min="309" max="309" width="5" bestFit="1" customWidth="1"/>
    <col min="310" max="312" width="4" bestFit="1" customWidth="1"/>
    <col min="313" max="313" width="10" bestFit="1" customWidth="1"/>
    <col min="314" max="314" width="5" bestFit="1" customWidth="1"/>
    <col min="315" max="315" width="11" bestFit="1" customWidth="1"/>
    <col min="316" max="317" width="4" bestFit="1" customWidth="1"/>
    <col min="318" max="318" width="7" bestFit="1" customWidth="1"/>
    <col min="319" max="320" width="4" bestFit="1" customWidth="1"/>
    <col min="321" max="321" width="5" bestFit="1" customWidth="1"/>
    <col min="322" max="323" width="4" bestFit="1" customWidth="1"/>
    <col min="324" max="324" width="5" bestFit="1" customWidth="1"/>
    <col min="325" max="325" width="4" bestFit="1" customWidth="1"/>
    <col min="326" max="326" width="5" bestFit="1" customWidth="1"/>
    <col min="327" max="327" width="7" bestFit="1" customWidth="1"/>
    <col min="328" max="328" width="11" bestFit="1" customWidth="1"/>
    <col min="329" max="329" width="6" bestFit="1" customWidth="1"/>
    <col min="330" max="330" width="4" bestFit="1" customWidth="1"/>
    <col min="331" max="331" width="7" bestFit="1" customWidth="1"/>
    <col min="332" max="332" width="4" bestFit="1" customWidth="1"/>
    <col min="333" max="333" width="5" bestFit="1" customWidth="1"/>
    <col min="334" max="334" width="4" bestFit="1" customWidth="1"/>
    <col min="335" max="335" width="11" bestFit="1" customWidth="1"/>
    <col min="336" max="336" width="4" bestFit="1" customWidth="1"/>
    <col min="337" max="337" width="5" bestFit="1" customWidth="1"/>
    <col min="338" max="341" width="4" bestFit="1" customWidth="1"/>
    <col min="342" max="342" width="6" bestFit="1" customWidth="1"/>
    <col min="343" max="347" width="4" bestFit="1" customWidth="1"/>
    <col min="348" max="348" width="7" bestFit="1" customWidth="1"/>
    <col min="349" max="354" width="4" bestFit="1" customWidth="1"/>
    <col min="355" max="355" width="6" bestFit="1" customWidth="1"/>
    <col min="356" max="358" width="4" bestFit="1" customWidth="1"/>
    <col min="359" max="359" width="6" bestFit="1" customWidth="1"/>
    <col min="360" max="367" width="4" bestFit="1" customWidth="1"/>
    <col min="368" max="368" width="11" bestFit="1" customWidth="1"/>
    <col min="369" max="371" width="4" bestFit="1" customWidth="1"/>
    <col min="372" max="372" width="7" bestFit="1" customWidth="1"/>
    <col min="373" max="386" width="4" bestFit="1" customWidth="1"/>
    <col min="387" max="404" width="5" bestFit="1" customWidth="1"/>
    <col min="405" max="405" width="6.88671875" bestFit="1" customWidth="1"/>
    <col min="406" max="406" width="10.5546875" bestFit="1" customWidth="1"/>
  </cols>
  <sheetData>
    <row r="1" spans="1:3" x14ac:dyDescent="0.25">
      <c r="A1" s="5" t="s">
        <v>5</v>
      </c>
      <c r="B1" t="s">
        <v>1484</v>
      </c>
    </row>
    <row r="2" spans="1:3" x14ac:dyDescent="0.25">
      <c r="A2" s="5" t="s">
        <v>1489</v>
      </c>
      <c r="B2" t="s">
        <v>1484</v>
      </c>
    </row>
    <row r="3" spans="1:3" x14ac:dyDescent="0.25">
      <c r="A3" s="5" t="s">
        <v>1492</v>
      </c>
      <c r="B3" t="s">
        <v>1484</v>
      </c>
    </row>
    <row r="5" spans="1:3" x14ac:dyDescent="0.25">
      <c r="A5" s="5" t="s">
        <v>1486</v>
      </c>
      <c r="B5" t="s">
        <v>1487</v>
      </c>
      <c r="C5" t="s">
        <v>1495</v>
      </c>
    </row>
    <row r="6" spans="1:3" x14ac:dyDescent="0.25">
      <c r="A6" s="6" t="s">
        <v>171</v>
      </c>
      <c r="B6" s="7">
        <v>2208</v>
      </c>
      <c r="C6" s="9">
        <v>65809.440000000002</v>
      </c>
    </row>
    <row r="7" spans="1:3" x14ac:dyDescent="0.25">
      <c r="A7" s="6" t="s">
        <v>162</v>
      </c>
      <c r="B7" s="7">
        <v>2424</v>
      </c>
      <c r="C7" s="9">
        <v>90509.999760000006</v>
      </c>
    </row>
    <row r="8" spans="1:3" x14ac:dyDescent="0.25">
      <c r="A8" s="6" t="s">
        <v>804</v>
      </c>
      <c r="B8" s="7">
        <v>1740</v>
      </c>
      <c r="C8" s="9">
        <v>40891.212</v>
      </c>
    </row>
    <row r="9" spans="1:3" x14ac:dyDescent="0.25">
      <c r="A9" s="6" t="s">
        <v>471</v>
      </c>
      <c r="B9" s="7">
        <v>24</v>
      </c>
      <c r="C9" s="9">
        <v>1296</v>
      </c>
    </row>
    <row r="10" spans="1:3" x14ac:dyDescent="0.25">
      <c r="A10" s="6" t="s">
        <v>908</v>
      </c>
      <c r="B10" s="7">
        <v>3132</v>
      </c>
      <c r="C10" s="9">
        <v>67839.12000000001</v>
      </c>
    </row>
    <row r="11" spans="1:3" x14ac:dyDescent="0.25">
      <c r="A11" s="6" t="s">
        <v>691</v>
      </c>
      <c r="B11" s="7">
        <v>979.2</v>
      </c>
      <c r="C11" s="9">
        <v>24732</v>
      </c>
    </row>
    <row r="12" spans="1:3" x14ac:dyDescent="0.25">
      <c r="A12" s="6" t="s">
        <v>59</v>
      </c>
      <c r="B12" s="7">
        <v>9108</v>
      </c>
      <c r="C12" s="9">
        <v>360562.05867599999</v>
      </c>
    </row>
    <row r="13" spans="1:3" x14ac:dyDescent="0.25">
      <c r="A13" s="6" t="s">
        <v>1034</v>
      </c>
      <c r="B13" s="7">
        <v>288</v>
      </c>
      <c r="C13" s="9">
        <v>14400</v>
      </c>
    </row>
    <row r="14" spans="1:3" x14ac:dyDescent="0.25">
      <c r="A14" s="6" t="s">
        <v>43</v>
      </c>
      <c r="B14" s="7">
        <v>53307</v>
      </c>
      <c r="C14" s="9">
        <v>1960199.1785579999</v>
      </c>
    </row>
    <row r="15" spans="1:3" x14ac:dyDescent="0.25">
      <c r="A15" s="6" t="s">
        <v>1485</v>
      </c>
      <c r="B15" s="7">
        <v>73210.2</v>
      </c>
      <c r="C15" s="9">
        <v>2626239.008994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DA0AC-5777-4193-8917-AF17B2F3F045}">
  <dimension ref="A1:C248"/>
  <sheetViews>
    <sheetView topLeftCell="A226" workbookViewId="0">
      <selection activeCell="A243" sqref="A243"/>
    </sheetView>
  </sheetViews>
  <sheetFormatPr defaultRowHeight="13.2" x14ac:dyDescent="0.25"/>
  <cols>
    <col min="1" max="1" width="58.77734375" bestFit="1" customWidth="1"/>
    <col min="2" max="2" width="34.88671875" bestFit="1" customWidth="1"/>
    <col min="3" max="3" width="20.6640625" bestFit="1" customWidth="1"/>
  </cols>
  <sheetData>
    <row r="1" spans="1:3" x14ac:dyDescent="0.25">
      <c r="A1" s="5" t="s">
        <v>5</v>
      </c>
      <c r="B1" t="s">
        <v>66</v>
      </c>
    </row>
    <row r="2" spans="1:3" x14ac:dyDescent="0.25">
      <c r="A2" s="5" t="s">
        <v>1489</v>
      </c>
      <c r="B2" t="s">
        <v>1491</v>
      </c>
    </row>
    <row r="3" spans="1:3" x14ac:dyDescent="0.25">
      <c r="A3" s="5" t="s">
        <v>1492</v>
      </c>
      <c r="B3" t="s">
        <v>1494</v>
      </c>
    </row>
    <row r="5" spans="1:3" x14ac:dyDescent="0.25">
      <c r="A5" s="5" t="s">
        <v>1486</v>
      </c>
      <c r="B5" t="s">
        <v>1487</v>
      </c>
      <c r="C5" t="s">
        <v>1495</v>
      </c>
    </row>
    <row r="6" spans="1:3" x14ac:dyDescent="0.25">
      <c r="A6" s="6" t="s">
        <v>65</v>
      </c>
      <c r="B6" s="7">
        <v>1782</v>
      </c>
      <c r="C6" s="9">
        <v>308850</v>
      </c>
    </row>
    <row r="7" spans="1:3" x14ac:dyDescent="0.25">
      <c r="A7" s="8" t="s">
        <v>75</v>
      </c>
      <c r="B7" s="7">
        <v>450</v>
      </c>
      <c r="C7" s="9">
        <v>15750</v>
      </c>
    </row>
    <row r="8" spans="1:3" x14ac:dyDescent="0.25">
      <c r="A8" s="8" t="s">
        <v>63</v>
      </c>
      <c r="B8" s="7">
        <v>852</v>
      </c>
      <c r="C8" s="9">
        <v>149100</v>
      </c>
    </row>
    <row r="9" spans="1:3" x14ac:dyDescent="0.25">
      <c r="A9" s="8" t="s">
        <v>41</v>
      </c>
      <c r="B9" s="7">
        <v>240</v>
      </c>
      <c r="C9" s="9">
        <v>72000</v>
      </c>
    </row>
    <row r="10" spans="1:3" x14ac:dyDescent="0.25">
      <c r="A10" s="8" t="s">
        <v>40</v>
      </c>
      <c r="B10" s="7">
        <v>240</v>
      </c>
      <c r="C10" s="9">
        <v>72000</v>
      </c>
    </row>
    <row r="11" spans="1:3" x14ac:dyDescent="0.25">
      <c r="A11" s="6" t="s">
        <v>123</v>
      </c>
      <c r="B11" s="7">
        <v>304</v>
      </c>
      <c r="C11" s="9">
        <v>42036</v>
      </c>
    </row>
    <row r="12" spans="1:3" x14ac:dyDescent="0.25">
      <c r="A12" s="8" t="s">
        <v>38</v>
      </c>
      <c r="B12" s="7">
        <v>114</v>
      </c>
      <c r="C12" s="9">
        <v>5130</v>
      </c>
    </row>
    <row r="13" spans="1:3" x14ac:dyDescent="0.25">
      <c r="A13" s="8" t="s">
        <v>63</v>
      </c>
      <c r="B13" s="7">
        <v>184</v>
      </c>
      <c r="C13" s="9">
        <v>34776</v>
      </c>
    </row>
    <row r="14" spans="1:3" x14ac:dyDescent="0.25">
      <c r="A14" s="8" t="s">
        <v>41</v>
      </c>
      <c r="B14" s="7">
        <v>3</v>
      </c>
      <c r="C14" s="9">
        <v>1065</v>
      </c>
    </row>
    <row r="15" spans="1:3" x14ac:dyDescent="0.25">
      <c r="A15" s="8" t="s">
        <v>40</v>
      </c>
      <c r="B15" s="7">
        <v>3</v>
      </c>
      <c r="C15" s="9">
        <v>1065</v>
      </c>
    </row>
    <row r="16" spans="1:3" x14ac:dyDescent="0.25">
      <c r="A16" s="6" t="s">
        <v>261</v>
      </c>
      <c r="B16" s="7">
        <v>835</v>
      </c>
      <c r="C16" s="9">
        <v>80292</v>
      </c>
    </row>
    <row r="17" spans="1:3" x14ac:dyDescent="0.25">
      <c r="A17" s="8" t="s">
        <v>75</v>
      </c>
      <c r="B17" s="7">
        <v>300</v>
      </c>
      <c r="C17" s="9">
        <v>15000</v>
      </c>
    </row>
    <row r="18" spans="1:3" x14ac:dyDescent="0.25">
      <c r="A18" s="8" t="s">
        <v>43</v>
      </c>
      <c r="B18" s="7">
        <v>270</v>
      </c>
      <c r="C18" s="9">
        <v>11880</v>
      </c>
    </row>
    <row r="19" spans="1:3" x14ac:dyDescent="0.25">
      <c r="A19" s="8" t="s">
        <v>38</v>
      </c>
      <c r="B19" s="7">
        <v>63</v>
      </c>
      <c r="C19" s="9">
        <v>2772</v>
      </c>
    </row>
    <row r="20" spans="1:3" x14ac:dyDescent="0.25">
      <c r="A20" s="8" t="s">
        <v>63</v>
      </c>
      <c r="B20" s="7">
        <v>120</v>
      </c>
      <c r="C20" s="9">
        <v>26040</v>
      </c>
    </row>
    <row r="21" spans="1:3" x14ac:dyDescent="0.25">
      <c r="A21" s="8" t="s">
        <v>41</v>
      </c>
      <c r="B21" s="7">
        <v>41</v>
      </c>
      <c r="C21" s="9">
        <v>12300</v>
      </c>
    </row>
    <row r="22" spans="1:3" x14ac:dyDescent="0.25">
      <c r="A22" s="8" t="s">
        <v>40</v>
      </c>
      <c r="B22" s="7">
        <v>41</v>
      </c>
      <c r="C22" s="9">
        <v>12300</v>
      </c>
    </row>
    <row r="23" spans="1:3" x14ac:dyDescent="0.25">
      <c r="A23" s="6" t="s">
        <v>283</v>
      </c>
      <c r="B23" s="7">
        <v>834</v>
      </c>
      <c r="C23" s="9">
        <v>127304</v>
      </c>
    </row>
    <row r="24" spans="1:3" x14ac:dyDescent="0.25">
      <c r="A24" s="8" t="s">
        <v>43</v>
      </c>
      <c r="B24" s="7">
        <v>360</v>
      </c>
      <c r="C24" s="9">
        <v>14400</v>
      </c>
    </row>
    <row r="25" spans="1:3" x14ac:dyDescent="0.25">
      <c r="A25" s="8" t="s">
        <v>38</v>
      </c>
      <c r="B25" s="7">
        <v>126</v>
      </c>
      <c r="C25" s="9">
        <v>5544</v>
      </c>
    </row>
    <row r="26" spans="1:3" x14ac:dyDescent="0.25">
      <c r="A26" s="8" t="s">
        <v>63</v>
      </c>
      <c r="B26" s="7">
        <v>112</v>
      </c>
      <c r="C26" s="9">
        <v>22400</v>
      </c>
    </row>
    <row r="27" spans="1:3" x14ac:dyDescent="0.25">
      <c r="A27" s="8" t="s">
        <v>41</v>
      </c>
      <c r="B27" s="7">
        <v>118</v>
      </c>
      <c r="C27" s="9">
        <v>42480</v>
      </c>
    </row>
    <row r="28" spans="1:3" x14ac:dyDescent="0.25">
      <c r="A28" s="8" t="s">
        <v>40</v>
      </c>
      <c r="B28" s="7">
        <v>118</v>
      </c>
      <c r="C28" s="9">
        <v>42480</v>
      </c>
    </row>
    <row r="29" spans="1:3" x14ac:dyDescent="0.25">
      <c r="A29" s="6" t="s">
        <v>287</v>
      </c>
      <c r="B29" s="7">
        <v>48</v>
      </c>
      <c r="C29" s="9">
        <v>2280</v>
      </c>
    </row>
    <row r="30" spans="1:3" x14ac:dyDescent="0.25">
      <c r="A30" s="8" t="s">
        <v>43</v>
      </c>
      <c r="B30" s="7">
        <v>24</v>
      </c>
      <c r="C30" s="9">
        <v>1080</v>
      </c>
    </row>
    <row r="31" spans="1:3" x14ac:dyDescent="0.25">
      <c r="A31" s="8" t="s">
        <v>38</v>
      </c>
      <c r="B31" s="7">
        <v>24</v>
      </c>
      <c r="C31" s="9">
        <v>1200</v>
      </c>
    </row>
    <row r="32" spans="1:3" x14ac:dyDescent="0.25">
      <c r="A32" s="6" t="s">
        <v>290</v>
      </c>
      <c r="B32" s="7">
        <v>533</v>
      </c>
      <c r="C32" s="9">
        <v>114378</v>
      </c>
    </row>
    <row r="33" spans="1:3" x14ac:dyDescent="0.25">
      <c r="A33" s="8" t="s">
        <v>43</v>
      </c>
      <c r="B33" s="7">
        <v>81</v>
      </c>
      <c r="C33" s="9">
        <v>3888</v>
      </c>
    </row>
    <row r="34" spans="1:3" x14ac:dyDescent="0.25">
      <c r="A34" s="8" t="s">
        <v>101</v>
      </c>
      <c r="B34" s="7">
        <v>40</v>
      </c>
      <c r="C34" s="9">
        <v>24000</v>
      </c>
    </row>
    <row r="35" spans="1:3" x14ac:dyDescent="0.25">
      <c r="A35" s="8" t="s">
        <v>38</v>
      </c>
      <c r="B35" s="7">
        <v>117</v>
      </c>
      <c r="C35" s="9">
        <v>6570</v>
      </c>
    </row>
    <row r="36" spans="1:3" x14ac:dyDescent="0.25">
      <c r="A36" s="8" t="s">
        <v>63</v>
      </c>
      <c r="B36" s="7">
        <v>172</v>
      </c>
      <c r="C36" s="9">
        <v>35460</v>
      </c>
    </row>
    <row r="37" spans="1:3" x14ac:dyDescent="0.25">
      <c r="A37" s="8" t="s">
        <v>41</v>
      </c>
      <c r="B37" s="7">
        <v>104</v>
      </c>
      <c r="C37" s="9">
        <v>38380</v>
      </c>
    </row>
    <row r="38" spans="1:3" x14ac:dyDescent="0.25">
      <c r="A38" s="8" t="s">
        <v>40</v>
      </c>
      <c r="B38" s="7">
        <v>19</v>
      </c>
      <c r="C38" s="9">
        <v>6080</v>
      </c>
    </row>
    <row r="39" spans="1:3" x14ac:dyDescent="0.25">
      <c r="A39" s="6" t="s">
        <v>438</v>
      </c>
      <c r="B39" s="7">
        <v>3604</v>
      </c>
      <c r="C39" s="9">
        <v>619001</v>
      </c>
    </row>
    <row r="40" spans="1:3" x14ac:dyDescent="0.25">
      <c r="A40" s="8" t="s">
        <v>43</v>
      </c>
      <c r="B40" s="7">
        <v>1185</v>
      </c>
      <c r="C40" s="9">
        <v>42660</v>
      </c>
    </row>
    <row r="41" spans="1:3" x14ac:dyDescent="0.25">
      <c r="A41" s="8" t="s">
        <v>101</v>
      </c>
      <c r="B41" s="7">
        <v>367</v>
      </c>
      <c r="C41" s="9">
        <v>194510</v>
      </c>
    </row>
    <row r="42" spans="1:3" x14ac:dyDescent="0.25">
      <c r="A42" s="8" t="s">
        <v>38</v>
      </c>
      <c r="B42" s="7">
        <v>393</v>
      </c>
      <c r="C42" s="9">
        <v>16656</v>
      </c>
    </row>
    <row r="43" spans="1:3" x14ac:dyDescent="0.25">
      <c r="A43" s="8" t="s">
        <v>63</v>
      </c>
      <c r="B43" s="7">
        <v>911</v>
      </c>
      <c r="C43" s="9">
        <v>159425</v>
      </c>
    </row>
    <row r="44" spans="1:3" x14ac:dyDescent="0.25">
      <c r="A44" s="8" t="s">
        <v>41</v>
      </c>
      <c r="B44" s="7">
        <v>743</v>
      </c>
      <c r="C44" s="9">
        <v>204325</v>
      </c>
    </row>
    <row r="45" spans="1:3" x14ac:dyDescent="0.25">
      <c r="A45" s="8" t="s">
        <v>40</v>
      </c>
      <c r="B45" s="7">
        <v>5</v>
      </c>
      <c r="C45" s="9">
        <v>1425</v>
      </c>
    </row>
    <row r="46" spans="1:3" x14ac:dyDescent="0.25">
      <c r="A46" s="6" t="s">
        <v>483</v>
      </c>
      <c r="B46" s="7">
        <v>438</v>
      </c>
      <c r="C46" s="9">
        <v>26778</v>
      </c>
    </row>
    <row r="47" spans="1:3" x14ac:dyDescent="0.25">
      <c r="A47" s="8" t="s">
        <v>43</v>
      </c>
      <c r="B47" s="7">
        <v>285</v>
      </c>
      <c r="C47" s="9">
        <v>11685</v>
      </c>
    </row>
    <row r="48" spans="1:3" x14ac:dyDescent="0.25">
      <c r="A48" s="8" t="s">
        <v>38</v>
      </c>
      <c r="B48" s="7">
        <v>96</v>
      </c>
      <c r="C48" s="9">
        <v>4320</v>
      </c>
    </row>
    <row r="49" spans="1:3" x14ac:dyDescent="0.25">
      <c r="A49" s="8" t="s">
        <v>63</v>
      </c>
      <c r="B49" s="7">
        <v>57</v>
      </c>
      <c r="C49" s="9">
        <v>10773</v>
      </c>
    </row>
    <row r="50" spans="1:3" x14ac:dyDescent="0.25">
      <c r="A50" s="6" t="s">
        <v>505</v>
      </c>
      <c r="B50" s="7">
        <v>10</v>
      </c>
      <c r="C50" s="9">
        <v>1850</v>
      </c>
    </row>
    <row r="51" spans="1:3" x14ac:dyDescent="0.25">
      <c r="A51" s="8" t="s">
        <v>468</v>
      </c>
      <c r="B51" s="7">
        <v>5</v>
      </c>
      <c r="C51" s="9">
        <v>200</v>
      </c>
    </row>
    <row r="52" spans="1:3" x14ac:dyDescent="0.25">
      <c r="A52" s="8" t="s">
        <v>92</v>
      </c>
      <c r="B52" s="7">
        <v>2</v>
      </c>
      <c r="C52" s="9">
        <v>680</v>
      </c>
    </row>
    <row r="53" spans="1:3" x14ac:dyDescent="0.25">
      <c r="A53" s="8" t="s">
        <v>41</v>
      </c>
      <c r="B53" s="7">
        <v>1</v>
      </c>
      <c r="C53" s="9">
        <v>300</v>
      </c>
    </row>
    <row r="54" spans="1:3" x14ac:dyDescent="0.25">
      <c r="A54" s="8" t="s">
        <v>44</v>
      </c>
      <c r="B54" s="7">
        <v>1</v>
      </c>
      <c r="C54" s="9">
        <v>370</v>
      </c>
    </row>
    <row r="55" spans="1:3" x14ac:dyDescent="0.25">
      <c r="A55" s="8" t="s">
        <v>40</v>
      </c>
      <c r="B55" s="7">
        <v>1</v>
      </c>
      <c r="C55" s="9">
        <v>300</v>
      </c>
    </row>
    <row r="56" spans="1:3" x14ac:dyDescent="0.25">
      <c r="A56" s="6" t="s">
        <v>520</v>
      </c>
      <c r="B56" s="7">
        <v>250</v>
      </c>
      <c r="C56" s="9">
        <v>45000</v>
      </c>
    </row>
    <row r="57" spans="1:3" x14ac:dyDescent="0.25">
      <c r="A57" s="8" t="s">
        <v>63</v>
      </c>
      <c r="B57" s="7">
        <v>250</v>
      </c>
      <c r="C57" s="9">
        <v>45000</v>
      </c>
    </row>
    <row r="58" spans="1:3" x14ac:dyDescent="0.25">
      <c r="A58" s="6" t="s">
        <v>527</v>
      </c>
      <c r="B58" s="7">
        <v>4</v>
      </c>
      <c r="C58" s="9">
        <v>1544</v>
      </c>
    </row>
    <row r="59" spans="1:3" x14ac:dyDescent="0.25">
      <c r="A59" s="8" t="s">
        <v>92</v>
      </c>
      <c r="B59" s="7">
        <v>4</v>
      </c>
      <c r="C59" s="9">
        <v>1544</v>
      </c>
    </row>
    <row r="60" spans="1:3" x14ac:dyDescent="0.25">
      <c r="A60" s="6" t="s">
        <v>541</v>
      </c>
      <c r="B60" s="7">
        <v>250</v>
      </c>
      <c r="C60" s="9">
        <v>8750</v>
      </c>
    </row>
    <row r="61" spans="1:3" x14ac:dyDescent="0.25">
      <c r="A61" s="8" t="s">
        <v>75</v>
      </c>
      <c r="B61" s="7">
        <v>250</v>
      </c>
      <c r="C61" s="9">
        <v>8750</v>
      </c>
    </row>
    <row r="62" spans="1:3" x14ac:dyDescent="0.25">
      <c r="A62" s="6" t="s">
        <v>552</v>
      </c>
      <c r="B62" s="7">
        <v>3479</v>
      </c>
      <c r="C62" s="9">
        <v>344617.62</v>
      </c>
    </row>
    <row r="63" spans="1:3" x14ac:dyDescent="0.25">
      <c r="A63" s="8" t="s">
        <v>75</v>
      </c>
      <c r="B63" s="7">
        <v>1500</v>
      </c>
      <c r="C63" s="9">
        <v>52500</v>
      </c>
    </row>
    <row r="64" spans="1:3" x14ac:dyDescent="0.25">
      <c r="A64" s="8" t="s">
        <v>43</v>
      </c>
      <c r="B64" s="7">
        <v>411</v>
      </c>
      <c r="C64" s="9">
        <v>18129.21</v>
      </c>
    </row>
    <row r="65" spans="1:3" x14ac:dyDescent="0.25">
      <c r="A65" s="8" t="s">
        <v>38</v>
      </c>
      <c r="B65" s="7">
        <v>531</v>
      </c>
      <c r="C65" s="9">
        <v>23422.41</v>
      </c>
    </row>
    <row r="66" spans="1:3" x14ac:dyDescent="0.25">
      <c r="A66" s="8" t="s">
        <v>63</v>
      </c>
      <c r="B66" s="7">
        <v>535</v>
      </c>
      <c r="C66" s="9">
        <v>94695</v>
      </c>
    </row>
    <row r="67" spans="1:3" x14ac:dyDescent="0.25">
      <c r="A67" s="8" t="s">
        <v>41</v>
      </c>
      <c r="B67" s="7">
        <v>251</v>
      </c>
      <c r="C67" s="9">
        <v>83332</v>
      </c>
    </row>
    <row r="68" spans="1:3" x14ac:dyDescent="0.25">
      <c r="A68" s="8" t="s">
        <v>40</v>
      </c>
      <c r="B68" s="7">
        <v>251</v>
      </c>
      <c r="C68" s="9">
        <v>72539</v>
      </c>
    </row>
    <row r="69" spans="1:3" x14ac:dyDescent="0.25">
      <c r="A69" s="6" t="s">
        <v>561</v>
      </c>
      <c r="B69" s="7">
        <v>160</v>
      </c>
      <c r="C69" s="9">
        <v>5760</v>
      </c>
    </row>
    <row r="70" spans="1:3" x14ac:dyDescent="0.25">
      <c r="A70" s="8" t="s">
        <v>468</v>
      </c>
      <c r="B70" s="7">
        <v>160</v>
      </c>
      <c r="C70" s="9">
        <v>5760</v>
      </c>
    </row>
    <row r="71" spans="1:3" x14ac:dyDescent="0.25">
      <c r="A71" s="6" t="s">
        <v>610</v>
      </c>
      <c r="B71" s="7">
        <v>814</v>
      </c>
      <c r="C71" s="9">
        <v>66240</v>
      </c>
    </row>
    <row r="72" spans="1:3" x14ac:dyDescent="0.25">
      <c r="A72" s="8" t="s">
        <v>75</v>
      </c>
      <c r="B72" s="7">
        <v>465</v>
      </c>
      <c r="C72" s="9">
        <v>16740</v>
      </c>
    </row>
    <row r="73" spans="1:3" x14ac:dyDescent="0.25">
      <c r="A73" s="8" t="s">
        <v>468</v>
      </c>
      <c r="B73" s="7">
        <v>235</v>
      </c>
      <c r="C73" s="9">
        <v>8460</v>
      </c>
    </row>
    <row r="74" spans="1:3" x14ac:dyDescent="0.25">
      <c r="A74" s="8" t="s">
        <v>92</v>
      </c>
      <c r="B74" s="7">
        <v>114</v>
      </c>
      <c r="C74" s="9">
        <v>41040</v>
      </c>
    </row>
    <row r="75" spans="1:3" x14ac:dyDescent="0.25">
      <c r="A75" s="6" t="s">
        <v>622</v>
      </c>
      <c r="B75" s="7">
        <v>16</v>
      </c>
      <c r="C75" s="9">
        <v>3680</v>
      </c>
    </row>
    <row r="76" spans="1:3" x14ac:dyDescent="0.25">
      <c r="A76" s="8" t="s">
        <v>63</v>
      </c>
      <c r="B76" s="7">
        <v>16</v>
      </c>
      <c r="C76" s="9">
        <v>3680</v>
      </c>
    </row>
    <row r="77" spans="1:3" x14ac:dyDescent="0.25">
      <c r="A77" s="6" t="s">
        <v>651</v>
      </c>
      <c r="B77" s="7">
        <v>702</v>
      </c>
      <c r="C77" s="9">
        <v>27027</v>
      </c>
    </row>
    <row r="78" spans="1:3" x14ac:dyDescent="0.25">
      <c r="A78" s="8" t="s">
        <v>43</v>
      </c>
      <c r="B78" s="7">
        <v>702</v>
      </c>
      <c r="C78" s="9">
        <v>27027</v>
      </c>
    </row>
    <row r="79" spans="1:3" x14ac:dyDescent="0.25">
      <c r="A79" s="6" t="s">
        <v>688</v>
      </c>
      <c r="B79" s="7">
        <v>744</v>
      </c>
      <c r="C79" s="9">
        <v>59550</v>
      </c>
    </row>
    <row r="80" spans="1:3" x14ac:dyDescent="0.25">
      <c r="A80" s="8" t="s">
        <v>43</v>
      </c>
      <c r="B80" s="7">
        <v>339</v>
      </c>
      <c r="C80" s="9">
        <v>13560</v>
      </c>
    </row>
    <row r="81" spans="1:3" x14ac:dyDescent="0.25">
      <c r="A81" s="8" t="s">
        <v>38</v>
      </c>
      <c r="B81" s="7">
        <v>195</v>
      </c>
      <c r="C81" s="9">
        <v>8190</v>
      </c>
    </row>
    <row r="82" spans="1:3" x14ac:dyDescent="0.25">
      <c r="A82" s="8" t="s">
        <v>63</v>
      </c>
      <c r="B82" s="7">
        <v>210</v>
      </c>
      <c r="C82" s="9">
        <v>37800</v>
      </c>
    </row>
    <row r="83" spans="1:3" x14ac:dyDescent="0.25">
      <c r="A83" s="6" t="s">
        <v>708</v>
      </c>
      <c r="B83" s="7">
        <v>105</v>
      </c>
      <c r="C83" s="9">
        <v>20580</v>
      </c>
    </row>
    <row r="84" spans="1:3" x14ac:dyDescent="0.25">
      <c r="A84" s="8" t="s">
        <v>38</v>
      </c>
      <c r="B84" s="7">
        <v>21</v>
      </c>
      <c r="C84" s="9">
        <v>1260</v>
      </c>
    </row>
    <row r="85" spans="1:3" x14ac:dyDescent="0.25">
      <c r="A85" s="8" t="s">
        <v>63</v>
      </c>
      <c r="B85" s="7">
        <v>84</v>
      </c>
      <c r="C85" s="9">
        <v>19320</v>
      </c>
    </row>
    <row r="86" spans="1:3" x14ac:dyDescent="0.25">
      <c r="A86" s="6" t="s">
        <v>716</v>
      </c>
      <c r="B86" s="7">
        <v>498</v>
      </c>
      <c r="C86" s="9">
        <v>96168</v>
      </c>
    </row>
    <row r="87" spans="1:3" x14ac:dyDescent="0.25">
      <c r="A87" s="8" t="s">
        <v>92</v>
      </c>
      <c r="B87" s="7">
        <v>93</v>
      </c>
      <c r="C87" s="9">
        <v>32178</v>
      </c>
    </row>
    <row r="88" spans="1:3" x14ac:dyDescent="0.25">
      <c r="A88" s="8" t="s">
        <v>38</v>
      </c>
      <c r="B88" s="7">
        <v>243</v>
      </c>
      <c r="C88" s="9">
        <v>12150</v>
      </c>
    </row>
    <row r="89" spans="1:3" x14ac:dyDescent="0.25">
      <c r="A89" s="8" t="s">
        <v>41</v>
      </c>
      <c r="B89" s="7">
        <v>81</v>
      </c>
      <c r="C89" s="9">
        <v>25920</v>
      </c>
    </row>
    <row r="90" spans="1:3" x14ac:dyDescent="0.25">
      <c r="A90" s="8" t="s">
        <v>40</v>
      </c>
      <c r="B90" s="7">
        <v>81</v>
      </c>
      <c r="C90" s="9">
        <v>25920</v>
      </c>
    </row>
    <row r="91" spans="1:3" x14ac:dyDescent="0.25">
      <c r="A91" s="6" t="s">
        <v>734</v>
      </c>
      <c r="B91" s="7">
        <v>35</v>
      </c>
      <c r="C91" s="9">
        <v>6125</v>
      </c>
    </row>
    <row r="92" spans="1:3" x14ac:dyDescent="0.25">
      <c r="A92" s="8" t="s">
        <v>63</v>
      </c>
      <c r="B92" s="7">
        <v>35</v>
      </c>
      <c r="C92" s="9">
        <v>6125</v>
      </c>
    </row>
    <row r="93" spans="1:3" x14ac:dyDescent="0.25">
      <c r="A93" s="6" t="s">
        <v>767</v>
      </c>
      <c r="B93" s="7">
        <v>195</v>
      </c>
      <c r="C93" s="9">
        <v>34905</v>
      </c>
    </row>
    <row r="94" spans="1:3" x14ac:dyDescent="0.25">
      <c r="A94" s="8" t="s">
        <v>63</v>
      </c>
      <c r="B94" s="7">
        <v>195</v>
      </c>
      <c r="C94" s="9">
        <v>34905</v>
      </c>
    </row>
    <row r="95" spans="1:3" x14ac:dyDescent="0.25">
      <c r="A95" s="6" t="s">
        <v>798</v>
      </c>
      <c r="B95" s="7">
        <v>519</v>
      </c>
      <c r="C95" s="9">
        <v>71354</v>
      </c>
    </row>
    <row r="96" spans="1:3" x14ac:dyDescent="0.25">
      <c r="A96" s="8" t="s">
        <v>43</v>
      </c>
      <c r="B96" s="7">
        <v>207</v>
      </c>
      <c r="C96" s="9">
        <v>10350</v>
      </c>
    </row>
    <row r="97" spans="1:3" x14ac:dyDescent="0.25">
      <c r="A97" s="8" t="s">
        <v>38</v>
      </c>
      <c r="B97" s="7">
        <v>105</v>
      </c>
      <c r="C97" s="9">
        <v>5250</v>
      </c>
    </row>
    <row r="98" spans="1:3" x14ac:dyDescent="0.25">
      <c r="A98" s="8" t="s">
        <v>63</v>
      </c>
      <c r="B98" s="7">
        <v>103</v>
      </c>
      <c r="C98" s="9">
        <v>20394</v>
      </c>
    </row>
    <row r="99" spans="1:3" x14ac:dyDescent="0.25">
      <c r="A99" s="8" t="s">
        <v>41</v>
      </c>
      <c r="B99" s="7">
        <v>52</v>
      </c>
      <c r="C99" s="9">
        <v>17680</v>
      </c>
    </row>
    <row r="100" spans="1:3" x14ac:dyDescent="0.25">
      <c r="A100" s="8" t="s">
        <v>40</v>
      </c>
      <c r="B100" s="7">
        <v>52</v>
      </c>
      <c r="C100" s="9">
        <v>17680</v>
      </c>
    </row>
    <row r="101" spans="1:3" x14ac:dyDescent="0.25">
      <c r="A101" s="6" t="s">
        <v>821</v>
      </c>
      <c r="B101" s="7">
        <v>120</v>
      </c>
      <c r="C101" s="9">
        <v>21600</v>
      </c>
    </row>
    <row r="102" spans="1:3" x14ac:dyDescent="0.25">
      <c r="A102" s="8" t="s">
        <v>63</v>
      </c>
      <c r="B102" s="7">
        <v>120</v>
      </c>
      <c r="C102" s="9">
        <v>21600</v>
      </c>
    </row>
    <row r="103" spans="1:3" x14ac:dyDescent="0.25">
      <c r="A103" s="6" t="s">
        <v>935</v>
      </c>
      <c r="B103" s="7">
        <v>316</v>
      </c>
      <c r="C103" s="9">
        <v>65140</v>
      </c>
    </row>
    <row r="104" spans="1:3" x14ac:dyDescent="0.25">
      <c r="A104" s="8" t="s">
        <v>38</v>
      </c>
      <c r="B104" s="7">
        <v>114</v>
      </c>
      <c r="C104" s="9">
        <v>5700</v>
      </c>
    </row>
    <row r="105" spans="1:3" x14ac:dyDescent="0.25">
      <c r="A105" s="8" t="s">
        <v>63</v>
      </c>
      <c r="B105" s="7">
        <v>90</v>
      </c>
      <c r="C105" s="9">
        <v>18000</v>
      </c>
    </row>
    <row r="106" spans="1:3" x14ac:dyDescent="0.25">
      <c r="A106" s="8" t="s">
        <v>41</v>
      </c>
      <c r="B106" s="7">
        <v>56</v>
      </c>
      <c r="C106" s="9">
        <v>20720</v>
      </c>
    </row>
    <row r="107" spans="1:3" x14ac:dyDescent="0.25">
      <c r="A107" s="8" t="s">
        <v>40</v>
      </c>
      <c r="B107" s="7">
        <v>56</v>
      </c>
      <c r="C107" s="9">
        <v>20720</v>
      </c>
    </row>
    <row r="108" spans="1:3" x14ac:dyDescent="0.25">
      <c r="A108" s="6" t="s">
        <v>969</v>
      </c>
      <c r="B108" s="7">
        <v>200</v>
      </c>
      <c r="C108" s="9">
        <v>60000</v>
      </c>
    </row>
    <row r="109" spans="1:3" x14ac:dyDescent="0.25">
      <c r="A109" s="8" t="s">
        <v>101</v>
      </c>
      <c r="B109" s="7">
        <v>50</v>
      </c>
      <c r="C109" s="9">
        <v>28000</v>
      </c>
    </row>
    <row r="110" spans="1:3" x14ac:dyDescent="0.25">
      <c r="A110" s="8" t="s">
        <v>63</v>
      </c>
      <c r="B110" s="7">
        <v>100</v>
      </c>
      <c r="C110" s="9">
        <v>17000</v>
      </c>
    </row>
    <row r="111" spans="1:3" x14ac:dyDescent="0.25">
      <c r="A111" s="8" t="s">
        <v>41</v>
      </c>
      <c r="B111" s="7">
        <v>50</v>
      </c>
      <c r="C111" s="9">
        <v>15000</v>
      </c>
    </row>
    <row r="112" spans="1:3" x14ac:dyDescent="0.25">
      <c r="A112" s="6" t="s">
        <v>972</v>
      </c>
      <c r="B112" s="7">
        <v>367</v>
      </c>
      <c r="C112" s="9">
        <v>85113.98</v>
      </c>
    </row>
    <row r="113" spans="1:3" x14ac:dyDescent="0.25">
      <c r="A113" s="8" t="s">
        <v>468</v>
      </c>
      <c r="B113" s="7">
        <v>60</v>
      </c>
      <c r="C113" s="9">
        <v>2520</v>
      </c>
    </row>
    <row r="114" spans="1:3" x14ac:dyDescent="0.25">
      <c r="A114" s="8" t="s">
        <v>101</v>
      </c>
      <c r="B114" s="7">
        <v>17</v>
      </c>
      <c r="C114" s="9">
        <v>8500</v>
      </c>
    </row>
    <row r="115" spans="1:3" x14ac:dyDescent="0.25">
      <c r="A115" s="8" t="s">
        <v>63</v>
      </c>
      <c r="B115" s="7">
        <v>148</v>
      </c>
      <c r="C115" s="9">
        <v>28773.98</v>
      </c>
    </row>
    <row r="116" spans="1:3" x14ac:dyDescent="0.25">
      <c r="A116" s="8" t="s">
        <v>41</v>
      </c>
      <c r="B116" s="7">
        <v>88</v>
      </c>
      <c r="C116" s="9">
        <v>27930</v>
      </c>
    </row>
    <row r="117" spans="1:3" x14ac:dyDescent="0.25">
      <c r="A117" s="8" t="s">
        <v>40</v>
      </c>
      <c r="B117" s="7">
        <v>54</v>
      </c>
      <c r="C117" s="9">
        <v>17390</v>
      </c>
    </row>
    <row r="118" spans="1:3" x14ac:dyDescent="0.25">
      <c r="A118" s="6" t="s">
        <v>999</v>
      </c>
      <c r="B118" s="7">
        <v>44</v>
      </c>
      <c r="C118" s="9">
        <v>7176</v>
      </c>
    </row>
    <row r="119" spans="1:3" x14ac:dyDescent="0.25">
      <c r="A119" s="8" t="s">
        <v>43</v>
      </c>
      <c r="B119" s="7">
        <v>12</v>
      </c>
      <c r="C119" s="9">
        <v>576</v>
      </c>
    </row>
    <row r="120" spans="1:3" x14ac:dyDescent="0.25">
      <c r="A120" s="8" t="s">
        <v>38</v>
      </c>
      <c r="B120" s="7">
        <v>12</v>
      </c>
      <c r="C120" s="9">
        <v>600</v>
      </c>
    </row>
    <row r="121" spans="1:3" x14ac:dyDescent="0.25">
      <c r="A121" s="8" t="s">
        <v>63</v>
      </c>
      <c r="B121" s="7">
        <v>10</v>
      </c>
      <c r="C121" s="9">
        <v>2200</v>
      </c>
    </row>
    <row r="122" spans="1:3" x14ac:dyDescent="0.25">
      <c r="A122" s="8" t="s">
        <v>41</v>
      </c>
      <c r="B122" s="7">
        <v>5</v>
      </c>
      <c r="C122" s="9">
        <v>1900</v>
      </c>
    </row>
    <row r="123" spans="1:3" x14ac:dyDescent="0.25">
      <c r="A123" s="8" t="s">
        <v>40</v>
      </c>
      <c r="B123" s="7">
        <v>5</v>
      </c>
      <c r="C123" s="9">
        <v>1900</v>
      </c>
    </row>
    <row r="124" spans="1:3" x14ac:dyDescent="0.25">
      <c r="A124" s="6" t="s">
        <v>1018</v>
      </c>
      <c r="B124" s="7">
        <v>818</v>
      </c>
      <c r="C124" s="9">
        <v>61414</v>
      </c>
    </row>
    <row r="125" spans="1:3" x14ac:dyDescent="0.25">
      <c r="A125" s="8" t="s">
        <v>75</v>
      </c>
      <c r="B125" s="7">
        <v>570</v>
      </c>
      <c r="C125" s="9">
        <v>19950</v>
      </c>
    </row>
    <row r="126" spans="1:3" x14ac:dyDescent="0.25">
      <c r="A126" s="8" t="s">
        <v>38</v>
      </c>
      <c r="B126" s="7">
        <v>108</v>
      </c>
      <c r="C126" s="9">
        <v>5184</v>
      </c>
    </row>
    <row r="127" spans="1:3" x14ac:dyDescent="0.25">
      <c r="A127" s="8" t="s">
        <v>63</v>
      </c>
      <c r="B127" s="7">
        <v>80</v>
      </c>
      <c r="C127" s="9">
        <v>16000</v>
      </c>
    </row>
    <row r="128" spans="1:3" x14ac:dyDescent="0.25">
      <c r="A128" s="8" t="s">
        <v>41</v>
      </c>
      <c r="B128" s="7">
        <v>30</v>
      </c>
      <c r="C128" s="9">
        <v>10140</v>
      </c>
    </row>
    <row r="129" spans="1:3" x14ac:dyDescent="0.25">
      <c r="A129" s="8" t="s">
        <v>40</v>
      </c>
      <c r="B129" s="7">
        <v>30</v>
      </c>
      <c r="C129" s="9">
        <v>10140</v>
      </c>
    </row>
    <row r="130" spans="1:3" x14ac:dyDescent="0.25">
      <c r="A130" s="6" t="s">
        <v>1144</v>
      </c>
      <c r="B130" s="7">
        <v>1008</v>
      </c>
      <c r="C130" s="9">
        <v>148708.14000000001</v>
      </c>
    </row>
    <row r="131" spans="1:3" x14ac:dyDescent="0.25">
      <c r="A131" s="8" t="s">
        <v>43</v>
      </c>
      <c r="B131" s="7">
        <v>177</v>
      </c>
      <c r="C131" s="9">
        <v>7641.6</v>
      </c>
    </row>
    <row r="132" spans="1:3" x14ac:dyDescent="0.25">
      <c r="A132" s="8" t="s">
        <v>38</v>
      </c>
      <c r="B132" s="7">
        <v>327</v>
      </c>
      <c r="C132" s="9">
        <v>13909.740000000002</v>
      </c>
    </row>
    <row r="133" spans="1:3" x14ac:dyDescent="0.25">
      <c r="A133" s="8" t="s">
        <v>63</v>
      </c>
      <c r="B133" s="7">
        <v>276</v>
      </c>
      <c r="C133" s="9">
        <v>52144.800000000003</v>
      </c>
    </row>
    <row r="134" spans="1:3" x14ac:dyDescent="0.25">
      <c r="A134" s="8" t="s">
        <v>41</v>
      </c>
      <c r="B134" s="7">
        <v>114</v>
      </c>
      <c r="C134" s="9">
        <v>38496</v>
      </c>
    </row>
    <row r="135" spans="1:3" x14ac:dyDescent="0.25">
      <c r="A135" s="8" t="s">
        <v>40</v>
      </c>
      <c r="B135" s="7">
        <v>114</v>
      </c>
      <c r="C135" s="9">
        <v>36516</v>
      </c>
    </row>
    <row r="136" spans="1:3" x14ac:dyDescent="0.25">
      <c r="A136" s="6" t="s">
        <v>1182</v>
      </c>
      <c r="B136" s="7">
        <v>30</v>
      </c>
      <c r="C136" s="9">
        <v>6600</v>
      </c>
    </row>
    <row r="137" spans="1:3" x14ac:dyDescent="0.25">
      <c r="A137" s="8" t="s">
        <v>63</v>
      </c>
      <c r="B137" s="7">
        <v>30</v>
      </c>
      <c r="C137" s="9">
        <v>6600</v>
      </c>
    </row>
    <row r="138" spans="1:3" x14ac:dyDescent="0.25">
      <c r="A138" s="6" t="s">
        <v>1201</v>
      </c>
      <c r="B138" s="7">
        <v>426</v>
      </c>
      <c r="C138" s="9">
        <v>82548</v>
      </c>
    </row>
    <row r="139" spans="1:3" x14ac:dyDescent="0.25">
      <c r="A139" s="8" t="s">
        <v>38</v>
      </c>
      <c r="B139" s="7">
        <v>150</v>
      </c>
      <c r="C139" s="9">
        <v>7200</v>
      </c>
    </row>
    <row r="140" spans="1:3" x14ac:dyDescent="0.25">
      <c r="A140" s="8" t="s">
        <v>63</v>
      </c>
      <c r="B140" s="7">
        <v>130</v>
      </c>
      <c r="C140" s="9">
        <v>26000</v>
      </c>
    </row>
    <row r="141" spans="1:3" x14ac:dyDescent="0.25">
      <c r="A141" s="8" t="s">
        <v>41</v>
      </c>
      <c r="B141" s="7">
        <v>71</v>
      </c>
      <c r="C141" s="9">
        <v>23998</v>
      </c>
    </row>
    <row r="142" spans="1:3" x14ac:dyDescent="0.25">
      <c r="A142" s="8" t="s">
        <v>40</v>
      </c>
      <c r="B142" s="7">
        <v>75</v>
      </c>
      <c r="C142" s="9">
        <v>25350</v>
      </c>
    </row>
    <row r="143" spans="1:3" x14ac:dyDescent="0.25">
      <c r="A143" s="6" t="s">
        <v>1221</v>
      </c>
      <c r="B143" s="7">
        <v>585</v>
      </c>
      <c r="C143" s="9">
        <v>53740.02</v>
      </c>
    </row>
    <row r="144" spans="1:3" x14ac:dyDescent="0.25">
      <c r="A144" s="8" t="s">
        <v>468</v>
      </c>
      <c r="B144" s="7">
        <v>420</v>
      </c>
      <c r="C144" s="9">
        <v>16800</v>
      </c>
    </row>
    <row r="145" spans="1:3" x14ac:dyDescent="0.25">
      <c r="A145" s="8" t="s">
        <v>43</v>
      </c>
      <c r="B145" s="7">
        <v>42</v>
      </c>
      <c r="C145" s="9">
        <v>1968.12</v>
      </c>
    </row>
    <row r="146" spans="1:3" x14ac:dyDescent="0.25">
      <c r="A146" s="8" t="s">
        <v>38</v>
      </c>
      <c r="B146" s="7">
        <v>42</v>
      </c>
      <c r="C146" s="9">
        <v>1722</v>
      </c>
    </row>
    <row r="147" spans="1:3" x14ac:dyDescent="0.25">
      <c r="A147" s="8" t="s">
        <v>41</v>
      </c>
      <c r="B147" s="7">
        <v>30</v>
      </c>
      <c r="C147" s="9">
        <v>12924.9</v>
      </c>
    </row>
    <row r="148" spans="1:3" x14ac:dyDescent="0.25">
      <c r="A148" s="8" t="s">
        <v>44</v>
      </c>
      <c r="B148" s="7">
        <v>21</v>
      </c>
      <c r="C148" s="9">
        <v>7455</v>
      </c>
    </row>
    <row r="149" spans="1:3" x14ac:dyDescent="0.25">
      <c r="A149" s="8" t="s">
        <v>40</v>
      </c>
      <c r="B149" s="7">
        <v>30</v>
      </c>
      <c r="C149" s="9">
        <v>12870</v>
      </c>
    </row>
    <row r="150" spans="1:3" x14ac:dyDescent="0.25">
      <c r="A150" s="6" t="s">
        <v>1278</v>
      </c>
      <c r="B150" s="7">
        <v>492</v>
      </c>
      <c r="C150" s="9">
        <v>52752</v>
      </c>
    </row>
    <row r="151" spans="1:3" x14ac:dyDescent="0.25">
      <c r="A151" s="8" t="s">
        <v>43</v>
      </c>
      <c r="B151" s="7">
        <v>252</v>
      </c>
      <c r="C151" s="9">
        <v>9072</v>
      </c>
    </row>
    <row r="152" spans="1:3" x14ac:dyDescent="0.25">
      <c r="A152" s="8" t="s">
        <v>63</v>
      </c>
      <c r="B152" s="7">
        <v>240</v>
      </c>
      <c r="C152" s="9">
        <v>43680</v>
      </c>
    </row>
    <row r="153" spans="1:3" x14ac:dyDescent="0.25">
      <c r="A153" s="6" t="s">
        <v>1336</v>
      </c>
      <c r="B153" s="7">
        <v>30</v>
      </c>
      <c r="C153" s="9">
        <v>5700</v>
      </c>
    </row>
    <row r="154" spans="1:3" x14ac:dyDescent="0.25">
      <c r="A154" s="8" t="s">
        <v>63</v>
      </c>
      <c r="B154" s="7">
        <v>30</v>
      </c>
      <c r="C154" s="9">
        <v>5700</v>
      </c>
    </row>
    <row r="155" spans="1:3" x14ac:dyDescent="0.25">
      <c r="A155" s="6" t="s">
        <v>1339</v>
      </c>
      <c r="B155" s="7">
        <v>380</v>
      </c>
      <c r="C155" s="9">
        <v>13300</v>
      </c>
    </row>
    <row r="156" spans="1:3" x14ac:dyDescent="0.25">
      <c r="A156" s="8" t="s">
        <v>75</v>
      </c>
      <c r="B156" s="7">
        <v>380</v>
      </c>
      <c r="C156" s="9">
        <v>13300</v>
      </c>
    </row>
    <row r="157" spans="1:3" x14ac:dyDescent="0.25">
      <c r="A157" s="6" t="s">
        <v>1378</v>
      </c>
      <c r="B157" s="7">
        <v>66</v>
      </c>
      <c r="C157" s="9">
        <v>12210</v>
      </c>
    </row>
    <row r="158" spans="1:3" x14ac:dyDescent="0.25">
      <c r="A158" s="8" t="s">
        <v>63</v>
      </c>
      <c r="B158" s="7">
        <v>66</v>
      </c>
      <c r="C158" s="9">
        <v>12210</v>
      </c>
    </row>
    <row r="159" spans="1:3" x14ac:dyDescent="0.25">
      <c r="A159" s="6" t="s">
        <v>1440</v>
      </c>
      <c r="B159" s="7">
        <v>1173</v>
      </c>
      <c r="C159" s="9">
        <v>288050</v>
      </c>
    </row>
    <row r="160" spans="1:3" x14ac:dyDescent="0.25">
      <c r="A160" s="8" t="s">
        <v>38</v>
      </c>
      <c r="B160" s="7">
        <v>243</v>
      </c>
      <c r="C160" s="9">
        <v>12150</v>
      </c>
    </row>
    <row r="161" spans="1:3" x14ac:dyDescent="0.25">
      <c r="A161" s="8" t="s">
        <v>41</v>
      </c>
      <c r="B161" s="7">
        <v>310</v>
      </c>
      <c r="C161" s="9">
        <v>83700</v>
      </c>
    </row>
    <row r="162" spans="1:3" x14ac:dyDescent="0.25">
      <c r="A162" s="8" t="s">
        <v>44</v>
      </c>
      <c r="B162" s="7">
        <v>310</v>
      </c>
      <c r="C162" s="9">
        <v>108500</v>
      </c>
    </row>
    <row r="163" spans="1:3" x14ac:dyDescent="0.25">
      <c r="A163" s="8" t="s">
        <v>40</v>
      </c>
      <c r="B163" s="7">
        <v>310</v>
      </c>
      <c r="C163" s="9">
        <v>83700</v>
      </c>
    </row>
    <row r="164" spans="1:3" x14ac:dyDescent="0.25">
      <c r="A164" s="6" t="s">
        <v>1485</v>
      </c>
      <c r="B164" s="7">
        <v>22214</v>
      </c>
      <c r="C164" s="9">
        <v>3078121.7600000002</v>
      </c>
    </row>
    <row r="166" spans="1:3" x14ac:dyDescent="0.25">
      <c r="A166" s="10" t="s">
        <v>1486</v>
      </c>
      <c r="B166" s="10" t="s">
        <v>1487</v>
      </c>
    </row>
    <row r="167" spans="1:3" x14ac:dyDescent="0.25">
      <c r="A167" s="6" t="s">
        <v>75</v>
      </c>
      <c r="B167" s="7">
        <v>3915</v>
      </c>
    </row>
    <row r="168" spans="1:3" x14ac:dyDescent="0.25">
      <c r="A168" s="6" t="s">
        <v>468</v>
      </c>
      <c r="B168" s="7">
        <v>880</v>
      </c>
    </row>
    <row r="169" spans="1:3" x14ac:dyDescent="0.25">
      <c r="A169" s="6" t="s">
        <v>43</v>
      </c>
      <c r="B169" s="7">
        <v>4347</v>
      </c>
    </row>
    <row r="170" spans="1:3" x14ac:dyDescent="0.25">
      <c r="A170" s="6" t="s">
        <v>92</v>
      </c>
      <c r="B170" s="7">
        <v>213</v>
      </c>
    </row>
    <row r="171" spans="1:3" x14ac:dyDescent="0.25">
      <c r="A171" s="6" t="s">
        <v>101</v>
      </c>
      <c r="B171" s="7">
        <v>474</v>
      </c>
    </row>
    <row r="172" spans="1:3" x14ac:dyDescent="0.25">
      <c r="A172" s="6" t="s">
        <v>38</v>
      </c>
      <c r="B172" s="7">
        <v>3024</v>
      </c>
    </row>
    <row r="173" spans="1:3" x14ac:dyDescent="0.25">
      <c r="A173" s="6" t="s">
        <v>63</v>
      </c>
      <c r="B173" s="7">
        <v>5156</v>
      </c>
    </row>
    <row r="174" spans="1:3" x14ac:dyDescent="0.25">
      <c r="A174" s="6" t="s">
        <v>41</v>
      </c>
      <c r="B174" s="7">
        <v>2388</v>
      </c>
    </row>
    <row r="175" spans="1:3" x14ac:dyDescent="0.25">
      <c r="A175" s="6" t="s">
        <v>44</v>
      </c>
      <c r="B175" s="7">
        <v>332</v>
      </c>
    </row>
    <row r="176" spans="1:3" x14ac:dyDescent="0.25">
      <c r="A176" s="6" t="s">
        <v>40</v>
      </c>
      <c r="B176" s="7">
        <v>1485</v>
      </c>
    </row>
    <row r="177" spans="1:3" x14ac:dyDescent="0.25">
      <c r="A177" s="14" t="s">
        <v>1485</v>
      </c>
      <c r="B177" s="15">
        <v>22214</v>
      </c>
    </row>
    <row r="179" spans="1:3" x14ac:dyDescent="0.25">
      <c r="A179" s="10" t="s">
        <v>1486</v>
      </c>
      <c r="B179" s="10" t="s">
        <v>1487</v>
      </c>
      <c r="C179" s="10" t="s">
        <v>1495</v>
      </c>
    </row>
    <row r="180" spans="1:3" x14ac:dyDescent="0.25">
      <c r="A180" s="19" t="s">
        <v>65</v>
      </c>
      <c r="B180" s="20">
        <v>160</v>
      </c>
      <c r="C180" s="21">
        <v>156000</v>
      </c>
    </row>
    <row r="181" spans="1:3" x14ac:dyDescent="0.25">
      <c r="A181" s="8" t="s">
        <v>72</v>
      </c>
      <c r="B181" s="7">
        <v>160</v>
      </c>
      <c r="C181" s="9">
        <v>156000</v>
      </c>
    </row>
    <row r="182" spans="1:3" x14ac:dyDescent="0.25">
      <c r="A182" s="19" t="s">
        <v>123</v>
      </c>
      <c r="B182" s="20">
        <v>16</v>
      </c>
      <c r="C182" s="21">
        <v>2960</v>
      </c>
    </row>
    <row r="183" spans="1:3" x14ac:dyDescent="0.25">
      <c r="A183" s="8" t="s">
        <v>131</v>
      </c>
      <c r="B183" s="7">
        <v>16</v>
      </c>
      <c r="C183" s="9">
        <v>2960</v>
      </c>
    </row>
    <row r="184" spans="1:3" x14ac:dyDescent="0.25">
      <c r="A184" s="19" t="s">
        <v>283</v>
      </c>
      <c r="B184" s="20">
        <v>115</v>
      </c>
      <c r="C184" s="21">
        <v>21850</v>
      </c>
    </row>
    <row r="185" spans="1:3" x14ac:dyDescent="0.25">
      <c r="A185" s="8" t="s">
        <v>42</v>
      </c>
      <c r="B185" s="7">
        <v>115</v>
      </c>
      <c r="C185" s="9">
        <v>21850</v>
      </c>
    </row>
    <row r="186" spans="1:3" x14ac:dyDescent="0.25">
      <c r="A186" s="19" t="s">
        <v>334</v>
      </c>
      <c r="B186" s="20">
        <v>100</v>
      </c>
      <c r="C186" s="21">
        <v>1200</v>
      </c>
    </row>
    <row r="187" spans="1:3" x14ac:dyDescent="0.25">
      <c r="A187" s="8" t="s">
        <v>339</v>
      </c>
      <c r="B187" s="7">
        <v>100</v>
      </c>
      <c r="C187" s="9">
        <v>1200</v>
      </c>
    </row>
    <row r="188" spans="1:3" x14ac:dyDescent="0.25">
      <c r="A188" s="19" t="s">
        <v>541</v>
      </c>
      <c r="B188" s="20">
        <v>600</v>
      </c>
      <c r="C188" s="21">
        <v>12900</v>
      </c>
    </row>
    <row r="189" spans="1:3" x14ac:dyDescent="0.25">
      <c r="A189" s="8" t="s">
        <v>30</v>
      </c>
      <c r="B189" s="7">
        <v>600</v>
      </c>
      <c r="C189" s="9">
        <v>12900</v>
      </c>
    </row>
    <row r="190" spans="1:3" x14ac:dyDescent="0.25">
      <c r="A190" s="19" t="s">
        <v>552</v>
      </c>
      <c r="B190" s="20">
        <v>330</v>
      </c>
      <c r="C190" s="21">
        <v>87650</v>
      </c>
    </row>
    <row r="191" spans="1:3" x14ac:dyDescent="0.25">
      <c r="A191" s="8" t="s">
        <v>72</v>
      </c>
      <c r="B191" s="7">
        <v>40</v>
      </c>
      <c r="C191" s="9">
        <v>34000</v>
      </c>
    </row>
    <row r="192" spans="1:3" x14ac:dyDescent="0.25">
      <c r="A192" s="8" t="s">
        <v>42</v>
      </c>
      <c r="B192" s="7">
        <v>290</v>
      </c>
      <c r="C192" s="9">
        <v>53650</v>
      </c>
    </row>
    <row r="193" spans="1:3" x14ac:dyDescent="0.25">
      <c r="A193" s="19" t="s">
        <v>610</v>
      </c>
      <c r="B193" s="20">
        <v>3045</v>
      </c>
      <c r="C193" s="21">
        <v>54352</v>
      </c>
    </row>
    <row r="194" spans="1:3" x14ac:dyDescent="0.25">
      <c r="A194" s="8" t="s">
        <v>35</v>
      </c>
      <c r="B194" s="7">
        <v>125</v>
      </c>
      <c r="C194" s="9">
        <v>7500</v>
      </c>
    </row>
    <row r="195" spans="1:3" x14ac:dyDescent="0.25">
      <c r="A195" s="8" t="s">
        <v>192</v>
      </c>
      <c r="B195" s="7">
        <v>640</v>
      </c>
      <c r="C195" s="9">
        <v>10752</v>
      </c>
    </row>
    <row r="196" spans="1:3" x14ac:dyDescent="0.25">
      <c r="A196" s="8" t="s">
        <v>258</v>
      </c>
      <c r="B196" s="7">
        <v>1000</v>
      </c>
      <c r="C196" s="9">
        <v>10500</v>
      </c>
    </row>
    <row r="197" spans="1:3" x14ac:dyDescent="0.25">
      <c r="A197" s="8" t="s">
        <v>191</v>
      </c>
      <c r="B197" s="7">
        <v>640</v>
      </c>
      <c r="C197" s="9">
        <v>12160</v>
      </c>
    </row>
    <row r="198" spans="1:3" x14ac:dyDescent="0.25">
      <c r="A198" s="8" t="s">
        <v>32</v>
      </c>
      <c r="B198" s="7">
        <v>640</v>
      </c>
      <c r="C198" s="9">
        <v>13440</v>
      </c>
    </row>
    <row r="199" spans="1:3" x14ac:dyDescent="0.25">
      <c r="A199" s="19" t="s">
        <v>667</v>
      </c>
      <c r="B199" s="20">
        <v>17</v>
      </c>
      <c r="C199" s="21">
        <v>2720</v>
      </c>
    </row>
    <row r="200" spans="1:3" x14ac:dyDescent="0.25">
      <c r="A200" s="8" t="s">
        <v>671</v>
      </c>
      <c r="B200" s="7">
        <v>5</v>
      </c>
      <c r="C200" s="9">
        <v>500</v>
      </c>
    </row>
    <row r="201" spans="1:3" x14ac:dyDescent="0.25">
      <c r="A201" s="8" t="s">
        <v>131</v>
      </c>
      <c r="B201" s="7">
        <v>12</v>
      </c>
      <c r="C201" s="9">
        <v>2220</v>
      </c>
    </row>
    <row r="202" spans="1:3" x14ac:dyDescent="0.25">
      <c r="A202" s="19" t="s">
        <v>688</v>
      </c>
      <c r="B202" s="20">
        <v>80</v>
      </c>
      <c r="C202" s="21">
        <v>8800</v>
      </c>
    </row>
    <row r="203" spans="1:3" x14ac:dyDescent="0.25">
      <c r="A203" s="8" t="s">
        <v>29</v>
      </c>
      <c r="B203" s="7">
        <v>80</v>
      </c>
      <c r="C203" s="9">
        <v>8800</v>
      </c>
    </row>
    <row r="204" spans="1:3" x14ac:dyDescent="0.25">
      <c r="A204" s="19" t="s">
        <v>708</v>
      </c>
      <c r="B204" s="20">
        <v>200</v>
      </c>
      <c r="C204" s="21">
        <v>4600</v>
      </c>
    </row>
    <row r="205" spans="1:3" x14ac:dyDescent="0.25">
      <c r="A205" s="8" t="s">
        <v>30</v>
      </c>
      <c r="B205" s="7">
        <v>200</v>
      </c>
      <c r="C205" s="9">
        <v>4600</v>
      </c>
    </row>
    <row r="206" spans="1:3" x14ac:dyDescent="0.25">
      <c r="A206" s="19" t="s">
        <v>798</v>
      </c>
      <c r="B206" s="20">
        <v>105</v>
      </c>
      <c r="C206" s="21">
        <v>21000</v>
      </c>
    </row>
    <row r="207" spans="1:3" x14ac:dyDescent="0.25">
      <c r="A207" s="8" t="s">
        <v>42</v>
      </c>
      <c r="B207" s="7">
        <v>105</v>
      </c>
      <c r="C207" s="9">
        <v>21000</v>
      </c>
    </row>
    <row r="208" spans="1:3" x14ac:dyDescent="0.25">
      <c r="A208" s="19" t="s">
        <v>821</v>
      </c>
      <c r="B208" s="20">
        <v>1212</v>
      </c>
      <c r="C208" s="21">
        <v>24840</v>
      </c>
    </row>
    <row r="209" spans="1:3" x14ac:dyDescent="0.25">
      <c r="A209" s="8" t="s">
        <v>177</v>
      </c>
      <c r="B209" s="7">
        <v>1200</v>
      </c>
      <c r="C209" s="9">
        <v>22800</v>
      </c>
    </row>
    <row r="210" spans="1:3" x14ac:dyDescent="0.25">
      <c r="A210" s="8" t="s">
        <v>131</v>
      </c>
      <c r="B210" s="7">
        <v>12</v>
      </c>
      <c r="C210" s="9">
        <v>2040</v>
      </c>
    </row>
    <row r="211" spans="1:3" x14ac:dyDescent="0.25">
      <c r="A211" s="19" t="s">
        <v>935</v>
      </c>
      <c r="B211" s="20">
        <v>125</v>
      </c>
      <c r="C211" s="21">
        <v>30630</v>
      </c>
    </row>
    <row r="212" spans="1:3" x14ac:dyDescent="0.25">
      <c r="A212" s="8" t="s">
        <v>72</v>
      </c>
      <c r="B212" s="7">
        <v>10</v>
      </c>
      <c r="C212" s="9">
        <v>8780</v>
      </c>
    </row>
    <row r="213" spans="1:3" x14ac:dyDescent="0.25">
      <c r="A213" s="8" t="s">
        <v>42</v>
      </c>
      <c r="B213" s="7">
        <v>115</v>
      </c>
      <c r="C213" s="9">
        <v>21850</v>
      </c>
    </row>
    <row r="214" spans="1:3" x14ac:dyDescent="0.25">
      <c r="A214" s="19" t="s">
        <v>972</v>
      </c>
      <c r="B214" s="20">
        <v>600</v>
      </c>
      <c r="C214" s="21">
        <v>36600</v>
      </c>
    </row>
    <row r="215" spans="1:3" x14ac:dyDescent="0.25">
      <c r="A215" s="8" t="s">
        <v>35</v>
      </c>
      <c r="B215" s="7">
        <v>600</v>
      </c>
      <c r="C215" s="9">
        <v>36600</v>
      </c>
    </row>
    <row r="216" spans="1:3" x14ac:dyDescent="0.25">
      <c r="A216" s="19" t="s">
        <v>1144</v>
      </c>
      <c r="B216" s="20">
        <v>505</v>
      </c>
      <c r="C216" s="21">
        <v>66510</v>
      </c>
    </row>
    <row r="217" spans="1:3" x14ac:dyDescent="0.25">
      <c r="A217" s="8" t="s">
        <v>35</v>
      </c>
      <c r="B217" s="7">
        <v>200</v>
      </c>
      <c r="C217" s="9">
        <v>12800</v>
      </c>
    </row>
    <row r="218" spans="1:3" x14ac:dyDescent="0.25">
      <c r="A218" s="8" t="s">
        <v>42</v>
      </c>
      <c r="B218" s="7">
        <v>305</v>
      </c>
      <c r="C218" s="9">
        <v>53710</v>
      </c>
    </row>
    <row r="219" spans="1:3" x14ac:dyDescent="0.25">
      <c r="A219" s="19" t="s">
        <v>1221</v>
      </c>
      <c r="B219" s="20">
        <v>1035</v>
      </c>
      <c r="C219" s="21">
        <v>35550</v>
      </c>
    </row>
    <row r="220" spans="1:3" x14ac:dyDescent="0.25">
      <c r="A220" s="8" t="s">
        <v>35</v>
      </c>
      <c r="B220" s="7">
        <v>150</v>
      </c>
      <c r="C220" s="9">
        <v>9750</v>
      </c>
    </row>
    <row r="221" spans="1:3" x14ac:dyDescent="0.25">
      <c r="A221" s="8" t="s">
        <v>30</v>
      </c>
      <c r="B221" s="7">
        <v>840</v>
      </c>
      <c r="C221" s="9">
        <v>16800</v>
      </c>
    </row>
    <row r="222" spans="1:3" x14ac:dyDescent="0.25">
      <c r="A222" s="8" t="s">
        <v>42</v>
      </c>
      <c r="B222" s="7">
        <v>45</v>
      </c>
      <c r="C222" s="9">
        <v>9000</v>
      </c>
    </row>
    <row r="223" spans="1:3" x14ac:dyDescent="0.25">
      <c r="A223" s="19" t="s">
        <v>1378</v>
      </c>
      <c r="B223" s="20">
        <v>150</v>
      </c>
      <c r="C223" s="21">
        <v>3600</v>
      </c>
    </row>
    <row r="224" spans="1:3" x14ac:dyDescent="0.25">
      <c r="A224" s="8" t="s">
        <v>34</v>
      </c>
      <c r="B224" s="7">
        <v>150</v>
      </c>
      <c r="C224" s="9">
        <v>3600</v>
      </c>
    </row>
    <row r="225" spans="1:3" x14ac:dyDescent="0.25">
      <c r="A225" s="19" t="s">
        <v>1401</v>
      </c>
      <c r="B225" s="20">
        <v>35</v>
      </c>
      <c r="C225" s="21">
        <v>3030</v>
      </c>
    </row>
    <row r="226" spans="1:3" x14ac:dyDescent="0.25">
      <c r="A226" s="8" t="s">
        <v>35</v>
      </c>
      <c r="B226" s="7">
        <v>30</v>
      </c>
      <c r="C226" s="9">
        <v>2040</v>
      </c>
    </row>
    <row r="227" spans="1:3" x14ac:dyDescent="0.25">
      <c r="A227" s="8" t="s">
        <v>131</v>
      </c>
      <c r="B227" s="7">
        <v>5</v>
      </c>
      <c r="C227" s="9">
        <v>990</v>
      </c>
    </row>
    <row r="228" spans="1:3" x14ac:dyDescent="0.25">
      <c r="A228" s="19" t="s">
        <v>1440</v>
      </c>
      <c r="B228" s="20">
        <v>140</v>
      </c>
      <c r="C228" s="21">
        <v>8400</v>
      </c>
    </row>
    <row r="229" spans="1:3" x14ac:dyDescent="0.25">
      <c r="A229" s="8" t="s">
        <v>36</v>
      </c>
      <c r="B229" s="7">
        <v>140</v>
      </c>
      <c r="C229" s="9">
        <v>8400</v>
      </c>
    </row>
    <row r="230" spans="1:3" x14ac:dyDescent="0.25">
      <c r="A230" s="14" t="s">
        <v>1485</v>
      </c>
      <c r="B230" s="15">
        <v>8570</v>
      </c>
      <c r="C230" s="22">
        <v>583192</v>
      </c>
    </row>
    <row r="232" spans="1:3" x14ac:dyDescent="0.25">
      <c r="A232" s="10" t="s">
        <v>1486</v>
      </c>
      <c r="B232" s="10" t="s">
        <v>1487</v>
      </c>
    </row>
    <row r="233" spans="1:3" x14ac:dyDescent="0.25">
      <c r="A233" s="6" t="s">
        <v>36</v>
      </c>
      <c r="B233" s="7">
        <v>140</v>
      </c>
    </row>
    <row r="234" spans="1:3" x14ac:dyDescent="0.25">
      <c r="A234" s="6" t="s">
        <v>177</v>
      </c>
      <c r="B234" s="7">
        <v>1200</v>
      </c>
    </row>
    <row r="235" spans="1:3" x14ac:dyDescent="0.25">
      <c r="A235" s="6" t="s">
        <v>671</v>
      </c>
      <c r="B235" s="7">
        <v>5</v>
      </c>
    </row>
    <row r="236" spans="1:3" x14ac:dyDescent="0.25">
      <c r="A236" s="6" t="s">
        <v>72</v>
      </c>
      <c r="B236" s="7">
        <v>210</v>
      </c>
    </row>
    <row r="237" spans="1:3" x14ac:dyDescent="0.25">
      <c r="A237" s="6" t="s">
        <v>35</v>
      </c>
      <c r="B237" s="7">
        <v>1105</v>
      </c>
    </row>
    <row r="238" spans="1:3" x14ac:dyDescent="0.25">
      <c r="A238" s="6" t="s">
        <v>29</v>
      </c>
      <c r="B238" s="7">
        <v>80</v>
      </c>
    </row>
    <row r="239" spans="1:3" x14ac:dyDescent="0.25">
      <c r="A239" s="6" t="s">
        <v>192</v>
      </c>
      <c r="B239" s="7">
        <v>640</v>
      </c>
    </row>
    <row r="240" spans="1:3" x14ac:dyDescent="0.25">
      <c r="A240" s="6" t="s">
        <v>258</v>
      </c>
      <c r="B240" s="7">
        <v>1000</v>
      </c>
    </row>
    <row r="241" spans="1:2" x14ac:dyDescent="0.25">
      <c r="A241" s="6" t="s">
        <v>131</v>
      </c>
      <c r="B241" s="7">
        <v>45</v>
      </c>
    </row>
    <row r="242" spans="1:2" x14ac:dyDescent="0.25">
      <c r="A242" s="6" t="s">
        <v>34</v>
      </c>
      <c r="B242" s="7">
        <v>150</v>
      </c>
    </row>
    <row r="243" spans="1:2" x14ac:dyDescent="0.25">
      <c r="A243" s="6" t="s">
        <v>191</v>
      </c>
      <c r="B243" s="7">
        <v>640</v>
      </c>
    </row>
    <row r="244" spans="1:2" x14ac:dyDescent="0.25">
      <c r="A244" s="6" t="s">
        <v>30</v>
      </c>
      <c r="B244" s="7">
        <v>1640</v>
      </c>
    </row>
    <row r="245" spans="1:2" x14ac:dyDescent="0.25">
      <c r="A245" s="6" t="s">
        <v>42</v>
      </c>
      <c r="B245" s="7">
        <v>975</v>
      </c>
    </row>
    <row r="246" spans="1:2" x14ac:dyDescent="0.25">
      <c r="A246" s="6" t="s">
        <v>32</v>
      </c>
      <c r="B246" s="7">
        <v>640</v>
      </c>
    </row>
    <row r="247" spans="1:2" x14ac:dyDescent="0.25">
      <c r="A247" s="6" t="s">
        <v>339</v>
      </c>
      <c r="B247" s="7">
        <v>100</v>
      </c>
    </row>
    <row r="248" spans="1:2" x14ac:dyDescent="0.25">
      <c r="A248" s="14" t="s">
        <v>1485</v>
      </c>
      <c r="B248" s="15">
        <v>8570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8F4CB-0159-4857-8CC2-1E95A444BD92}">
  <dimension ref="A1:C40"/>
  <sheetViews>
    <sheetView workbookViewId="0">
      <selection activeCell="C3" sqref="C3"/>
    </sheetView>
  </sheetViews>
  <sheetFormatPr defaultRowHeight="13.2" x14ac:dyDescent="0.25"/>
  <cols>
    <col min="1" max="1" width="25.5546875" bestFit="1" customWidth="1"/>
    <col min="2" max="2" width="47.33203125" bestFit="1" customWidth="1"/>
  </cols>
  <sheetData>
    <row r="1" spans="1:3" x14ac:dyDescent="0.25">
      <c r="A1" s="16" t="s">
        <v>1498</v>
      </c>
      <c r="B1" s="16" t="s">
        <v>1499</v>
      </c>
      <c r="C1" s="16" t="s">
        <v>1500</v>
      </c>
    </row>
    <row r="2" spans="1:3" x14ac:dyDescent="0.25">
      <c r="A2" t="s">
        <v>65</v>
      </c>
      <c r="B2" s="6" t="s">
        <v>75</v>
      </c>
      <c r="C2" s="16" t="e">
        <f>VLOOKUP(Planilha5!B2,'Carteira Pedidos de Venda - 202'!I:Q,10,TRUE)</f>
        <v>#N/A</v>
      </c>
    </row>
    <row r="3" spans="1:3" x14ac:dyDescent="0.25">
      <c r="A3" t="s">
        <v>65</v>
      </c>
      <c r="B3" s="6" t="s">
        <v>468</v>
      </c>
      <c r="C3" s="16" t="e">
        <f>VLOOKUP(Planilha5!B3,'Carteira Pedidos de Venda - 202'!I:Q,10,TRUE)</f>
        <v>#N/A</v>
      </c>
    </row>
    <row r="4" spans="1:3" x14ac:dyDescent="0.25">
      <c r="A4" t="s">
        <v>65</v>
      </c>
      <c r="B4" s="6" t="s">
        <v>59</v>
      </c>
      <c r="C4" s="16" t="e">
        <f>VLOOKUP(Planilha5!B4,'Carteira Pedidos de Venda - 202'!I:Q,10,TRUE)</f>
        <v>#REF!</v>
      </c>
    </row>
    <row r="5" spans="1:3" x14ac:dyDescent="0.25">
      <c r="A5" t="s">
        <v>65</v>
      </c>
      <c r="B5" s="6" t="s">
        <v>43</v>
      </c>
      <c r="C5" s="16" t="e">
        <f>VLOOKUP(Planilha5!B5,'Carteira Pedidos de Venda - 202'!I:Q,10,TRUE)</f>
        <v>#REF!</v>
      </c>
    </row>
    <row r="6" spans="1:3" x14ac:dyDescent="0.25">
      <c r="A6" t="s">
        <v>65</v>
      </c>
      <c r="B6" s="6" t="s">
        <v>92</v>
      </c>
      <c r="C6" s="16" t="e">
        <f>VLOOKUP(Planilha5!B6,'Carteira Pedidos de Venda - 202'!I:Q,10,TRUE)</f>
        <v>#REF!</v>
      </c>
    </row>
    <row r="7" spans="1:3" x14ac:dyDescent="0.25">
      <c r="A7" t="s">
        <v>65</v>
      </c>
      <c r="B7" s="6" t="s">
        <v>101</v>
      </c>
      <c r="C7" s="16" t="e">
        <f>VLOOKUP(Planilha5!B7,'Carteira Pedidos de Venda - 202'!I:Q,10,TRUE)</f>
        <v>#REF!</v>
      </c>
    </row>
    <row r="8" spans="1:3" x14ac:dyDescent="0.25">
      <c r="A8" t="s">
        <v>65</v>
      </c>
      <c r="B8" s="6" t="s">
        <v>38</v>
      </c>
      <c r="C8" s="16" t="e">
        <f>VLOOKUP(Planilha5!B8,'Carteira Pedidos de Venda - 202'!I:Q,10,TRUE)</f>
        <v>#REF!</v>
      </c>
    </row>
    <row r="9" spans="1:3" x14ac:dyDescent="0.25">
      <c r="A9" t="s">
        <v>65</v>
      </c>
      <c r="B9" s="6" t="s">
        <v>201</v>
      </c>
      <c r="C9" s="16" t="e">
        <f>VLOOKUP(Planilha5!B9,'Carteira Pedidos de Venda - 202'!I:Q,10,TRUE)</f>
        <v>#REF!</v>
      </c>
    </row>
    <row r="10" spans="1:3" x14ac:dyDescent="0.25">
      <c r="A10" t="s">
        <v>65</v>
      </c>
      <c r="B10" s="6" t="s">
        <v>63</v>
      </c>
      <c r="C10" s="16" t="e">
        <f>VLOOKUP(Planilha5!B10,'Carteira Pedidos de Venda - 202'!I:Q,10,TRUE)</f>
        <v>#REF!</v>
      </c>
    </row>
    <row r="11" spans="1:3" x14ac:dyDescent="0.25">
      <c r="A11" t="s">
        <v>65</v>
      </c>
      <c r="B11" s="6" t="s">
        <v>41</v>
      </c>
      <c r="C11" s="16" t="e">
        <f>VLOOKUP(Planilha5!B11,'Carteira Pedidos de Venda - 202'!I:Q,10,TRUE)</f>
        <v>#REF!</v>
      </c>
    </row>
    <row r="12" spans="1:3" x14ac:dyDescent="0.25">
      <c r="A12" t="s">
        <v>65</v>
      </c>
      <c r="B12" s="6" t="s">
        <v>44</v>
      </c>
      <c r="C12" s="16" t="e">
        <f>VLOOKUP(Planilha5!B12,'Carteira Pedidos de Venda - 202'!I:Q,10,TRUE)</f>
        <v>#REF!</v>
      </c>
    </row>
    <row r="13" spans="1:3" x14ac:dyDescent="0.25">
      <c r="A13" t="s">
        <v>65</v>
      </c>
      <c r="B13" s="6" t="s">
        <v>40</v>
      </c>
      <c r="C13" s="16" t="e">
        <f>VLOOKUP(Planilha5!B13,'Carteira Pedidos de Venda - 202'!I:Q,10,TRUE)</f>
        <v>#REF!</v>
      </c>
    </row>
    <row r="14" spans="1:3" x14ac:dyDescent="0.25">
      <c r="A14" t="s">
        <v>65</v>
      </c>
      <c r="B14" s="6" t="s">
        <v>181</v>
      </c>
      <c r="C14" s="16" t="e">
        <f>VLOOKUP(Planilha5!B14,'Carteira Pedidos de Venda - 202'!I:Q,10,TRUE)</f>
        <v>#REF!</v>
      </c>
    </row>
    <row r="15" spans="1:3" x14ac:dyDescent="0.25">
      <c r="A15" t="s">
        <v>65</v>
      </c>
      <c r="B15" s="6" t="s">
        <v>36</v>
      </c>
      <c r="C15" s="16" t="e">
        <f>VLOOKUP(Planilha5!B15,'Carteira Pedidos de Venda - 202'!I:Q,10,TRUE)</f>
        <v>#REF!</v>
      </c>
    </row>
    <row r="16" spans="1:3" x14ac:dyDescent="0.25">
      <c r="A16" t="s">
        <v>65</v>
      </c>
      <c r="B16" s="6" t="s">
        <v>177</v>
      </c>
      <c r="C16" s="16" t="e">
        <f>VLOOKUP(Planilha5!B16,'Carteira Pedidos de Venda - 202'!I:Q,10,TRUE)</f>
        <v>#REF!</v>
      </c>
    </row>
    <row r="17" spans="1:3" x14ac:dyDescent="0.25">
      <c r="A17" t="s">
        <v>65</v>
      </c>
      <c r="B17" s="6" t="s">
        <v>170</v>
      </c>
      <c r="C17" s="16" t="e">
        <f>VLOOKUP(Planilha5!B17,'Carteira Pedidos de Venda - 202'!I:Q,10,TRUE)</f>
        <v>#REF!</v>
      </c>
    </row>
    <row r="18" spans="1:3" x14ac:dyDescent="0.25">
      <c r="A18" t="s">
        <v>65</v>
      </c>
      <c r="B18" s="6" t="s">
        <v>33</v>
      </c>
      <c r="C18" s="16" t="e">
        <f>VLOOKUP(Planilha5!B18,'Carteira Pedidos de Venda - 202'!I:Q,10,TRUE)</f>
        <v>#REF!</v>
      </c>
    </row>
    <row r="19" spans="1:3" x14ac:dyDescent="0.25">
      <c r="A19" t="s">
        <v>65</v>
      </c>
      <c r="B19" s="6" t="s">
        <v>37</v>
      </c>
      <c r="C19" s="16" t="e">
        <f>VLOOKUP(Planilha5!B19,'Carteira Pedidos de Venda - 202'!I:Q,10,TRUE)</f>
        <v>#REF!</v>
      </c>
    </row>
    <row r="20" spans="1:3" x14ac:dyDescent="0.25">
      <c r="A20" t="s">
        <v>65</v>
      </c>
      <c r="B20" s="6" t="s">
        <v>886</v>
      </c>
      <c r="C20" s="16" t="e">
        <f>VLOOKUP(Planilha5!B20,'Carteira Pedidos de Venda - 202'!I:Q,10,TRUE)</f>
        <v>#REF!</v>
      </c>
    </row>
    <row r="21" spans="1:3" x14ac:dyDescent="0.25">
      <c r="A21" t="s">
        <v>65</v>
      </c>
      <c r="B21" s="6" t="s">
        <v>671</v>
      </c>
      <c r="C21" s="16" t="e">
        <f>VLOOKUP(Planilha5!B21,'Carteira Pedidos de Venda - 202'!I:Q,10,TRUE)</f>
        <v>#REF!</v>
      </c>
    </row>
    <row r="22" spans="1:3" x14ac:dyDescent="0.25">
      <c r="B22" s="6" t="s">
        <v>148</v>
      </c>
      <c r="C22" s="16" t="e">
        <f>VLOOKUP(Planilha5!B22,'Carteira Pedidos de Venda - 202'!I:Q,10,TRUE)</f>
        <v>#REF!</v>
      </c>
    </row>
    <row r="23" spans="1:3" x14ac:dyDescent="0.25">
      <c r="B23" s="6" t="s">
        <v>72</v>
      </c>
      <c r="C23" s="16" t="e">
        <f>VLOOKUP(Planilha5!B23,'Carteira Pedidos de Venda - 202'!I:Q,10,TRUE)</f>
        <v>#REF!</v>
      </c>
    </row>
    <row r="24" spans="1:3" x14ac:dyDescent="0.25">
      <c r="B24" s="6" t="s">
        <v>203</v>
      </c>
    </row>
    <row r="25" spans="1:3" x14ac:dyDescent="0.25">
      <c r="B25" s="6" t="s">
        <v>682</v>
      </c>
    </row>
    <row r="26" spans="1:3" x14ac:dyDescent="0.25">
      <c r="B26" s="6" t="s">
        <v>35</v>
      </c>
    </row>
    <row r="27" spans="1:3" x14ac:dyDescent="0.25">
      <c r="B27" s="6" t="s">
        <v>29</v>
      </c>
    </row>
    <row r="28" spans="1:3" x14ac:dyDescent="0.25">
      <c r="B28" s="6" t="s">
        <v>192</v>
      </c>
    </row>
    <row r="29" spans="1:3" x14ac:dyDescent="0.25">
      <c r="B29" s="6" t="s">
        <v>23</v>
      </c>
    </row>
    <row r="30" spans="1:3" x14ac:dyDescent="0.25">
      <c r="B30" s="6" t="s">
        <v>188</v>
      </c>
    </row>
    <row r="31" spans="1:3" x14ac:dyDescent="0.25">
      <c r="B31" s="6" t="s">
        <v>942</v>
      </c>
    </row>
    <row r="32" spans="1:3" x14ac:dyDescent="0.25">
      <c r="B32" s="6" t="s">
        <v>258</v>
      </c>
    </row>
    <row r="33" spans="2:2" x14ac:dyDescent="0.25">
      <c r="B33" s="6" t="s">
        <v>131</v>
      </c>
    </row>
    <row r="34" spans="2:2" x14ac:dyDescent="0.25">
      <c r="B34" s="6" t="s">
        <v>519</v>
      </c>
    </row>
    <row r="35" spans="2:2" x14ac:dyDescent="0.25">
      <c r="B35" s="6" t="s">
        <v>34</v>
      </c>
    </row>
    <row r="36" spans="2:2" x14ac:dyDescent="0.25">
      <c r="B36" s="6" t="s">
        <v>191</v>
      </c>
    </row>
    <row r="37" spans="2:2" x14ac:dyDescent="0.25">
      <c r="B37" s="6" t="s">
        <v>30</v>
      </c>
    </row>
    <row r="38" spans="2:2" x14ac:dyDescent="0.25">
      <c r="B38" s="6" t="s">
        <v>42</v>
      </c>
    </row>
    <row r="39" spans="2:2" x14ac:dyDescent="0.25">
      <c r="B39" s="6" t="s">
        <v>179</v>
      </c>
    </row>
    <row r="40" spans="2:2" x14ac:dyDescent="0.25">
      <c r="B40" s="6" t="s">
        <v>32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07603-942E-4BD7-9632-543193489D6A}">
  <dimension ref="A1:D14"/>
  <sheetViews>
    <sheetView workbookViewId="0">
      <selection activeCell="D4" sqref="D4"/>
    </sheetView>
  </sheetViews>
  <sheetFormatPr defaultRowHeight="13.2" x14ac:dyDescent="0.25"/>
  <cols>
    <col min="1" max="1" width="47.33203125" bestFit="1" customWidth="1"/>
    <col min="2" max="2" width="30.44140625" customWidth="1"/>
    <col min="4" max="4" width="10.5546875" bestFit="1" customWidth="1"/>
  </cols>
  <sheetData>
    <row r="1" spans="1:4" x14ac:dyDescent="0.25">
      <c r="A1" s="10" t="s">
        <v>1486</v>
      </c>
      <c r="B1" s="10" t="s">
        <v>1487</v>
      </c>
      <c r="C1" s="16" t="s">
        <v>1496</v>
      </c>
      <c r="D1" s="16" t="s">
        <v>1497</v>
      </c>
    </row>
    <row r="2" spans="1:4" x14ac:dyDescent="0.25">
      <c r="A2" s="6" t="s">
        <v>75</v>
      </c>
      <c r="B2" s="7">
        <v>3915</v>
      </c>
      <c r="C2">
        <v>4500</v>
      </c>
      <c r="D2">
        <f>(1-(B2/C2))*100</f>
        <v>13</v>
      </c>
    </row>
    <row r="3" spans="1:4" x14ac:dyDescent="0.25">
      <c r="A3" s="6" t="s">
        <v>468</v>
      </c>
      <c r="B3" s="7">
        <v>880</v>
      </c>
      <c r="D3" t="e">
        <f t="shared" ref="D3:D13" si="0">(1-(B3/C3))*100</f>
        <v>#DIV/0!</v>
      </c>
    </row>
    <row r="4" spans="1:4" x14ac:dyDescent="0.25">
      <c r="A4" s="6" t="s">
        <v>59</v>
      </c>
      <c r="B4" s="7">
        <v>3894</v>
      </c>
      <c r="C4">
        <v>3000</v>
      </c>
      <c r="D4">
        <f t="shared" si="0"/>
        <v>-29.800000000000004</v>
      </c>
    </row>
    <row r="5" spans="1:4" x14ac:dyDescent="0.25">
      <c r="A5" s="6" t="s">
        <v>43</v>
      </c>
      <c r="B5" s="7">
        <v>10941</v>
      </c>
      <c r="C5">
        <v>16503</v>
      </c>
      <c r="D5" s="18">
        <f t="shared" si="0"/>
        <v>33.702963097618607</v>
      </c>
    </row>
    <row r="6" spans="1:4" x14ac:dyDescent="0.25">
      <c r="A6" s="6" t="s">
        <v>92</v>
      </c>
      <c r="B6" s="7">
        <v>1313</v>
      </c>
      <c r="C6">
        <v>5200</v>
      </c>
      <c r="D6" s="18">
        <f t="shared" si="0"/>
        <v>74.75</v>
      </c>
    </row>
    <row r="7" spans="1:4" x14ac:dyDescent="0.25">
      <c r="A7" s="6" t="s">
        <v>101</v>
      </c>
      <c r="B7" s="7">
        <v>774</v>
      </c>
      <c r="C7">
        <v>1000</v>
      </c>
      <c r="D7">
        <f t="shared" si="0"/>
        <v>22.599999999999998</v>
      </c>
    </row>
    <row r="8" spans="1:4" x14ac:dyDescent="0.25">
      <c r="A8" s="6" t="s">
        <v>38</v>
      </c>
      <c r="B8" s="7">
        <v>10569</v>
      </c>
      <c r="C8">
        <v>12060</v>
      </c>
      <c r="D8" s="18">
        <f t="shared" si="0"/>
        <v>12.363184079601986</v>
      </c>
    </row>
    <row r="9" spans="1:4" x14ac:dyDescent="0.25">
      <c r="A9" s="6" t="s">
        <v>201</v>
      </c>
      <c r="B9" s="7">
        <v>4000</v>
      </c>
      <c r="C9">
        <v>10000</v>
      </c>
      <c r="D9">
        <f t="shared" si="0"/>
        <v>60</v>
      </c>
    </row>
    <row r="10" spans="1:4" x14ac:dyDescent="0.25">
      <c r="A10" s="6" t="s">
        <v>63</v>
      </c>
      <c r="B10" s="7">
        <v>6811</v>
      </c>
      <c r="C10">
        <v>4300</v>
      </c>
      <c r="D10" s="18">
        <f t="shared" si="0"/>
        <v>-58.395348837209291</v>
      </c>
    </row>
    <row r="11" spans="1:4" x14ac:dyDescent="0.25">
      <c r="A11" s="6" t="s">
        <v>41</v>
      </c>
      <c r="B11" s="7">
        <v>5575</v>
      </c>
      <c r="C11">
        <v>4100</v>
      </c>
      <c r="D11" s="18">
        <f t="shared" si="0"/>
        <v>-35.975609756097569</v>
      </c>
    </row>
    <row r="12" spans="1:4" x14ac:dyDescent="0.25">
      <c r="A12" s="6" t="s">
        <v>44</v>
      </c>
      <c r="B12" s="7">
        <v>2595</v>
      </c>
      <c r="C12">
        <v>2300</v>
      </c>
      <c r="D12" s="18">
        <f t="shared" si="0"/>
        <v>-12.826086956521742</v>
      </c>
    </row>
    <row r="13" spans="1:4" x14ac:dyDescent="0.25">
      <c r="A13" s="6" t="s">
        <v>40</v>
      </c>
      <c r="B13" s="7">
        <v>4761</v>
      </c>
      <c r="C13">
        <v>3100</v>
      </c>
      <c r="D13" s="18">
        <f t="shared" si="0"/>
        <v>-53.580645161290327</v>
      </c>
    </row>
    <row r="14" spans="1:4" x14ac:dyDescent="0.25">
      <c r="A14" s="14" t="s">
        <v>1485</v>
      </c>
      <c r="B14" s="15">
        <v>56028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A8B3E-05EB-41FA-963B-AE27414F2D43}">
  <dimension ref="A1:D17"/>
  <sheetViews>
    <sheetView workbookViewId="0">
      <selection activeCell="H16" sqref="H16"/>
    </sheetView>
  </sheetViews>
  <sheetFormatPr defaultRowHeight="13.2" x14ac:dyDescent="0.25"/>
  <cols>
    <col min="1" max="1" width="47.33203125" bestFit="1" customWidth="1"/>
    <col min="2" max="2" width="27.88671875" bestFit="1" customWidth="1"/>
  </cols>
  <sheetData>
    <row r="1" spans="1:4" x14ac:dyDescent="0.25">
      <c r="A1" s="10" t="s">
        <v>1486</v>
      </c>
      <c r="B1" s="10" t="s">
        <v>1487</v>
      </c>
      <c r="C1" s="16" t="s">
        <v>1496</v>
      </c>
      <c r="D1" s="16" t="s">
        <v>1497</v>
      </c>
    </row>
    <row r="2" spans="1:4" x14ac:dyDescent="0.25">
      <c r="A2" s="6" t="s">
        <v>497</v>
      </c>
      <c r="B2" s="7">
        <v>1551</v>
      </c>
    </row>
    <row r="3" spans="1:4" x14ac:dyDescent="0.25">
      <c r="A3" s="6" t="s">
        <v>75</v>
      </c>
      <c r="B3" s="7">
        <v>1420</v>
      </c>
      <c r="C3">
        <v>8500</v>
      </c>
      <c r="D3" s="17">
        <f t="shared" ref="D3:D16" si="0">(1-(B3/C3))*100</f>
        <v>83.294117647058826</v>
      </c>
    </row>
    <row r="4" spans="1:4" x14ac:dyDescent="0.25">
      <c r="A4" s="6" t="s">
        <v>468</v>
      </c>
      <c r="B4" s="7">
        <v>75</v>
      </c>
    </row>
    <row r="5" spans="1:4" x14ac:dyDescent="0.25">
      <c r="A5" s="6" t="s">
        <v>59</v>
      </c>
      <c r="B5" s="7">
        <v>5214</v>
      </c>
      <c r="C5">
        <v>6000</v>
      </c>
      <c r="D5">
        <f t="shared" si="0"/>
        <v>13.100000000000001</v>
      </c>
    </row>
    <row r="6" spans="1:4" x14ac:dyDescent="0.25">
      <c r="A6" s="6" t="s">
        <v>43</v>
      </c>
      <c r="B6" s="7">
        <v>42366</v>
      </c>
      <c r="C6">
        <v>320001</v>
      </c>
      <c r="D6" s="17">
        <f t="shared" si="0"/>
        <v>86.760666372917584</v>
      </c>
    </row>
    <row r="7" spans="1:4" x14ac:dyDescent="0.25">
      <c r="A7" s="6" t="s">
        <v>92</v>
      </c>
      <c r="B7" s="7">
        <v>8660</v>
      </c>
      <c r="C7">
        <v>11700</v>
      </c>
      <c r="D7" s="17">
        <f t="shared" si="0"/>
        <v>25.982905982905979</v>
      </c>
    </row>
    <row r="8" spans="1:4" x14ac:dyDescent="0.25">
      <c r="A8" s="6" t="s">
        <v>101</v>
      </c>
      <c r="B8" s="7">
        <v>1192</v>
      </c>
      <c r="C8">
        <v>1800</v>
      </c>
      <c r="D8" s="17">
        <f t="shared" si="0"/>
        <v>33.777777777777771</v>
      </c>
    </row>
    <row r="9" spans="1:4" x14ac:dyDescent="0.25">
      <c r="A9" s="6" t="s">
        <v>38</v>
      </c>
      <c r="B9" s="7">
        <v>28680</v>
      </c>
      <c r="C9">
        <v>33198</v>
      </c>
      <c r="D9" s="17">
        <f t="shared" si="0"/>
        <v>13.609253569492141</v>
      </c>
    </row>
    <row r="10" spans="1:4" x14ac:dyDescent="0.25">
      <c r="A10" s="6" t="s">
        <v>201</v>
      </c>
      <c r="B10" s="7">
        <v>22680</v>
      </c>
      <c r="C10">
        <v>40000</v>
      </c>
      <c r="D10" s="17">
        <f t="shared" si="0"/>
        <v>43.300000000000004</v>
      </c>
    </row>
    <row r="11" spans="1:4" x14ac:dyDescent="0.25">
      <c r="A11" s="6" t="s">
        <v>63</v>
      </c>
      <c r="B11" s="7">
        <v>13045</v>
      </c>
      <c r="C11">
        <v>10800</v>
      </c>
      <c r="D11" s="17">
        <f t="shared" si="0"/>
        <v>-20.787037037037038</v>
      </c>
    </row>
    <row r="12" spans="1:4" x14ac:dyDescent="0.25">
      <c r="A12" s="6" t="s">
        <v>41</v>
      </c>
      <c r="B12" s="7">
        <v>11880</v>
      </c>
      <c r="C12">
        <v>8100</v>
      </c>
      <c r="D12" s="17">
        <f t="shared" si="0"/>
        <v>-46.666666666666657</v>
      </c>
    </row>
    <row r="13" spans="1:4" x14ac:dyDescent="0.25">
      <c r="A13" s="6" t="s">
        <v>1176</v>
      </c>
      <c r="B13" s="7">
        <v>80</v>
      </c>
    </row>
    <row r="14" spans="1:4" x14ac:dyDescent="0.25">
      <c r="A14" s="6" t="s">
        <v>44</v>
      </c>
      <c r="B14" s="7">
        <v>10623</v>
      </c>
      <c r="C14">
        <v>6200</v>
      </c>
      <c r="D14" s="17">
        <f t="shared" si="0"/>
        <v>-71.338709677419359</v>
      </c>
    </row>
    <row r="15" spans="1:4" x14ac:dyDescent="0.25">
      <c r="A15" s="6" t="s">
        <v>40</v>
      </c>
      <c r="B15" s="7">
        <v>10772</v>
      </c>
      <c r="C15">
        <v>6300</v>
      </c>
      <c r="D15" s="17">
        <f t="shared" si="0"/>
        <v>-70.984126984126988</v>
      </c>
    </row>
    <row r="16" spans="1:4" x14ac:dyDescent="0.25">
      <c r="A16" s="6" t="s">
        <v>1177</v>
      </c>
      <c r="B16" s="7">
        <v>80</v>
      </c>
    </row>
    <row r="17" spans="1:2" x14ac:dyDescent="0.25">
      <c r="A17" s="14" t="s">
        <v>1485</v>
      </c>
      <c r="B17" s="15">
        <v>158318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W2140"/>
  <sheetViews>
    <sheetView topLeftCell="M1" zoomScaleNormal="100" workbookViewId="0">
      <selection activeCell="R65" sqref="R65:R2139"/>
    </sheetView>
  </sheetViews>
  <sheetFormatPr defaultRowHeight="13.2" x14ac:dyDescent="0.25"/>
  <cols>
    <col min="1" max="1" width="29" bestFit="1"/>
    <col min="2" max="2" width="35" bestFit="1"/>
    <col min="3" max="3" width="72" bestFit="1"/>
    <col min="4" max="4" width="46" bestFit="1"/>
    <col min="5" max="5" width="38" bestFit="1"/>
    <col min="6" max="6" width="39" bestFit="1"/>
    <col min="7" max="7" width="25.21875" customWidth="1"/>
    <col min="8" max="8" width="23" bestFit="1"/>
    <col min="9" max="9" width="56" bestFit="1"/>
    <col min="10" max="10" width="16.44140625" customWidth="1"/>
    <col min="11" max="11" width="27" bestFit="1"/>
    <col min="12" max="12" width="86" bestFit="1"/>
    <col min="13" max="13" width="36" bestFit="1"/>
    <col min="14" max="14" width="25" bestFit="1"/>
    <col min="15" max="15" width="27" bestFit="1"/>
    <col min="16" max="16" width="28" bestFit="1"/>
    <col min="17" max="17" width="29" bestFit="1"/>
    <col min="18" max="18" width="22.33203125" customWidth="1"/>
    <col min="19" max="19" width="31" bestFit="1"/>
    <col min="20" max="20" width="32" bestFit="1"/>
    <col min="21" max="21" width="24" bestFit="1"/>
    <col min="22" max="23" width="18" bestFit="1"/>
    <col min="24" max="1028" width="10" bestFit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1" t="s">
        <v>1492</v>
      </c>
      <c r="H1" s="1" t="s">
        <v>6</v>
      </c>
      <c r="I1" s="1" t="s">
        <v>7</v>
      </c>
      <c r="J1" s="11" t="s">
        <v>1489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3" t="s">
        <v>1488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</row>
    <row r="2" spans="1:23" hidden="1" x14ac:dyDescent="0.25">
      <c r="A2" s="2">
        <v>45880.352476851855</v>
      </c>
      <c r="B2">
        <v>3973</v>
      </c>
      <c r="C2" t="s">
        <v>20</v>
      </c>
      <c r="D2" s="3">
        <v>45880</v>
      </c>
      <c r="E2" s="3">
        <v>46142</v>
      </c>
      <c r="F2" t="s">
        <v>21</v>
      </c>
      <c r="H2" t="s">
        <v>22</v>
      </c>
      <c r="I2" t="s">
        <v>23</v>
      </c>
      <c r="J2" t="s">
        <v>1490</v>
      </c>
      <c r="K2" t="s">
        <v>24</v>
      </c>
      <c r="L2" s="4">
        <v>18</v>
      </c>
      <c r="M2" t="s">
        <v>25</v>
      </c>
      <c r="N2" t="s">
        <v>26</v>
      </c>
      <c r="O2" s="4">
        <v>700</v>
      </c>
      <c r="P2">
        <v>0</v>
      </c>
      <c r="Q2" s="4">
        <v>700</v>
      </c>
      <c r="R2" s="12">
        <f>Q2*L2</f>
        <v>12600</v>
      </c>
      <c r="T2" t="s">
        <v>27</v>
      </c>
      <c r="U2" t="s">
        <v>28</v>
      </c>
      <c r="V2" s="4">
        <v>18</v>
      </c>
      <c r="W2">
        <v>0</v>
      </c>
    </row>
    <row r="3" spans="1:23" hidden="1" x14ac:dyDescent="0.25">
      <c r="A3" s="2">
        <v>45880.352476851855</v>
      </c>
      <c r="B3">
        <v>3973</v>
      </c>
      <c r="C3" t="s">
        <v>20</v>
      </c>
      <c r="D3" s="3">
        <v>45880</v>
      </c>
      <c r="E3" s="3">
        <v>46142</v>
      </c>
      <c r="F3" t="s">
        <v>21</v>
      </c>
      <c r="H3" t="s">
        <v>22</v>
      </c>
      <c r="I3" t="s">
        <v>29</v>
      </c>
      <c r="J3" t="s">
        <v>1490</v>
      </c>
      <c r="K3" t="s">
        <v>24</v>
      </c>
      <c r="L3" s="4">
        <v>160</v>
      </c>
      <c r="M3" t="s">
        <v>25</v>
      </c>
      <c r="N3" t="s">
        <v>26</v>
      </c>
      <c r="O3" s="4">
        <v>140</v>
      </c>
      <c r="P3">
        <v>0</v>
      </c>
      <c r="Q3" s="4">
        <v>140</v>
      </c>
      <c r="R3" s="12">
        <f t="shared" ref="R3:R66" si="0">Q3*L3</f>
        <v>22400</v>
      </c>
      <c r="T3" t="s">
        <v>27</v>
      </c>
      <c r="U3" t="s">
        <v>28</v>
      </c>
      <c r="V3" s="4">
        <v>160</v>
      </c>
      <c r="W3">
        <v>0</v>
      </c>
    </row>
    <row r="4" spans="1:23" hidden="1" x14ac:dyDescent="0.25">
      <c r="A4" s="2">
        <v>45880.352476851855</v>
      </c>
      <c r="B4">
        <v>3973</v>
      </c>
      <c r="C4" t="s">
        <v>20</v>
      </c>
      <c r="D4" s="3">
        <v>45880</v>
      </c>
      <c r="E4" s="3">
        <v>46142</v>
      </c>
      <c r="F4" t="s">
        <v>21</v>
      </c>
      <c r="H4" t="s">
        <v>22</v>
      </c>
      <c r="I4" t="s">
        <v>30</v>
      </c>
      <c r="J4" t="s">
        <v>1490</v>
      </c>
      <c r="K4" t="s">
        <v>31</v>
      </c>
      <c r="L4" s="4">
        <v>23.5</v>
      </c>
      <c r="M4" t="s">
        <v>25</v>
      </c>
      <c r="N4" t="s">
        <v>26</v>
      </c>
      <c r="O4" s="4">
        <v>1410</v>
      </c>
      <c r="P4">
        <v>0</v>
      </c>
      <c r="Q4" s="4">
        <v>1410</v>
      </c>
      <c r="R4" s="12">
        <f t="shared" si="0"/>
        <v>33135</v>
      </c>
      <c r="T4" t="s">
        <v>27</v>
      </c>
      <c r="U4" t="s">
        <v>28</v>
      </c>
      <c r="V4" s="4">
        <v>23.5</v>
      </c>
      <c r="W4">
        <v>0</v>
      </c>
    </row>
    <row r="5" spans="1:23" hidden="1" x14ac:dyDescent="0.25">
      <c r="A5" s="2">
        <v>45880.352476851855</v>
      </c>
      <c r="B5">
        <v>3973</v>
      </c>
      <c r="C5" t="s">
        <v>20</v>
      </c>
      <c r="D5" s="3">
        <v>45880</v>
      </c>
      <c r="E5" s="3">
        <v>46142</v>
      </c>
      <c r="F5" t="s">
        <v>21</v>
      </c>
      <c r="H5" t="s">
        <v>22</v>
      </c>
      <c r="I5" t="s">
        <v>32</v>
      </c>
      <c r="J5" t="s">
        <v>1490</v>
      </c>
      <c r="K5" t="s">
        <v>24</v>
      </c>
      <c r="L5" s="4">
        <v>25</v>
      </c>
      <c r="M5" t="s">
        <v>25</v>
      </c>
      <c r="N5" t="s">
        <v>26</v>
      </c>
      <c r="O5" s="4">
        <v>700</v>
      </c>
      <c r="P5">
        <v>0</v>
      </c>
      <c r="Q5" s="4">
        <v>700</v>
      </c>
      <c r="R5" s="12">
        <f t="shared" si="0"/>
        <v>17500</v>
      </c>
      <c r="T5" t="s">
        <v>27</v>
      </c>
      <c r="U5" t="s">
        <v>28</v>
      </c>
      <c r="V5" s="4">
        <v>25</v>
      </c>
      <c r="W5">
        <v>0</v>
      </c>
    </row>
    <row r="6" spans="1:23" hidden="1" x14ac:dyDescent="0.25">
      <c r="A6" s="2">
        <v>45880.352476851855</v>
      </c>
      <c r="B6">
        <v>3973</v>
      </c>
      <c r="C6" t="s">
        <v>20</v>
      </c>
      <c r="D6" s="3">
        <v>45880</v>
      </c>
      <c r="E6" s="3">
        <v>46142</v>
      </c>
      <c r="F6" t="s">
        <v>21</v>
      </c>
      <c r="H6" t="s">
        <v>22</v>
      </c>
      <c r="I6" t="s">
        <v>33</v>
      </c>
      <c r="J6" t="s">
        <v>1490</v>
      </c>
      <c r="K6" t="s">
        <v>31</v>
      </c>
      <c r="L6" s="4">
        <v>28</v>
      </c>
      <c r="M6" t="s">
        <v>25</v>
      </c>
      <c r="N6" t="s">
        <v>26</v>
      </c>
      <c r="O6" s="4">
        <v>1770</v>
      </c>
      <c r="P6">
        <v>0</v>
      </c>
      <c r="Q6" s="4">
        <v>1770</v>
      </c>
      <c r="R6" s="12">
        <f t="shared" si="0"/>
        <v>49560</v>
      </c>
      <c r="T6" t="s">
        <v>27</v>
      </c>
      <c r="U6" t="s">
        <v>28</v>
      </c>
      <c r="V6" s="4">
        <v>28</v>
      </c>
      <c r="W6">
        <v>0</v>
      </c>
    </row>
    <row r="7" spans="1:23" hidden="1" x14ac:dyDescent="0.25">
      <c r="A7" s="2">
        <v>45880.352476851855</v>
      </c>
      <c r="B7">
        <v>3973</v>
      </c>
      <c r="C7" t="s">
        <v>20</v>
      </c>
      <c r="D7" s="3">
        <v>45880</v>
      </c>
      <c r="E7" s="3">
        <v>46142</v>
      </c>
      <c r="F7" t="s">
        <v>21</v>
      </c>
      <c r="H7" t="s">
        <v>22</v>
      </c>
      <c r="I7" t="s">
        <v>34</v>
      </c>
      <c r="J7" t="s">
        <v>1490</v>
      </c>
      <c r="K7" t="s">
        <v>31</v>
      </c>
      <c r="L7" s="4">
        <v>25</v>
      </c>
      <c r="M7" t="s">
        <v>25</v>
      </c>
      <c r="N7" t="s">
        <v>26</v>
      </c>
      <c r="O7" s="4">
        <v>1060</v>
      </c>
      <c r="P7">
        <v>0</v>
      </c>
      <c r="Q7" s="4">
        <v>1060</v>
      </c>
      <c r="R7" s="12">
        <f t="shared" si="0"/>
        <v>26500</v>
      </c>
      <c r="T7" t="s">
        <v>27</v>
      </c>
      <c r="U7" t="s">
        <v>28</v>
      </c>
      <c r="V7" s="4">
        <v>25</v>
      </c>
      <c r="W7">
        <v>0</v>
      </c>
    </row>
    <row r="8" spans="1:23" hidden="1" x14ac:dyDescent="0.25">
      <c r="A8" s="2">
        <v>45880.352476851855</v>
      </c>
      <c r="B8">
        <v>3973</v>
      </c>
      <c r="C8" t="s">
        <v>20</v>
      </c>
      <c r="D8" s="3">
        <v>45880</v>
      </c>
      <c r="E8" s="3">
        <v>46142</v>
      </c>
      <c r="F8" t="s">
        <v>21</v>
      </c>
      <c r="H8" t="s">
        <v>22</v>
      </c>
      <c r="I8" t="s">
        <v>35</v>
      </c>
      <c r="J8" t="s">
        <v>1490</v>
      </c>
      <c r="K8" t="s">
        <v>24</v>
      </c>
      <c r="L8" s="4">
        <v>75</v>
      </c>
      <c r="M8" t="s">
        <v>25</v>
      </c>
      <c r="N8" t="s">
        <v>26</v>
      </c>
      <c r="O8" s="4">
        <v>140</v>
      </c>
      <c r="P8">
        <v>0</v>
      </c>
      <c r="Q8" s="4">
        <v>140</v>
      </c>
      <c r="R8" s="12">
        <f t="shared" si="0"/>
        <v>10500</v>
      </c>
      <c r="T8" t="s">
        <v>27</v>
      </c>
      <c r="U8" t="s">
        <v>28</v>
      </c>
      <c r="V8" s="4">
        <v>75</v>
      </c>
      <c r="W8">
        <v>0</v>
      </c>
    </row>
    <row r="9" spans="1:23" hidden="1" x14ac:dyDescent="0.25">
      <c r="A9" s="2">
        <v>45880.352476851855</v>
      </c>
      <c r="B9">
        <v>3973</v>
      </c>
      <c r="C9" t="s">
        <v>20</v>
      </c>
      <c r="D9" s="3">
        <v>45880</v>
      </c>
      <c r="E9" s="3">
        <v>46142</v>
      </c>
      <c r="F9" t="s">
        <v>21</v>
      </c>
      <c r="H9" t="s">
        <v>22</v>
      </c>
      <c r="I9" t="s">
        <v>36</v>
      </c>
      <c r="J9" t="s">
        <v>1490</v>
      </c>
      <c r="K9" t="s">
        <v>24</v>
      </c>
      <c r="L9" s="4">
        <v>75</v>
      </c>
      <c r="M9" t="s">
        <v>25</v>
      </c>
      <c r="N9" t="s">
        <v>26</v>
      </c>
      <c r="O9" s="4">
        <v>105</v>
      </c>
      <c r="P9">
        <v>0</v>
      </c>
      <c r="Q9" s="4">
        <v>105</v>
      </c>
      <c r="R9" s="12">
        <f t="shared" si="0"/>
        <v>7875</v>
      </c>
      <c r="T9" t="s">
        <v>27</v>
      </c>
      <c r="U9" t="s">
        <v>28</v>
      </c>
      <c r="V9" s="4">
        <v>75</v>
      </c>
      <c r="W9">
        <v>0</v>
      </c>
    </row>
    <row r="10" spans="1:23" hidden="1" x14ac:dyDescent="0.25">
      <c r="A10" s="2">
        <v>45880.352476851855</v>
      </c>
      <c r="B10">
        <v>3973</v>
      </c>
      <c r="C10" t="s">
        <v>20</v>
      </c>
      <c r="D10" s="3">
        <v>45880</v>
      </c>
      <c r="E10" s="3">
        <v>46142</v>
      </c>
      <c r="F10" t="s">
        <v>21</v>
      </c>
      <c r="H10" t="s">
        <v>22</v>
      </c>
      <c r="I10" t="s">
        <v>37</v>
      </c>
      <c r="J10" t="s">
        <v>1490</v>
      </c>
      <c r="K10" t="s">
        <v>31</v>
      </c>
      <c r="L10" s="4">
        <v>95</v>
      </c>
      <c r="M10" t="s">
        <v>25</v>
      </c>
      <c r="N10" t="s">
        <v>26</v>
      </c>
      <c r="O10" s="4">
        <v>72</v>
      </c>
      <c r="P10">
        <v>0</v>
      </c>
      <c r="Q10" s="4">
        <v>72</v>
      </c>
      <c r="R10" s="12">
        <f t="shared" si="0"/>
        <v>6840</v>
      </c>
      <c r="T10" t="s">
        <v>27</v>
      </c>
      <c r="U10" t="s">
        <v>28</v>
      </c>
      <c r="V10" s="4">
        <v>95</v>
      </c>
      <c r="W10">
        <v>0</v>
      </c>
    </row>
    <row r="11" spans="1:23" hidden="1" x14ac:dyDescent="0.25">
      <c r="A11" s="2">
        <v>45880.364282407405</v>
      </c>
      <c r="B11">
        <v>3974</v>
      </c>
      <c r="C11" t="s">
        <v>20</v>
      </c>
      <c r="D11" s="3">
        <v>45880</v>
      </c>
      <c r="E11" s="3">
        <v>46142</v>
      </c>
      <c r="F11" t="s">
        <v>21</v>
      </c>
      <c r="G11" t="s">
        <v>1493</v>
      </c>
      <c r="H11" t="s">
        <v>22</v>
      </c>
      <c r="I11" t="s">
        <v>38</v>
      </c>
      <c r="J11" t="s">
        <v>1491</v>
      </c>
      <c r="K11" t="s">
        <v>24</v>
      </c>
      <c r="L11" s="4">
        <v>49.5</v>
      </c>
      <c r="M11" t="s">
        <v>39</v>
      </c>
      <c r="N11" t="s">
        <v>26</v>
      </c>
      <c r="O11" s="4">
        <v>72</v>
      </c>
      <c r="P11">
        <v>0</v>
      </c>
      <c r="Q11" s="4">
        <v>72</v>
      </c>
      <c r="R11" s="12">
        <f t="shared" si="0"/>
        <v>3564</v>
      </c>
      <c r="T11" t="s">
        <v>27</v>
      </c>
      <c r="U11" t="s">
        <v>28</v>
      </c>
      <c r="V11" s="4">
        <v>49.5</v>
      </c>
      <c r="W11">
        <v>0</v>
      </c>
    </row>
    <row r="12" spans="1:23" hidden="1" x14ac:dyDescent="0.25">
      <c r="A12" s="2">
        <v>45880.364282407405</v>
      </c>
      <c r="B12">
        <v>3974</v>
      </c>
      <c r="C12" t="s">
        <v>20</v>
      </c>
      <c r="D12" s="3">
        <v>45880</v>
      </c>
      <c r="E12" s="3">
        <v>46142</v>
      </c>
      <c r="F12" t="s">
        <v>21</v>
      </c>
      <c r="G12" t="s">
        <v>1493</v>
      </c>
      <c r="H12" t="s">
        <v>22</v>
      </c>
      <c r="I12" t="s">
        <v>40</v>
      </c>
      <c r="J12" t="s">
        <v>1491</v>
      </c>
      <c r="K12" t="s">
        <v>24</v>
      </c>
      <c r="L12" s="4">
        <v>321</v>
      </c>
      <c r="M12" t="s">
        <v>39</v>
      </c>
      <c r="N12" t="s">
        <v>26</v>
      </c>
      <c r="O12" s="4">
        <v>35</v>
      </c>
      <c r="P12">
        <v>0</v>
      </c>
      <c r="Q12" s="4">
        <v>35</v>
      </c>
      <c r="R12" s="12">
        <f t="shared" si="0"/>
        <v>11235</v>
      </c>
      <c r="T12" t="s">
        <v>27</v>
      </c>
      <c r="U12" t="s">
        <v>28</v>
      </c>
      <c r="V12" s="4">
        <v>321</v>
      </c>
      <c r="W12">
        <v>0</v>
      </c>
    </row>
    <row r="13" spans="1:23" hidden="1" x14ac:dyDescent="0.25">
      <c r="A13" s="2">
        <v>45880.364282407405</v>
      </c>
      <c r="B13">
        <v>3974</v>
      </c>
      <c r="C13" t="s">
        <v>20</v>
      </c>
      <c r="D13" s="3">
        <v>45880</v>
      </c>
      <c r="E13" s="3">
        <v>46142</v>
      </c>
      <c r="F13" t="s">
        <v>21</v>
      </c>
      <c r="G13" t="s">
        <v>1493</v>
      </c>
      <c r="H13" t="s">
        <v>22</v>
      </c>
      <c r="I13" t="s">
        <v>41</v>
      </c>
      <c r="J13" t="s">
        <v>1491</v>
      </c>
      <c r="K13" t="s">
        <v>24</v>
      </c>
      <c r="L13" s="4">
        <v>311</v>
      </c>
      <c r="M13" t="s">
        <v>39</v>
      </c>
      <c r="N13" t="s">
        <v>26</v>
      </c>
      <c r="O13" s="4">
        <v>35</v>
      </c>
      <c r="P13">
        <v>0</v>
      </c>
      <c r="Q13" s="4">
        <v>35</v>
      </c>
      <c r="R13" s="12">
        <f t="shared" si="0"/>
        <v>10885</v>
      </c>
      <c r="T13" t="s">
        <v>27</v>
      </c>
      <c r="U13" t="s">
        <v>28</v>
      </c>
      <c r="V13" s="4">
        <v>311</v>
      </c>
      <c r="W13">
        <v>0</v>
      </c>
    </row>
    <row r="14" spans="1:23" hidden="1" x14ac:dyDescent="0.25">
      <c r="A14" s="2">
        <v>45880.364282407405</v>
      </c>
      <c r="B14">
        <v>3974</v>
      </c>
      <c r="C14" t="s">
        <v>20</v>
      </c>
      <c r="D14" s="3">
        <v>45880</v>
      </c>
      <c r="E14" s="3">
        <v>46142</v>
      </c>
      <c r="F14" t="s">
        <v>21</v>
      </c>
      <c r="H14" t="s">
        <v>22</v>
      </c>
      <c r="I14" t="s">
        <v>42</v>
      </c>
      <c r="J14" t="s">
        <v>1490</v>
      </c>
      <c r="K14" t="s">
        <v>24</v>
      </c>
      <c r="L14" s="4">
        <v>220</v>
      </c>
      <c r="M14" t="s">
        <v>39</v>
      </c>
      <c r="N14" t="s">
        <v>26</v>
      </c>
      <c r="O14" s="4">
        <v>70</v>
      </c>
      <c r="P14">
        <v>0</v>
      </c>
      <c r="Q14" s="4">
        <v>70</v>
      </c>
      <c r="R14" s="12">
        <f t="shared" si="0"/>
        <v>15400</v>
      </c>
      <c r="T14" t="s">
        <v>27</v>
      </c>
      <c r="U14" t="s">
        <v>28</v>
      </c>
      <c r="V14" s="4">
        <v>220</v>
      </c>
      <c r="W14">
        <v>0</v>
      </c>
    </row>
    <row r="15" spans="1:23" hidden="1" x14ac:dyDescent="0.25">
      <c r="A15" s="2">
        <v>45880.364282407405</v>
      </c>
      <c r="B15">
        <v>3974</v>
      </c>
      <c r="C15" t="s">
        <v>20</v>
      </c>
      <c r="D15" s="3">
        <v>45880</v>
      </c>
      <c r="E15" s="3">
        <v>46142</v>
      </c>
      <c r="F15" t="s">
        <v>21</v>
      </c>
      <c r="G15" t="s">
        <v>1493</v>
      </c>
      <c r="H15" t="s">
        <v>22</v>
      </c>
      <c r="I15" t="s">
        <v>43</v>
      </c>
      <c r="J15" t="s">
        <v>1491</v>
      </c>
      <c r="K15" t="s">
        <v>24</v>
      </c>
      <c r="L15" s="4">
        <v>50</v>
      </c>
      <c r="M15" t="s">
        <v>39</v>
      </c>
      <c r="N15" t="s">
        <v>26</v>
      </c>
      <c r="O15" s="4">
        <v>72</v>
      </c>
      <c r="P15">
        <v>0</v>
      </c>
      <c r="Q15" s="4">
        <v>72</v>
      </c>
      <c r="R15" s="12">
        <f t="shared" si="0"/>
        <v>3600</v>
      </c>
      <c r="T15" t="s">
        <v>27</v>
      </c>
      <c r="U15" t="s">
        <v>28</v>
      </c>
      <c r="V15" s="4">
        <v>50</v>
      </c>
      <c r="W15">
        <v>0</v>
      </c>
    </row>
    <row r="16" spans="1:23" hidden="1" x14ac:dyDescent="0.25">
      <c r="A16" s="2">
        <v>45880.364282407405</v>
      </c>
      <c r="B16">
        <v>3974</v>
      </c>
      <c r="C16" t="s">
        <v>20</v>
      </c>
      <c r="D16" s="3">
        <v>45880</v>
      </c>
      <c r="E16" s="3">
        <v>46142</v>
      </c>
      <c r="F16" t="s">
        <v>21</v>
      </c>
      <c r="G16" t="s">
        <v>1493</v>
      </c>
      <c r="H16" t="s">
        <v>22</v>
      </c>
      <c r="I16" t="s">
        <v>44</v>
      </c>
      <c r="J16" t="s">
        <v>1491</v>
      </c>
      <c r="K16" t="s">
        <v>31</v>
      </c>
      <c r="L16" s="4">
        <v>385</v>
      </c>
      <c r="M16" t="s">
        <v>39</v>
      </c>
      <c r="N16" t="s">
        <v>26</v>
      </c>
      <c r="O16" s="4">
        <v>35</v>
      </c>
      <c r="P16">
        <v>0</v>
      </c>
      <c r="Q16" s="4">
        <v>35</v>
      </c>
      <c r="R16" s="12">
        <f t="shared" si="0"/>
        <v>13475</v>
      </c>
      <c r="T16" t="s">
        <v>27</v>
      </c>
      <c r="U16" t="s">
        <v>28</v>
      </c>
      <c r="V16" s="4">
        <v>385</v>
      </c>
      <c r="W16">
        <v>0</v>
      </c>
    </row>
    <row r="17" spans="1:23" hidden="1" x14ac:dyDescent="0.25">
      <c r="A17" s="2">
        <v>45880.374467592592</v>
      </c>
      <c r="B17">
        <v>3975</v>
      </c>
      <c r="C17" t="s">
        <v>20</v>
      </c>
      <c r="D17" s="3">
        <v>45880</v>
      </c>
      <c r="E17" s="3">
        <v>46295</v>
      </c>
      <c r="F17" t="s">
        <v>21</v>
      </c>
      <c r="G17" t="s">
        <v>1493</v>
      </c>
      <c r="H17" t="s">
        <v>22</v>
      </c>
      <c r="I17" t="s">
        <v>44</v>
      </c>
      <c r="J17" t="s">
        <v>1491</v>
      </c>
      <c r="K17" t="s">
        <v>31</v>
      </c>
      <c r="L17" s="4">
        <v>385</v>
      </c>
      <c r="M17" t="s">
        <v>45</v>
      </c>
      <c r="N17" t="s">
        <v>46</v>
      </c>
      <c r="O17" s="4">
        <v>28</v>
      </c>
      <c r="P17">
        <v>0</v>
      </c>
      <c r="Q17" s="4">
        <v>28</v>
      </c>
      <c r="R17" s="12">
        <f t="shared" si="0"/>
        <v>10780</v>
      </c>
      <c r="T17" t="s">
        <v>27</v>
      </c>
      <c r="U17" t="s">
        <v>28</v>
      </c>
      <c r="V17" s="4">
        <v>385</v>
      </c>
      <c r="W17">
        <v>0</v>
      </c>
    </row>
    <row r="18" spans="1:23" hidden="1" x14ac:dyDescent="0.25">
      <c r="A18" s="2">
        <v>45880.374467592592</v>
      </c>
      <c r="B18">
        <v>3975</v>
      </c>
      <c r="C18" t="s">
        <v>20</v>
      </c>
      <c r="D18" s="3">
        <v>45880</v>
      </c>
      <c r="E18" s="3">
        <v>46295</v>
      </c>
      <c r="F18" t="s">
        <v>21</v>
      </c>
      <c r="H18" t="s">
        <v>22</v>
      </c>
      <c r="I18" t="s">
        <v>23</v>
      </c>
      <c r="J18" t="s">
        <v>1490</v>
      </c>
      <c r="K18" t="s">
        <v>24</v>
      </c>
      <c r="L18" s="4">
        <v>18</v>
      </c>
      <c r="M18" t="s">
        <v>45</v>
      </c>
      <c r="N18" t="s">
        <v>46</v>
      </c>
      <c r="O18" s="4">
        <v>700</v>
      </c>
      <c r="P18">
        <v>0</v>
      </c>
      <c r="Q18" s="4">
        <v>700</v>
      </c>
      <c r="R18" s="12">
        <f t="shared" si="0"/>
        <v>12600</v>
      </c>
      <c r="T18" t="s">
        <v>27</v>
      </c>
      <c r="U18" t="s">
        <v>28</v>
      </c>
      <c r="V18" s="4">
        <v>18</v>
      </c>
      <c r="W18">
        <v>0</v>
      </c>
    </row>
    <row r="19" spans="1:23" hidden="1" x14ac:dyDescent="0.25">
      <c r="A19" s="2">
        <v>45880.374467592592</v>
      </c>
      <c r="B19">
        <v>3975</v>
      </c>
      <c r="C19" t="s">
        <v>20</v>
      </c>
      <c r="D19" s="3">
        <v>45880</v>
      </c>
      <c r="E19" s="3">
        <v>46295</v>
      </c>
      <c r="F19" t="s">
        <v>21</v>
      </c>
      <c r="G19" t="s">
        <v>1493</v>
      </c>
      <c r="H19" t="s">
        <v>22</v>
      </c>
      <c r="I19" t="s">
        <v>40</v>
      </c>
      <c r="J19" t="s">
        <v>1491</v>
      </c>
      <c r="K19" t="s">
        <v>24</v>
      </c>
      <c r="L19" s="4">
        <v>311</v>
      </c>
      <c r="M19" t="s">
        <v>45</v>
      </c>
      <c r="N19" t="s">
        <v>46</v>
      </c>
      <c r="O19" s="4">
        <v>14</v>
      </c>
      <c r="P19">
        <v>0</v>
      </c>
      <c r="Q19" s="4">
        <v>14</v>
      </c>
      <c r="R19" s="12">
        <f t="shared" si="0"/>
        <v>4354</v>
      </c>
      <c r="T19" t="s">
        <v>27</v>
      </c>
      <c r="U19" t="s">
        <v>28</v>
      </c>
      <c r="V19" s="4">
        <v>311</v>
      </c>
      <c r="W19">
        <v>0</v>
      </c>
    </row>
    <row r="20" spans="1:23" hidden="1" x14ac:dyDescent="0.25">
      <c r="A20" s="2">
        <v>45880.374467592592</v>
      </c>
      <c r="B20">
        <v>3975</v>
      </c>
      <c r="C20" t="s">
        <v>20</v>
      </c>
      <c r="D20" s="3">
        <v>45880</v>
      </c>
      <c r="E20" s="3">
        <v>46295</v>
      </c>
      <c r="F20" t="s">
        <v>21</v>
      </c>
      <c r="H20" t="s">
        <v>22</v>
      </c>
      <c r="I20" t="s">
        <v>32</v>
      </c>
      <c r="J20" t="s">
        <v>1490</v>
      </c>
      <c r="K20" t="s">
        <v>24</v>
      </c>
      <c r="L20" s="4">
        <v>25</v>
      </c>
      <c r="M20" t="s">
        <v>45</v>
      </c>
      <c r="N20" t="s">
        <v>46</v>
      </c>
      <c r="O20" s="4">
        <v>700</v>
      </c>
      <c r="P20">
        <v>0</v>
      </c>
      <c r="Q20" s="4">
        <v>700</v>
      </c>
      <c r="R20" s="12">
        <f t="shared" si="0"/>
        <v>17500</v>
      </c>
      <c r="T20" t="s">
        <v>27</v>
      </c>
      <c r="U20" t="s">
        <v>28</v>
      </c>
      <c r="V20" s="4">
        <v>25</v>
      </c>
      <c r="W20">
        <v>0</v>
      </c>
    </row>
    <row r="21" spans="1:23" hidden="1" x14ac:dyDescent="0.25">
      <c r="A21" s="2">
        <v>45880.374467592592</v>
      </c>
      <c r="B21">
        <v>3975</v>
      </c>
      <c r="C21" t="s">
        <v>20</v>
      </c>
      <c r="D21" s="3">
        <v>45880</v>
      </c>
      <c r="E21" s="3">
        <v>46295</v>
      </c>
      <c r="F21" t="s">
        <v>21</v>
      </c>
      <c r="H21" t="s">
        <v>22</v>
      </c>
      <c r="I21" t="s">
        <v>30</v>
      </c>
      <c r="J21" t="s">
        <v>1490</v>
      </c>
      <c r="K21" t="s">
        <v>31</v>
      </c>
      <c r="L21" s="4">
        <v>23.5</v>
      </c>
      <c r="M21" t="s">
        <v>45</v>
      </c>
      <c r="N21" t="s">
        <v>46</v>
      </c>
      <c r="O21" s="4">
        <v>1410</v>
      </c>
      <c r="P21">
        <v>0</v>
      </c>
      <c r="Q21" s="4">
        <v>1410</v>
      </c>
      <c r="R21" s="12">
        <f t="shared" si="0"/>
        <v>33135</v>
      </c>
      <c r="T21" t="s">
        <v>27</v>
      </c>
      <c r="U21" t="s">
        <v>28</v>
      </c>
      <c r="V21" s="4">
        <v>23.5</v>
      </c>
      <c r="W21">
        <v>0</v>
      </c>
    </row>
    <row r="22" spans="1:23" hidden="1" x14ac:dyDescent="0.25">
      <c r="A22" s="2">
        <v>45880.374467592592</v>
      </c>
      <c r="B22">
        <v>3975</v>
      </c>
      <c r="C22" t="s">
        <v>20</v>
      </c>
      <c r="D22" s="3">
        <v>45880</v>
      </c>
      <c r="E22" s="3">
        <v>46295</v>
      </c>
      <c r="F22" t="s">
        <v>21</v>
      </c>
      <c r="H22" t="s">
        <v>22</v>
      </c>
      <c r="I22" t="s">
        <v>36</v>
      </c>
      <c r="J22" t="s">
        <v>1490</v>
      </c>
      <c r="K22" t="s">
        <v>24</v>
      </c>
      <c r="L22" s="4">
        <v>75</v>
      </c>
      <c r="M22" t="s">
        <v>45</v>
      </c>
      <c r="N22" t="s">
        <v>46</v>
      </c>
      <c r="O22" s="4">
        <v>60</v>
      </c>
      <c r="P22">
        <v>0</v>
      </c>
      <c r="Q22" s="4">
        <v>60</v>
      </c>
      <c r="R22" s="12">
        <f t="shared" si="0"/>
        <v>4500</v>
      </c>
      <c r="T22" t="s">
        <v>27</v>
      </c>
      <c r="U22" t="s">
        <v>28</v>
      </c>
      <c r="V22" s="4">
        <v>75</v>
      </c>
      <c r="W22">
        <v>0</v>
      </c>
    </row>
    <row r="23" spans="1:23" hidden="1" x14ac:dyDescent="0.25">
      <c r="A23" s="2">
        <v>45880.374467592592</v>
      </c>
      <c r="B23">
        <v>3975</v>
      </c>
      <c r="C23" t="s">
        <v>20</v>
      </c>
      <c r="D23" s="3">
        <v>45880</v>
      </c>
      <c r="E23" s="3">
        <v>46295</v>
      </c>
      <c r="F23" t="s">
        <v>21</v>
      </c>
      <c r="G23" t="s">
        <v>1493</v>
      </c>
      <c r="H23" t="s">
        <v>22</v>
      </c>
      <c r="I23" t="s">
        <v>41</v>
      </c>
      <c r="J23" t="s">
        <v>1491</v>
      </c>
      <c r="K23" t="s">
        <v>24</v>
      </c>
      <c r="L23" s="4">
        <v>321</v>
      </c>
      <c r="M23" t="s">
        <v>45</v>
      </c>
      <c r="N23" t="s">
        <v>46</v>
      </c>
      <c r="O23" s="4">
        <v>14</v>
      </c>
      <c r="P23">
        <v>0</v>
      </c>
      <c r="Q23" s="4">
        <v>14</v>
      </c>
      <c r="R23" s="12">
        <f t="shared" si="0"/>
        <v>4494</v>
      </c>
      <c r="T23" t="s">
        <v>27</v>
      </c>
      <c r="U23" t="s">
        <v>28</v>
      </c>
      <c r="V23" s="4">
        <v>321</v>
      </c>
      <c r="W23">
        <v>0</v>
      </c>
    </row>
    <row r="24" spans="1:23" hidden="1" x14ac:dyDescent="0.25">
      <c r="A24" s="2">
        <v>45880.374467592592</v>
      </c>
      <c r="B24">
        <v>3975</v>
      </c>
      <c r="C24" t="s">
        <v>20</v>
      </c>
      <c r="D24" s="3">
        <v>45880</v>
      </c>
      <c r="E24" s="3">
        <v>46295</v>
      </c>
      <c r="F24" t="s">
        <v>21</v>
      </c>
      <c r="G24" t="s">
        <v>1493</v>
      </c>
      <c r="H24" t="s">
        <v>22</v>
      </c>
      <c r="I24" t="s">
        <v>38</v>
      </c>
      <c r="J24" t="s">
        <v>1491</v>
      </c>
      <c r="K24" t="s">
        <v>24</v>
      </c>
      <c r="L24" s="4">
        <v>49.5</v>
      </c>
      <c r="M24" t="s">
        <v>45</v>
      </c>
      <c r="N24" t="s">
        <v>46</v>
      </c>
      <c r="O24" s="4">
        <v>72</v>
      </c>
      <c r="P24">
        <v>0</v>
      </c>
      <c r="Q24" s="4">
        <v>72</v>
      </c>
      <c r="R24" s="12">
        <f t="shared" si="0"/>
        <v>3564</v>
      </c>
      <c r="T24" t="s">
        <v>27</v>
      </c>
      <c r="U24" t="s">
        <v>28</v>
      </c>
      <c r="V24" s="4">
        <v>49.5</v>
      </c>
      <c r="W24">
        <v>0</v>
      </c>
    </row>
    <row r="25" spans="1:23" hidden="1" x14ac:dyDescent="0.25">
      <c r="A25" s="2">
        <v>45880.374467592592</v>
      </c>
      <c r="B25">
        <v>3975</v>
      </c>
      <c r="C25" t="s">
        <v>20</v>
      </c>
      <c r="D25" s="3">
        <v>45880</v>
      </c>
      <c r="E25" s="3">
        <v>46295</v>
      </c>
      <c r="F25" t="s">
        <v>21</v>
      </c>
      <c r="H25" t="s">
        <v>22</v>
      </c>
      <c r="I25" t="s">
        <v>42</v>
      </c>
      <c r="J25" t="s">
        <v>1490</v>
      </c>
      <c r="K25" t="s">
        <v>24</v>
      </c>
      <c r="L25" s="4">
        <v>220</v>
      </c>
      <c r="M25" t="s">
        <v>45</v>
      </c>
      <c r="N25" t="s">
        <v>46</v>
      </c>
      <c r="O25" s="4">
        <v>70</v>
      </c>
      <c r="P25">
        <v>0</v>
      </c>
      <c r="Q25" s="4">
        <v>70</v>
      </c>
      <c r="R25" s="12">
        <f t="shared" si="0"/>
        <v>15400</v>
      </c>
      <c r="T25" t="s">
        <v>27</v>
      </c>
      <c r="U25" t="s">
        <v>28</v>
      </c>
      <c r="V25" s="4">
        <v>220</v>
      </c>
      <c r="W25">
        <v>0</v>
      </c>
    </row>
    <row r="26" spans="1:23" hidden="1" x14ac:dyDescent="0.25">
      <c r="A26" s="2">
        <v>45880.374467592592</v>
      </c>
      <c r="B26">
        <v>3975</v>
      </c>
      <c r="C26" t="s">
        <v>20</v>
      </c>
      <c r="D26" s="3">
        <v>45880</v>
      </c>
      <c r="E26" s="3">
        <v>46295</v>
      </c>
      <c r="F26" t="s">
        <v>21</v>
      </c>
      <c r="H26" t="s">
        <v>22</v>
      </c>
      <c r="I26" t="s">
        <v>35</v>
      </c>
      <c r="J26" t="s">
        <v>1490</v>
      </c>
      <c r="K26" t="s">
        <v>24</v>
      </c>
      <c r="L26" s="4">
        <v>75</v>
      </c>
      <c r="M26" t="s">
        <v>45</v>
      </c>
      <c r="N26" t="s">
        <v>46</v>
      </c>
      <c r="O26" s="4">
        <v>140</v>
      </c>
      <c r="P26">
        <v>0</v>
      </c>
      <c r="Q26" s="4">
        <v>140</v>
      </c>
      <c r="R26" s="12">
        <f t="shared" si="0"/>
        <v>10500</v>
      </c>
      <c r="T26" t="s">
        <v>27</v>
      </c>
      <c r="U26" t="s">
        <v>28</v>
      </c>
      <c r="V26" s="4">
        <v>75</v>
      </c>
      <c r="W26">
        <v>0</v>
      </c>
    </row>
    <row r="27" spans="1:23" hidden="1" x14ac:dyDescent="0.25">
      <c r="A27" s="2">
        <v>45880.374467592592</v>
      </c>
      <c r="B27">
        <v>3975</v>
      </c>
      <c r="C27" t="s">
        <v>20</v>
      </c>
      <c r="D27" s="3">
        <v>45880</v>
      </c>
      <c r="E27" s="3">
        <v>46295</v>
      </c>
      <c r="F27" t="s">
        <v>21</v>
      </c>
      <c r="H27" t="s">
        <v>22</v>
      </c>
      <c r="I27" t="s">
        <v>29</v>
      </c>
      <c r="J27" t="s">
        <v>1490</v>
      </c>
      <c r="K27" t="s">
        <v>24</v>
      </c>
      <c r="L27" s="4">
        <v>160</v>
      </c>
      <c r="M27" t="s">
        <v>45</v>
      </c>
      <c r="N27" t="s">
        <v>46</v>
      </c>
      <c r="O27" s="4">
        <v>220</v>
      </c>
      <c r="P27">
        <v>0</v>
      </c>
      <c r="Q27" s="4">
        <v>220</v>
      </c>
      <c r="R27" s="12">
        <f t="shared" si="0"/>
        <v>35200</v>
      </c>
      <c r="T27" t="s">
        <v>27</v>
      </c>
      <c r="U27" t="s">
        <v>28</v>
      </c>
      <c r="V27" s="4">
        <v>160</v>
      </c>
      <c r="W27">
        <v>0</v>
      </c>
    </row>
    <row r="28" spans="1:23" hidden="1" x14ac:dyDescent="0.25">
      <c r="A28" s="2">
        <v>45972.572523148148</v>
      </c>
      <c r="B28">
        <v>4257</v>
      </c>
      <c r="C28" t="s">
        <v>20</v>
      </c>
      <c r="D28" s="3">
        <v>45972</v>
      </c>
      <c r="E28" s="3">
        <v>46142</v>
      </c>
      <c r="F28" t="s">
        <v>21</v>
      </c>
      <c r="H28" t="s">
        <v>22</v>
      </c>
      <c r="I28" t="s">
        <v>32</v>
      </c>
      <c r="J28" t="s">
        <v>1490</v>
      </c>
      <c r="K28" t="s">
        <v>24</v>
      </c>
      <c r="L28" s="4">
        <v>25</v>
      </c>
      <c r="M28" t="s">
        <v>47</v>
      </c>
      <c r="N28" t="s">
        <v>26</v>
      </c>
      <c r="O28" s="4">
        <v>100</v>
      </c>
      <c r="P28">
        <v>0</v>
      </c>
      <c r="Q28" s="4">
        <v>100</v>
      </c>
      <c r="R28" s="12">
        <f t="shared" si="0"/>
        <v>2500</v>
      </c>
      <c r="T28" t="s">
        <v>27</v>
      </c>
      <c r="U28" t="s">
        <v>28</v>
      </c>
      <c r="V28" s="4">
        <v>25</v>
      </c>
      <c r="W28">
        <v>0</v>
      </c>
    </row>
    <row r="29" spans="1:23" hidden="1" x14ac:dyDescent="0.25">
      <c r="A29" s="2">
        <v>45975.377905092595</v>
      </c>
      <c r="B29">
        <v>4270</v>
      </c>
      <c r="C29" t="s">
        <v>20</v>
      </c>
      <c r="D29" s="3">
        <v>45975</v>
      </c>
      <c r="E29" s="3">
        <v>46142</v>
      </c>
      <c r="F29" t="s">
        <v>21</v>
      </c>
      <c r="H29" t="s">
        <v>22</v>
      </c>
      <c r="I29" t="s">
        <v>32</v>
      </c>
      <c r="J29" t="s">
        <v>1490</v>
      </c>
      <c r="K29" t="s">
        <v>24</v>
      </c>
      <c r="L29" s="4">
        <v>25</v>
      </c>
      <c r="M29" t="s">
        <v>48</v>
      </c>
      <c r="N29" t="s">
        <v>26</v>
      </c>
      <c r="O29" s="4">
        <v>100</v>
      </c>
      <c r="P29">
        <v>0</v>
      </c>
      <c r="Q29" s="4">
        <v>100</v>
      </c>
      <c r="R29" s="12">
        <f t="shared" si="0"/>
        <v>2500</v>
      </c>
      <c r="T29" t="s">
        <v>27</v>
      </c>
      <c r="U29" t="s">
        <v>28</v>
      </c>
      <c r="V29" s="4">
        <v>25</v>
      </c>
      <c r="W29">
        <v>0</v>
      </c>
    </row>
    <row r="30" spans="1:23" hidden="1" x14ac:dyDescent="0.25">
      <c r="A30" s="2">
        <v>46043.710949074077</v>
      </c>
      <c r="B30">
        <v>4480</v>
      </c>
      <c r="C30" t="s">
        <v>20</v>
      </c>
      <c r="D30" s="3">
        <v>46043</v>
      </c>
      <c r="E30" s="3">
        <v>46295</v>
      </c>
      <c r="F30" t="s">
        <v>21</v>
      </c>
      <c r="H30" t="s">
        <v>22</v>
      </c>
      <c r="I30" t="s">
        <v>33</v>
      </c>
      <c r="J30" t="s">
        <v>1490</v>
      </c>
      <c r="K30" t="s">
        <v>31</v>
      </c>
      <c r="L30" s="4">
        <v>26.5</v>
      </c>
      <c r="M30" t="s">
        <v>49</v>
      </c>
      <c r="N30" t="s">
        <v>46</v>
      </c>
      <c r="O30" s="4">
        <v>1800</v>
      </c>
      <c r="P30">
        <v>0</v>
      </c>
      <c r="Q30" s="4">
        <v>1800</v>
      </c>
      <c r="R30" s="12">
        <f t="shared" si="0"/>
        <v>47700</v>
      </c>
      <c r="T30" t="s">
        <v>27</v>
      </c>
      <c r="U30" t="s">
        <v>28</v>
      </c>
      <c r="V30" s="4">
        <v>26.5</v>
      </c>
      <c r="W30">
        <v>0</v>
      </c>
    </row>
    <row r="31" spans="1:23" hidden="1" x14ac:dyDescent="0.25">
      <c r="A31" s="2">
        <v>46076.409675925926</v>
      </c>
      <c r="B31">
        <v>4600</v>
      </c>
      <c r="C31" t="s">
        <v>20</v>
      </c>
      <c r="D31" s="3">
        <v>46076</v>
      </c>
      <c r="E31" s="3">
        <v>46295</v>
      </c>
      <c r="F31" t="s">
        <v>21</v>
      </c>
      <c r="H31" t="s">
        <v>22</v>
      </c>
      <c r="I31" t="s">
        <v>42</v>
      </c>
      <c r="J31" t="s">
        <v>1490</v>
      </c>
      <c r="K31" t="s">
        <v>24</v>
      </c>
      <c r="L31" s="4">
        <v>220</v>
      </c>
      <c r="M31" t="s">
        <v>50</v>
      </c>
      <c r="N31" t="s">
        <v>46</v>
      </c>
      <c r="O31" s="4">
        <v>5</v>
      </c>
      <c r="P31">
        <v>0</v>
      </c>
      <c r="Q31" s="4">
        <v>5</v>
      </c>
      <c r="R31" s="12">
        <f t="shared" si="0"/>
        <v>1100</v>
      </c>
      <c r="T31" t="s">
        <v>27</v>
      </c>
      <c r="U31" t="s">
        <v>28</v>
      </c>
      <c r="V31" s="4">
        <v>220</v>
      </c>
      <c r="W31">
        <v>0</v>
      </c>
    </row>
    <row r="32" spans="1:23" hidden="1" x14ac:dyDescent="0.25">
      <c r="A32" s="2">
        <v>45943.389780092592</v>
      </c>
      <c r="B32">
        <v>343</v>
      </c>
      <c r="C32" t="s">
        <v>51</v>
      </c>
      <c r="D32" s="3">
        <v>45943</v>
      </c>
      <c r="E32" s="3">
        <v>46111</v>
      </c>
      <c r="F32" t="s">
        <v>52</v>
      </c>
      <c r="H32" t="s">
        <v>22</v>
      </c>
      <c r="I32" t="s">
        <v>53</v>
      </c>
      <c r="K32" t="s">
        <v>24</v>
      </c>
      <c r="L32" s="4">
        <v>165</v>
      </c>
      <c r="M32" t="s">
        <v>54</v>
      </c>
      <c r="N32" t="s">
        <v>26</v>
      </c>
      <c r="O32" s="4">
        <v>10</v>
      </c>
      <c r="P32">
        <v>0</v>
      </c>
      <c r="Q32" s="4">
        <v>10</v>
      </c>
      <c r="R32" s="12">
        <f t="shared" si="0"/>
        <v>1650</v>
      </c>
      <c r="T32" t="s">
        <v>55</v>
      </c>
      <c r="U32" t="s">
        <v>56</v>
      </c>
      <c r="V32" s="4">
        <v>165</v>
      </c>
      <c r="W32">
        <v>0</v>
      </c>
    </row>
    <row r="33" spans="1:23" hidden="1" x14ac:dyDescent="0.25">
      <c r="A33" s="2">
        <v>45943.389780092592</v>
      </c>
      <c r="B33">
        <v>343</v>
      </c>
      <c r="C33" t="s">
        <v>51</v>
      </c>
      <c r="D33" s="3">
        <v>45943</v>
      </c>
      <c r="E33" s="3">
        <v>46111</v>
      </c>
      <c r="F33" t="s">
        <v>52</v>
      </c>
      <c r="H33" t="s">
        <v>22</v>
      </c>
      <c r="I33" t="s">
        <v>57</v>
      </c>
      <c r="K33" t="s">
        <v>31</v>
      </c>
      <c r="L33" s="4">
        <v>80</v>
      </c>
      <c r="M33" t="s">
        <v>54</v>
      </c>
      <c r="N33" t="s">
        <v>26</v>
      </c>
      <c r="O33" s="4">
        <v>10</v>
      </c>
      <c r="P33">
        <v>0</v>
      </c>
      <c r="Q33" s="4">
        <v>10</v>
      </c>
      <c r="R33" s="12">
        <f t="shared" si="0"/>
        <v>800</v>
      </c>
      <c r="T33" t="s">
        <v>55</v>
      </c>
      <c r="U33" t="s">
        <v>56</v>
      </c>
      <c r="V33" s="4">
        <v>80</v>
      </c>
      <c r="W33">
        <v>0</v>
      </c>
    </row>
    <row r="34" spans="1:23" hidden="1" x14ac:dyDescent="0.25">
      <c r="A34" s="2">
        <v>45848.589687500003</v>
      </c>
      <c r="B34">
        <v>245</v>
      </c>
      <c r="C34" t="s">
        <v>58</v>
      </c>
      <c r="D34" s="3">
        <v>45848</v>
      </c>
      <c r="E34" s="3">
        <v>46142</v>
      </c>
      <c r="F34" t="s">
        <v>52</v>
      </c>
      <c r="G34" t="s">
        <v>1494</v>
      </c>
      <c r="H34" t="s">
        <v>22</v>
      </c>
      <c r="I34" t="s">
        <v>59</v>
      </c>
      <c r="J34" t="s">
        <v>1491</v>
      </c>
      <c r="K34" t="s">
        <v>24</v>
      </c>
      <c r="L34" s="4">
        <v>36</v>
      </c>
      <c r="M34" t="s">
        <v>60</v>
      </c>
      <c r="N34" t="s">
        <v>26</v>
      </c>
      <c r="O34" s="4">
        <v>1950</v>
      </c>
      <c r="P34">
        <v>0</v>
      </c>
      <c r="Q34" s="4">
        <v>1950</v>
      </c>
      <c r="R34" s="12">
        <f t="shared" si="0"/>
        <v>70200</v>
      </c>
      <c r="T34" t="s">
        <v>55</v>
      </c>
      <c r="U34" t="s">
        <v>61</v>
      </c>
      <c r="V34" s="4">
        <v>36</v>
      </c>
      <c r="W34">
        <v>0</v>
      </c>
    </row>
    <row r="35" spans="1:23" hidden="1" x14ac:dyDescent="0.25">
      <c r="A35" s="2">
        <v>45848.589687500003</v>
      </c>
      <c r="B35">
        <v>245</v>
      </c>
      <c r="C35" t="s">
        <v>58</v>
      </c>
      <c r="D35" s="3">
        <v>45848</v>
      </c>
      <c r="E35" s="3">
        <v>46142</v>
      </c>
      <c r="F35" t="s">
        <v>52</v>
      </c>
      <c r="G35" t="s">
        <v>1494</v>
      </c>
      <c r="H35" t="s">
        <v>22</v>
      </c>
      <c r="I35" t="s">
        <v>38</v>
      </c>
      <c r="J35" t="s">
        <v>1491</v>
      </c>
      <c r="K35" t="s">
        <v>24</v>
      </c>
      <c r="L35" s="4">
        <v>40</v>
      </c>
      <c r="M35" t="s">
        <v>60</v>
      </c>
      <c r="N35" t="s">
        <v>26</v>
      </c>
      <c r="O35" s="4">
        <v>1302</v>
      </c>
      <c r="P35">
        <v>0</v>
      </c>
      <c r="Q35" s="4">
        <v>1302</v>
      </c>
      <c r="R35" s="12">
        <f t="shared" si="0"/>
        <v>52080</v>
      </c>
      <c r="T35" t="s">
        <v>55</v>
      </c>
      <c r="U35" t="s">
        <v>61</v>
      </c>
      <c r="V35" s="4">
        <v>40</v>
      </c>
      <c r="W35">
        <v>0</v>
      </c>
    </row>
    <row r="36" spans="1:23" hidden="1" x14ac:dyDescent="0.25">
      <c r="A36" s="2">
        <v>45848.589687500003</v>
      </c>
      <c r="B36">
        <v>245</v>
      </c>
      <c r="C36" t="s">
        <v>58</v>
      </c>
      <c r="D36" s="3">
        <v>45848</v>
      </c>
      <c r="E36" s="3">
        <v>46142</v>
      </c>
      <c r="F36" t="s">
        <v>52</v>
      </c>
      <c r="G36" t="s">
        <v>1494</v>
      </c>
      <c r="H36" t="s">
        <v>22</v>
      </c>
      <c r="I36" t="s">
        <v>43</v>
      </c>
      <c r="J36" t="s">
        <v>1491</v>
      </c>
      <c r="K36" t="s">
        <v>24</v>
      </c>
      <c r="L36" s="4">
        <v>36</v>
      </c>
      <c r="M36" t="s">
        <v>60</v>
      </c>
      <c r="N36" t="s">
        <v>26</v>
      </c>
      <c r="O36" s="4">
        <v>1950</v>
      </c>
      <c r="P36">
        <v>0</v>
      </c>
      <c r="Q36" s="4">
        <v>1950</v>
      </c>
      <c r="R36" s="12">
        <f t="shared" si="0"/>
        <v>70200</v>
      </c>
      <c r="T36" t="s">
        <v>55</v>
      </c>
      <c r="U36" t="s">
        <v>61</v>
      </c>
      <c r="V36" s="4">
        <v>36</v>
      </c>
      <c r="W36">
        <v>0</v>
      </c>
    </row>
    <row r="37" spans="1:23" hidden="1" x14ac:dyDescent="0.25">
      <c r="A37" s="2">
        <v>45848.589687500003</v>
      </c>
      <c r="B37">
        <v>245</v>
      </c>
      <c r="C37" t="s">
        <v>58</v>
      </c>
      <c r="D37" s="3">
        <v>45848</v>
      </c>
      <c r="E37" s="3">
        <v>46142</v>
      </c>
      <c r="F37" t="s">
        <v>52</v>
      </c>
      <c r="G37" t="s">
        <v>1494</v>
      </c>
      <c r="H37" t="s">
        <v>22</v>
      </c>
      <c r="I37" t="s">
        <v>44</v>
      </c>
      <c r="J37" t="s">
        <v>1491</v>
      </c>
      <c r="K37" t="s">
        <v>31</v>
      </c>
      <c r="L37" s="4">
        <v>360</v>
      </c>
      <c r="M37" t="s">
        <v>60</v>
      </c>
      <c r="N37" t="s">
        <v>26</v>
      </c>
      <c r="O37" s="4">
        <v>650</v>
      </c>
      <c r="P37">
        <v>0</v>
      </c>
      <c r="Q37" s="4">
        <v>650</v>
      </c>
      <c r="R37" s="12">
        <f t="shared" si="0"/>
        <v>234000</v>
      </c>
      <c r="T37" t="s">
        <v>55</v>
      </c>
      <c r="U37" t="s">
        <v>61</v>
      </c>
      <c r="V37" s="4">
        <v>360</v>
      </c>
      <c r="W37">
        <v>0</v>
      </c>
    </row>
    <row r="38" spans="1:23" hidden="1" x14ac:dyDescent="0.25">
      <c r="A38" s="2">
        <v>45848.589687500003</v>
      </c>
      <c r="B38">
        <v>245</v>
      </c>
      <c r="C38" t="s">
        <v>58</v>
      </c>
      <c r="D38" s="3">
        <v>45848</v>
      </c>
      <c r="E38" s="3">
        <v>46142</v>
      </c>
      <c r="F38" t="s">
        <v>52</v>
      </c>
      <c r="H38" t="s">
        <v>22</v>
      </c>
      <c r="I38" t="s">
        <v>35</v>
      </c>
      <c r="J38" t="s">
        <v>1490</v>
      </c>
      <c r="K38" t="s">
        <v>24</v>
      </c>
      <c r="L38" s="4">
        <v>65</v>
      </c>
      <c r="M38" t="s">
        <v>60</v>
      </c>
      <c r="N38" t="s">
        <v>26</v>
      </c>
      <c r="O38" s="4">
        <v>1000</v>
      </c>
      <c r="P38">
        <v>0</v>
      </c>
      <c r="Q38" s="4">
        <v>1000</v>
      </c>
      <c r="R38" s="12">
        <f t="shared" si="0"/>
        <v>65000</v>
      </c>
      <c r="T38" t="s">
        <v>55</v>
      </c>
      <c r="U38" t="s">
        <v>61</v>
      </c>
      <c r="V38" s="4">
        <v>65</v>
      </c>
      <c r="W38">
        <v>0</v>
      </c>
    </row>
    <row r="39" spans="1:23" hidden="1" x14ac:dyDescent="0.25">
      <c r="A39" s="2">
        <v>45848.589687500003</v>
      </c>
      <c r="B39">
        <v>245</v>
      </c>
      <c r="C39" t="s">
        <v>58</v>
      </c>
      <c r="D39" s="3">
        <v>45848</v>
      </c>
      <c r="E39" s="3">
        <v>46142</v>
      </c>
      <c r="F39" t="s">
        <v>52</v>
      </c>
      <c r="G39" t="s">
        <v>1494</v>
      </c>
      <c r="H39" t="s">
        <v>22</v>
      </c>
      <c r="I39" t="s">
        <v>41</v>
      </c>
      <c r="J39" t="s">
        <v>1491</v>
      </c>
      <c r="K39" t="s">
        <v>24</v>
      </c>
      <c r="L39" s="4">
        <v>260</v>
      </c>
      <c r="M39" t="s">
        <v>60</v>
      </c>
      <c r="N39" t="s">
        <v>26</v>
      </c>
      <c r="O39" s="4">
        <v>650</v>
      </c>
      <c r="P39">
        <v>0</v>
      </c>
      <c r="Q39" s="4">
        <v>650</v>
      </c>
      <c r="R39" s="12">
        <f t="shared" si="0"/>
        <v>169000</v>
      </c>
      <c r="T39" t="s">
        <v>55</v>
      </c>
      <c r="U39" t="s">
        <v>61</v>
      </c>
      <c r="V39" s="4">
        <v>260</v>
      </c>
      <c r="W39">
        <v>0</v>
      </c>
    </row>
    <row r="40" spans="1:23" hidden="1" x14ac:dyDescent="0.25">
      <c r="A40" s="2">
        <v>45848.589687500003</v>
      </c>
      <c r="B40">
        <v>245</v>
      </c>
      <c r="C40" t="s">
        <v>58</v>
      </c>
      <c r="D40" s="3">
        <v>45848</v>
      </c>
      <c r="E40" s="3">
        <v>46142</v>
      </c>
      <c r="F40" t="s">
        <v>52</v>
      </c>
      <c r="G40" t="s">
        <v>1494</v>
      </c>
      <c r="H40" t="s">
        <v>22</v>
      </c>
      <c r="I40" t="s">
        <v>40</v>
      </c>
      <c r="J40" t="s">
        <v>1491</v>
      </c>
      <c r="K40" t="s">
        <v>24</v>
      </c>
      <c r="L40" s="4">
        <v>260</v>
      </c>
      <c r="M40" t="s">
        <v>60</v>
      </c>
      <c r="N40" t="s">
        <v>26</v>
      </c>
      <c r="O40" s="4">
        <v>650</v>
      </c>
      <c r="P40">
        <v>0</v>
      </c>
      <c r="Q40" s="4">
        <v>650</v>
      </c>
      <c r="R40" s="12">
        <f t="shared" si="0"/>
        <v>169000</v>
      </c>
      <c r="T40" t="s">
        <v>55</v>
      </c>
      <c r="U40" t="s">
        <v>61</v>
      </c>
      <c r="V40" s="4">
        <v>260</v>
      </c>
      <c r="W40">
        <v>0</v>
      </c>
    </row>
    <row r="41" spans="1:23" hidden="1" x14ac:dyDescent="0.25">
      <c r="A41" s="2">
        <v>45987.662303240744</v>
      </c>
      <c r="B41">
        <v>427</v>
      </c>
      <c r="C41" t="s">
        <v>58</v>
      </c>
      <c r="D41" s="3">
        <v>45987</v>
      </c>
      <c r="E41" s="3">
        <v>46325</v>
      </c>
      <c r="F41" t="s">
        <v>52</v>
      </c>
      <c r="G41" t="s">
        <v>1494</v>
      </c>
      <c r="H41" t="s">
        <v>22</v>
      </c>
      <c r="I41" t="s">
        <v>40</v>
      </c>
      <c r="J41" t="s">
        <v>1491</v>
      </c>
      <c r="K41" t="s">
        <v>24</v>
      </c>
      <c r="L41" s="4">
        <v>260</v>
      </c>
      <c r="M41" t="s">
        <v>62</v>
      </c>
      <c r="N41" t="s">
        <v>46</v>
      </c>
      <c r="O41" s="4">
        <v>765</v>
      </c>
      <c r="P41">
        <v>0</v>
      </c>
      <c r="Q41" s="4">
        <v>765</v>
      </c>
      <c r="R41" s="12">
        <f t="shared" si="0"/>
        <v>198900</v>
      </c>
      <c r="T41" t="s">
        <v>55</v>
      </c>
      <c r="U41" t="s">
        <v>61</v>
      </c>
      <c r="V41" s="4">
        <v>260</v>
      </c>
      <c r="W41">
        <v>0</v>
      </c>
    </row>
    <row r="42" spans="1:23" hidden="1" x14ac:dyDescent="0.25">
      <c r="A42" s="2">
        <v>45987.662303240744</v>
      </c>
      <c r="B42">
        <v>427</v>
      </c>
      <c r="C42" t="s">
        <v>58</v>
      </c>
      <c r="D42" s="3">
        <v>45987</v>
      </c>
      <c r="E42" s="3">
        <v>46325</v>
      </c>
      <c r="F42" t="s">
        <v>52</v>
      </c>
      <c r="G42" t="s">
        <v>1494</v>
      </c>
      <c r="H42" t="s">
        <v>22</v>
      </c>
      <c r="I42" t="s">
        <v>38</v>
      </c>
      <c r="J42" t="s">
        <v>1491</v>
      </c>
      <c r="K42" t="s">
        <v>24</v>
      </c>
      <c r="L42" s="4">
        <v>40</v>
      </c>
      <c r="M42" t="s">
        <v>62</v>
      </c>
      <c r="N42" t="s">
        <v>46</v>
      </c>
      <c r="O42" s="4">
        <v>1032</v>
      </c>
      <c r="P42">
        <v>0</v>
      </c>
      <c r="Q42" s="4">
        <v>1032</v>
      </c>
      <c r="R42" s="12">
        <f t="shared" si="0"/>
        <v>41280</v>
      </c>
      <c r="T42" t="s">
        <v>55</v>
      </c>
      <c r="U42" t="s">
        <v>61</v>
      </c>
      <c r="V42" s="4">
        <v>40</v>
      </c>
      <c r="W42">
        <v>0</v>
      </c>
    </row>
    <row r="43" spans="1:23" hidden="1" x14ac:dyDescent="0.25">
      <c r="A43" s="2">
        <v>45987.662303240744</v>
      </c>
      <c r="B43">
        <v>427</v>
      </c>
      <c r="C43" t="s">
        <v>58</v>
      </c>
      <c r="D43" s="3">
        <v>45987</v>
      </c>
      <c r="E43" s="3">
        <v>46325</v>
      </c>
      <c r="F43" t="s">
        <v>52</v>
      </c>
      <c r="G43" t="s">
        <v>1494</v>
      </c>
      <c r="H43" t="s">
        <v>22</v>
      </c>
      <c r="I43" t="s">
        <v>44</v>
      </c>
      <c r="J43" t="s">
        <v>1491</v>
      </c>
      <c r="K43" t="s">
        <v>31</v>
      </c>
      <c r="L43" s="4">
        <v>360</v>
      </c>
      <c r="M43" t="s">
        <v>62</v>
      </c>
      <c r="N43" t="s">
        <v>46</v>
      </c>
      <c r="O43" s="4">
        <v>250</v>
      </c>
      <c r="P43">
        <v>0</v>
      </c>
      <c r="Q43" s="4">
        <v>250</v>
      </c>
      <c r="R43" s="12">
        <f t="shared" si="0"/>
        <v>90000</v>
      </c>
      <c r="T43" t="s">
        <v>55</v>
      </c>
      <c r="U43" t="s">
        <v>61</v>
      </c>
      <c r="V43" s="4">
        <v>360</v>
      </c>
      <c r="W43">
        <v>0</v>
      </c>
    </row>
    <row r="44" spans="1:23" hidden="1" x14ac:dyDescent="0.25">
      <c r="A44" s="2">
        <v>45987.662303240744</v>
      </c>
      <c r="B44">
        <v>427</v>
      </c>
      <c r="C44" t="s">
        <v>58</v>
      </c>
      <c r="D44" s="3">
        <v>45987</v>
      </c>
      <c r="E44" s="3">
        <v>46325</v>
      </c>
      <c r="F44" t="s">
        <v>52</v>
      </c>
      <c r="G44" t="s">
        <v>1494</v>
      </c>
      <c r="H44" t="s">
        <v>22</v>
      </c>
      <c r="I44" t="s">
        <v>63</v>
      </c>
      <c r="J44" t="s">
        <v>1491</v>
      </c>
      <c r="K44" t="s">
        <v>31</v>
      </c>
      <c r="L44" s="4">
        <v>200</v>
      </c>
      <c r="M44" t="s">
        <v>62</v>
      </c>
      <c r="N44" t="s">
        <v>46</v>
      </c>
      <c r="O44" s="4">
        <v>424</v>
      </c>
      <c r="P44">
        <v>0</v>
      </c>
      <c r="Q44" s="4">
        <v>424</v>
      </c>
      <c r="R44" s="12">
        <f t="shared" si="0"/>
        <v>84800</v>
      </c>
      <c r="T44" t="s">
        <v>55</v>
      </c>
      <c r="U44" t="s">
        <v>61</v>
      </c>
      <c r="V44" s="4">
        <v>200</v>
      </c>
      <c r="W44">
        <v>0</v>
      </c>
    </row>
    <row r="45" spans="1:23" hidden="1" x14ac:dyDescent="0.25">
      <c r="A45" s="2">
        <v>45987.662303240744</v>
      </c>
      <c r="B45">
        <v>427</v>
      </c>
      <c r="C45" t="s">
        <v>58</v>
      </c>
      <c r="D45" s="3">
        <v>45987</v>
      </c>
      <c r="E45" s="3">
        <v>46325</v>
      </c>
      <c r="F45" t="s">
        <v>52</v>
      </c>
      <c r="H45" t="s">
        <v>22</v>
      </c>
      <c r="I45" t="s">
        <v>35</v>
      </c>
      <c r="J45" t="s">
        <v>1490</v>
      </c>
      <c r="K45" t="s">
        <v>24</v>
      </c>
      <c r="L45" s="4">
        <v>65</v>
      </c>
      <c r="M45" t="s">
        <v>62</v>
      </c>
      <c r="N45" t="s">
        <v>46</v>
      </c>
      <c r="O45" s="4">
        <v>1000</v>
      </c>
      <c r="P45">
        <v>0</v>
      </c>
      <c r="Q45" s="4">
        <v>1000</v>
      </c>
      <c r="R45" s="12">
        <f t="shared" si="0"/>
        <v>65000</v>
      </c>
      <c r="T45" t="s">
        <v>55</v>
      </c>
      <c r="U45" t="s">
        <v>61</v>
      </c>
      <c r="V45" s="4">
        <v>65</v>
      </c>
      <c r="W45">
        <v>0</v>
      </c>
    </row>
    <row r="46" spans="1:23" hidden="1" x14ac:dyDescent="0.25">
      <c r="A46" s="2">
        <v>45987.662303240744</v>
      </c>
      <c r="B46">
        <v>427</v>
      </c>
      <c r="C46" t="s">
        <v>58</v>
      </c>
      <c r="D46" s="3">
        <v>45987</v>
      </c>
      <c r="E46" s="3">
        <v>46325</v>
      </c>
      <c r="F46" t="s">
        <v>52</v>
      </c>
      <c r="G46" t="s">
        <v>1494</v>
      </c>
      <c r="H46" t="s">
        <v>22</v>
      </c>
      <c r="I46" t="s">
        <v>41</v>
      </c>
      <c r="J46" t="s">
        <v>1491</v>
      </c>
      <c r="K46" t="s">
        <v>24</v>
      </c>
      <c r="L46" s="4">
        <v>260</v>
      </c>
      <c r="M46" t="s">
        <v>62</v>
      </c>
      <c r="N46" t="s">
        <v>46</v>
      </c>
      <c r="O46" s="4">
        <v>515</v>
      </c>
      <c r="P46">
        <v>0</v>
      </c>
      <c r="Q46" s="4">
        <v>515</v>
      </c>
      <c r="R46" s="12">
        <f t="shared" si="0"/>
        <v>133900</v>
      </c>
      <c r="T46" t="s">
        <v>55</v>
      </c>
      <c r="U46" t="s">
        <v>61</v>
      </c>
      <c r="V46" s="4">
        <v>260</v>
      </c>
      <c r="W46">
        <v>0</v>
      </c>
    </row>
    <row r="47" spans="1:23" hidden="1" x14ac:dyDescent="0.25">
      <c r="A47" s="2">
        <v>46085.325694444444</v>
      </c>
      <c r="B47">
        <v>567</v>
      </c>
      <c r="C47" t="s">
        <v>58</v>
      </c>
      <c r="D47" s="3">
        <v>46085</v>
      </c>
      <c r="E47" s="3">
        <v>46325</v>
      </c>
      <c r="F47" t="s">
        <v>52</v>
      </c>
      <c r="H47" t="s">
        <v>22</v>
      </c>
      <c r="I47" t="s">
        <v>35</v>
      </c>
      <c r="J47" t="s">
        <v>1490</v>
      </c>
      <c r="K47" t="s">
        <v>24</v>
      </c>
      <c r="L47" s="4">
        <v>65</v>
      </c>
      <c r="M47" t="s">
        <v>64</v>
      </c>
      <c r="N47" t="s">
        <v>46</v>
      </c>
      <c r="O47" s="4">
        <v>3000</v>
      </c>
      <c r="P47" s="4">
        <v>1500</v>
      </c>
      <c r="Q47" s="4">
        <v>1500</v>
      </c>
      <c r="R47" s="12">
        <f t="shared" si="0"/>
        <v>97500</v>
      </c>
      <c r="T47" t="s">
        <v>55</v>
      </c>
      <c r="U47" t="s">
        <v>61</v>
      </c>
      <c r="V47" s="4">
        <v>65</v>
      </c>
      <c r="W47">
        <v>0</v>
      </c>
    </row>
    <row r="48" spans="1:23" hidden="1" x14ac:dyDescent="0.25">
      <c r="A48" s="2">
        <v>46032.288564814815</v>
      </c>
      <c r="B48">
        <v>490</v>
      </c>
      <c r="C48" t="s">
        <v>65</v>
      </c>
      <c r="D48" s="3">
        <v>46032</v>
      </c>
      <c r="E48" s="3">
        <v>46295</v>
      </c>
      <c r="F48" t="s">
        <v>66</v>
      </c>
      <c r="G48" t="s">
        <v>1494</v>
      </c>
      <c r="H48" t="s">
        <v>22</v>
      </c>
      <c r="I48" t="s">
        <v>63</v>
      </c>
      <c r="J48" t="s">
        <v>1491</v>
      </c>
      <c r="K48" t="s">
        <v>31</v>
      </c>
      <c r="L48" s="4">
        <v>175</v>
      </c>
      <c r="M48" t="s">
        <v>67</v>
      </c>
      <c r="N48" t="s">
        <v>46</v>
      </c>
      <c r="O48" s="4">
        <v>190</v>
      </c>
      <c r="P48">
        <v>0</v>
      </c>
      <c r="Q48" s="4">
        <v>190</v>
      </c>
      <c r="R48" s="12">
        <f t="shared" si="0"/>
        <v>33250</v>
      </c>
      <c r="T48" t="s">
        <v>68</v>
      </c>
      <c r="U48" t="s">
        <v>69</v>
      </c>
      <c r="V48" s="4">
        <v>175</v>
      </c>
      <c r="W48">
        <v>0</v>
      </c>
    </row>
    <row r="49" spans="1:23" hidden="1" x14ac:dyDescent="0.25">
      <c r="A49" s="2">
        <v>46032.291076388887</v>
      </c>
      <c r="B49">
        <v>491</v>
      </c>
      <c r="C49" t="s">
        <v>65</v>
      </c>
      <c r="D49" s="3">
        <v>46032</v>
      </c>
      <c r="E49" s="3">
        <v>46295</v>
      </c>
      <c r="F49" t="s">
        <v>66</v>
      </c>
      <c r="G49" t="s">
        <v>1494</v>
      </c>
      <c r="H49" t="s">
        <v>22</v>
      </c>
      <c r="I49" t="s">
        <v>63</v>
      </c>
      <c r="J49" t="s">
        <v>1491</v>
      </c>
      <c r="K49" t="s">
        <v>31</v>
      </c>
      <c r="L49" s="4">
        <v>175</v>
      </c>
      <c r="M49" t="s">
        <v>70</v>
      </c>
      <c r="N49" t="s">
        <v>46</v>
      </c>
      <c r="O49" s="4">
        <v>620</v>
      </c>
      <c r="P49">
        <v>0</v>
      </c>
      <c r="Q49" s="4">
        <v>620</v>
      </c>
      <c r="R49" s="12">
        <f t="shared" si="0"/>
        <v>108500</v>
      </c>
      <c r="T49" t="s">
        <v>71</v>
      </c>
      <c r="U49" t="s">
        <v>69</v>
      </c>
      <c r="V49" s="4">
        <v>175</v>
      </c>
      <c r="W49">
        <v>0</v>
      </c>
    </row>
    <row r="50" spans="1:23" hidden="1" x14ac:dyDescent="0.25">
      <c r="A50" s="2">
        <v>46038.72252314815</v>
      </c>
      <c r="B50">
        <v>503</v>
      </c>
      <c r="C50" t="s">
        <v>65</v>
      </c>
      <c r="D50" s="3">
        <v>46038</v>
      </c>
      <c r="E50" s="3">
        <v>46295</v>
      </c>
      <c r="F50" t="s">
        <v>66</v>
      </c>
      <c r="H50" t="s">
        <v>22</v>
      </c>
      <c r="I50" t="s">
        <v>72</v>
      </c>
      <c r="J50" t="s">
        <v>1490</v>
      </c>
      <c r="K50" t="s">
        <v>24</v>
      </c>
      <c r="L50" s="4">
        <v>975</v>
      </c>
      <c r="M50" t="s">
        <v>73</v>
      </c>
      <c r="N50" t="s">
        <v>46</v>
      </c>
      <c r="O50" s="4">
        <v>56</v>
      </c>
      <c r="P50">
        <v>0</v>
      </c>
      <c r="Q50" s="4">
        <v>56</v>
      </c>
      <c r="R50" s="12">
        <f t="shared" si="0"/>
        <v>54600</v>
      </c>
      <c r="T50" t="s">
        <v>68</v>
      </c>
      <c r="U50" t="s">
        <v>69</v>
      </c>
      <c r="V50" s="4">
        <v>975</v>
      </c>
      <c r="W50">
        <v>0</v>
      </c>
    </row>
    <row r="51" spans="1:23" hidden="1" x14ac:dyDescent="0.25">
      <c r="A51" s="2">
        <v>46038.72252314815</v>
      </c>
      <c r="B51">
        <v>503</v>
      </c>
      <c r="C51" t="s">
        <v>65</v>
      </c>
      <c r="D51" s="3">
        <v>46038</v>
      </c>
      <c r="E51" s="3">
        <v>46295</v>
      </c>
      <c r="F51" t="s">
        <v>66</v>
      </c>
      <c r="G51" t="s">
        <v>1494</v>
      </c>
      <c r="H51" t="s">
        <v>22</v>
      </c>
      <c r="I51" t="s">
        <v>40</v>
      </c>
      <c r="J51" t="s">
        <v>1491</v>
      </c>
      <c r="K51" t="s">
        <v>24</v>
      </c>
      <c r="L51" s="4">
        <v>300</v>
      </c>
      <c r="M51" t="s">
        <v>73</v>
      </c>
      <c r="N51" t="s">
        <v>46</v>
      </c>
      <c r="O51" s="4">
        <v>84</v>
      </c>
      <c r="P51">
        <v>0</v>
      </c>
      <c r="Q51" s="4">
        <v>84</v>
      </c>
      <c r="R51" s="12">
        <f t="shared" si="0"/>
        <v>25200</v>
      </c>
      <c r="T51" t="s">
        <v>68</v>
      </c>
      <c r="U51" t="s">
        <v>69</v>
      </c>
      <c r="V51" s="4">
        <v>300</v>
      </c>
      <c r="W51">
        <v>0</v>
      </c>
    </row>
    <row r="52" spans="1:23" hidden="1" x14ac:dyDescent="0.25">
      <c r="A52" s="2">
        <v>46038.72252314815</v>
      </c>
      <c r="B52">
        <v>503</v>
      </c>
      <c r="C52" t="s">
        <v>65</v>
      </c>
      <c r="D52" s="3">
        <v>46038</v>
      </c>
      <c r="E52" s="3">
        <v>46295</v>
      </c>
      <c r="F52" t="s">
        <v>66</v>
      </c>
      <c r="G52" t="s">
        <v>1494</v>
      </c>
      <c r="H52" t="s">
        <v>22</v>
      </c>
      <c r="I52" t="s">
        <v>41</v>
      </c>
      <c r="J52" t="s">
        <v>1491</v>
      </c>
      <c r="K52" t="s">
        <v>24</v>
      </c>
      <c r="L52" s="4">
        <v>300</v>
      </c>
      <c r="M52" t="s">
        <v>73</v>
      </c>
      <c r="N52" t="s">
        <v>46</v>
      </c>
      <c r="O52" s="4">
        <v>84</v>
      </c>
      <c r="P52">
        <v>0</v>
      </c>
      <c r="Q52" s="4">
        <v>84</v>
      </c>
      <c r="R52" s="12">
        <f t="shared" si="0"/>
        <v>25200</v>
      </c>
      <c r="T52" t="s">
        <v>68</v>
      </c>
      <c r="U52" t="s">
        <v>69</v>
      </c>
      <c r="V52" s="4">
        <v>300</v>
      </c>
      <c r="W52">
        <v>0</v>
      </c>
    </row>
    <row r="53" spans="1:23" hidden="1" x14ac:dyDescent="0.25">
      <c r="A53" s="2">
        <v>46038.724444444444</v>
      </c>
      <c r="B53">
        <v>504</v>
      </c>
      <c r="C53" t="s">
        <v>65</v>
      </c>
      <c r="D53" s="3">
        <v>46038</v>
      </c>
      <c r="E53" s="3">
        <v>46295</v>
      </c>
      <c r="F53" t="s">
        <v>66</v>
      </c>
      <c r="G53" t="s">
        <v>1494</v>
      </c>
      <c r="H53" t="s">
        <v>22</v>
      </c>
      <c r="I53" t="s">
        <v>41</v>
      </c>
      <c r="J53" t="s">
        <v>1491</v>
      </c>
      <c r="K53" t="s">
        <v>24</v>
      </c>
      <c r="L53" s="4">
        <v>300</v>
      </c>
      <c r="M53" t="s">
        <v>74</v>
      </c>
      <c r="N53" t="s">
        <v>46</v>
      </c>
      <c r="O53" s="4">
        <v>156</v>
      </c>
      <c r="P53">
        <v>0</v>
      </c>
      <c r="Q53" s="4">
        <v>156</v>
      </c>
      <c r="R53" s="12">
        <f t="shared" si="0"/>
        <v>46800</v>
      </c>
      <c r="T53" t="s">
        <v>71</v>
      </c>
      <c r="U53" t="s">
        <v>69</v>
      </c>
      <c r="V53" s="4">
        <v>300</v>
      </c>
      <c r="W53">
        <v>0</v>
      </c>
    </row>
    <row r="54" spans="1:23" hidden="1" x14ac:dyDescent="0.25">
      <c r="A54" s="2">
        <v>46038.724444444444</v>
      </c>
      <c r="B54">
        <v>504</v>
      </c>
      <c r="C54" t="s">
        <v>65</v>
      </c>
      <c r="D54" s="3">
        <v>46038</v>
      </c>
      <c r="E54" s="3">
        <v>46295</v>
      </c>
      <c r="F54" t="s">
        <v>66</v>
      </c>
      <c r="H54" t="s">
        <v>22</v>
      </c>
      <c r="I54" t="s">
        <v>72</v>
      </c>
      <c r="J54" t="s">
        <v>1490</v>
      </c>
      <c r="K54" t="s">
        <v>24</v>
      </c>
      <c r="L54" s="4">
        <v>975</v>
      </c>
      <c r="M54" t="s">
        <v>74</v>
      </c>
      <c r="N54" t="s">
        <v>46</v>
      </c>
      <c r="O54" s="4">
        <v>104</v>
      </c>
      <c r="P54">
        <v>0</v>
      </c>
      <c r="Q54" s="4">
        <v>104</v>
      </c>
      <c r="R54" s="12">
        <f t="shared" si="0"/>
        <v>101400</v>
      </c>
      <c r="T54" t="s">
        <v>71</v>
      </c>
      <c r="U54" t="s">
        <v>69</v>
      </c>
      <c r="V54" s="4">
        <v>975</v>
      </c>
      <c r="W54">
        <v>0</v>
      </c>
    </row>
    <row r="55" spans="1:23" hidden="1" x14ac:dyDescent="0.25">
      <c r="A55" s="2">
        <v>46038.724444444444</v>
      </c>
      <c r="B55">
        <v>504</v>
      </c>
      <c r="C55" t="s">
        <v>65</v>
      </c>
      <c r="D55" s="3">
        <v>46038</v>
      </c>
      <c r="E55" s="3">
        <v>46295</v>
      </c>
      <c r="F55" t="s">
        <v>66</v>
      </c>
      <c r="G55" t="s">
        <v>1494</v>
      </c>
      <c r="H55" t="s">
        <v>22</v>
      </c>
      <c r="I55" t="s">
        <v>40</v>
      </c>
      <c r="J55" t="s">
        <v>1491</v>
      </c>
      <c r="K55" t="s">
        <v>24</v>
      </c>
      <c r="L55" s="4">
        <v>300</v>
      </c>
      <c r="M55" t="s">
        <v>74</v>
      </c>
      <c r="N55" t="s">
        <v>46</v>
      </c>
      <c r="O55" s="4">
        <v>156</v>
      </c>
      <c r="P55">
        <v>0</v>
      </c>
      <c r="Q55" s="4">
        <v>156</v>
      </c>
      <c r="R55" s="12">
        <f t="shared" si="0"/>
        <v>46800</v>
      </c>
      <c r="T55" t="s">
        <v>71</v>
      </c>
      <c r="U55" t="s">
        <v>69</v>
      </c>
      <c r="V55" s="4">
        <v>300</v>
      </c>
      <c r="W55">
        <v>0</v>
      </c>
    </row>
    <row r="56" spans="1:23" hidden="1" x14ac:dyDescent="0.25">
      <c r="A56" s="2">
        <v>46062.767118055555</v>
      </c>
      <c r="B56">
        <v>540</v>
      </c>
      <c r="C56" t="s">
        <v>65</v>
      </c>
      <c r="D56" s="3">
        <v>46062</v>
      </c>
      <c r="E56" s="3">
        <v>46295</v>
      </c>
      <c r="F56" t="s">
        <v>66</v>
      </c>
      <c r="G56" t="s">
        <v>1494</v>
      </c>
      <c r="H56" t="s">
        <v>22</v>
      </c>
      <c r="I56" t="s">
        <v>75</v>
      </c>
      <c r="J56" t="s">
        <v>1491</v>
      </c>
      <c r="K56" t="s">
        <v>24</v>
      </c>
      <c r="L56" s="4">
        <v>35</v>
      </c>
      <c r="M56" t="s">
        <v>76</v>
      </c>
      <c r="N56" t="s">
        <v>46</v>
      </c>
      <c r="O56" s="4">
        <v>450</v>
      </c>
      <c r="P56">
        <v>0</v>
      </c>
      <c r="Q56" s="4">
        <v>450</v>
      </c>
      <c r="R56" s="12">
        <f t="shared" si="0"/>
        <v>15750</v>
      </c>
      <c r="T56" t="s">
        <v>68</v>
      </c>
      <c r="U56" t="s">
        <v>69</v>
      </c>
      <c r="V56" s="4">
        <v>35</v>
      </c>
      <c r="W56">
        <v>0</v>
      </c>
    </row>
    <row r="57" spans="1:23" hidden="1" x14ac:dyDescent="0.25">
      <c r="A57" s="2">
        <v>46070.313414351855</v>
      </c>
      <c r="B57">
        <v>550</v>
      </c>
      <c r="C57" t="s">
        <v>65</v>
      </c>
      <c r="D57" s="3">
        <v>46070</v>
      </c>
      <c r="E57" s="3">
        <v>46295</v>
      </c>
      <c r="F57" t="s">
        <v>66</v>
      </c>
      <c r="G57" t="s">
        <v>1494</v>
      </c>
      <c r="H57" t="s">
        <v>22</v>
      </c>
      <c r="I57" t="s">
        <v>63</v>
      </c>
      <c r="J57" t="s">
        <v>1491</v>
      </c>
      <c r="K57" t="s">
        <v>31</v>
      </c>
      <c r="L57" s="4">
        <v>175</v>
      </c>
      <c r="M57" t="s">
        <v>77</v>
      </c>
      <c r="N57" t="s">
        <v>46</v>
      </c>
      <c r="O57" s="4">
        <v>42</v>
      </c>
      <c r="P57">
        <v>0</v>
      </c>
      <c r="Q57" s="4">
        <v>42</v>
      </c>
      <c r="R57" s="12">
        <f t="shared" si="0"/>
        <v>7350</v>
      </c>
      <c r="T57" t="s">
        <v>68</v>
      </c>
      <c r="U57" t="s">
        <v>69</v>
      </c>
      <c r="V57" s="4">
        <v>175</v>
      </c>
      <c r="W57">
        <v>0</v>
      </c>
    </row>
    <row r="58" spans="1:23" hidden="1" x14ac:dyDescent="0.25">
      <c r="A58" s="2">
        <v>45918.322789351849</v>
      </c>
      <c r="B58">
        <v>4052</v>
      </c>
      <c r="C58" t="s">
        <v>78</v>
      </c>
      <c r="D58" s="3">
        <v>45918</v>
      </c>
      <c r="E58" s="3">
        <v>45918</v>
      </c>
      <c r="F58" t="s">
        <v>79</v>
      </c>
      <c r="H58" t="s">
        <v>22</v>
      </c>
      <c r="I58" t="s">
        <v>80</v>
      </c>
      <c r="K58" t="s">
        <v>31</v>
      </c>
      <c r="L58" s="4">
        <v>36</v>
      </c>
      <c r="M58" t="s">
        <v>81</v>
      </c>
      <c r="N58" t="s">
        <v>26</v>
      </c>
      <c r="O58" s="4">
        <v>105</v>
      </c>
      <c r="P58">
        <v>0</v>
      </c>
      <c r="Q58" s="4">
        <v>105</v>
      </c>
      <c r="R58" s="12">
        <f t="shared" si="0"/>
        <v>3780</v>
      </c>
      <c r="T58" t="s">
        <v>82</v>
      </c>
      <c r="U58" t="s">
        <v>83</v>
      </c>
      <c r="V58" s="4">
        <v>36</v>
      </c>
      <c r="W58">
        <v>0</v>
      </c>
    </row>
    <row r="59" spans="1:23" hidden="1" x14ac:dyDescent="0.25">
      <c r="A59" s="2">
        <v>46013.741203703707</v>
      </c>
      <c r="B59">
        <v>4375</v>
      </c>
      <c r="C59" t="s">
        <v>84</v>
      </c>
      <c r="D59" s="3">
        <v>46013</v>
      </c>
      <c r="E59" s="3">
        <v>46037</v>
      </c>
      <c r="F59" t="s">
        <v>85</v>
      </c>
      <c r="H59" t="s">
        <v>22</v>
      </c>
      <c r="I59" t="s">
        <v>34</v>
      </c>
      <c r="J59" t="s">
        <v>1490</v>
      </c>
      <c r="K59" t="s">
        <v>31</v>
      </c>
      <c r="L59" s="4">
        <v>23.5</v>
      </c>
      <c r="M59" t="s">
        <v>86</v>
      </c>
      <c r="N59" t="s">
        <v>26</v>
      </c>
      <c r="O59" s="4">
        <v>980</v>
      </c>
      <c r="P59">
        <v>0</v>
      </c>
      <c r="Q59" s="4">
        <v>980</v>
      </c>
      <c r="R59" s="12">
        <f t="shared" si="0"/>
        <v>23030</v>
      </c>
      <c r="T59" t="s">
        <v>27</v>
      </c>
      <c r="U59" t="s">
        <v>87</v>
      </c>
      <c r="V59" s="4">
        <v>23.5</v>
      </c>
      <c r="W59">
        <v>0</v>
      </c>
    </row>
    <row r="60" spans="1:23" hidden="1" x14ac:dyDescent="0.25">
      <c r="A60" s="2">
        <v>45957.439988425926</v>
      </c>
      <c r="B60">
        <v>4210</v>
      </c>
      <c r="C60" t="s">
        <v>88</v>
      </c>
      <c r="D60" s="3">
        <v>45957</v>
      </c>
      <c r="E60" s="3">
        <v>46142</v>
      </c>
      <c r="F60" t="s">
        <v>79</v>
      </c>
      <c r="H60" t="s">
        <v>22</v>
      </c>
      <c r="I60" t="s">
        <v>89</v>
      </c>
      <c r="K60" t="s">
        <v>31</v>
      </c>
      <c r="L60" s="4">
        <v>15</v>
      </c>
      <c r="M60" t="s">
        <v>90</v>
      </c>
      <c r="N60" t="s">
        <v>26</v>
      </c>
      <c r="O60" s="4">
        <v>3270</v>
      </c>
      <c r="P60">
        <v>0</v>
      </c>
      <c r="Q60" s="4">
        <v>3270</v>
      </c>
      <c r="R60" s="12">
        <f t="shared" si="0"/>
        <v>49050</v>
      </c>
      <c r="U60" t="s">
        <v>91</v>
      </c>
      <c r="V60" s="4">
        <v>15</v>
      </c>
      <c r="W60">
        <v>0</v>
      </c>
    </row>
    <row r="61" spans="1:23" hidden="1" x14ac:dyDescent="0.25">
      <c r="A61" s="2">
        <v>45978.459502314814</v>
      </c>
      <c r="B61">
        <v>4275</v>
      </c>
      <c r="C61" t="s">
        <v>88</v>
      </c>
      <c r="D61" s="3">
        <v>45978</v>
      </c>
      <c r="E61" s="3">
        <v>46111</v>
      </c>
      <c r="F61" t="s">
        <v>79</v>
      </c>
      <c r="G61" t="s">
        <v>1493</v>
      </c>
      <c r="H61" t="s">
        <v>22</v>
      </c>
      <c r="I61" t="s">
        <v>92</v>
      </c>
      <c r="J61" t="s">
        <v>1491</v>
      </c>
      <c r="K61" t="s">
        <v>31</v>
      </c>
      <c r="L61" s="4">
        <v>270</v>
      </c>
      <c r="M61" t="s">
        <v>93</v>
      </c>
      <c r="N61" t="s">
        <v>26</v>
      </c>
      <c r="O61" s="4">
        <v>185</v>
      </c>
      <c r="P61">
        <v>0</v>
      </c>
      <c r="Q61" s="4">
        <v>185</v>
      </c>
      <c r="R61" s="12">
        <f t="shared" si="0"/>
        <v>49950</v>
      </c>
      <c r="U61" t="s">
        <v>91</v>
      </c>
      <c r="V61" s="4">
        <v>270</v>
      </c>
      <c r="W61">
        <v>0</v>
      </c>
    </row>
    <row r="62" spans="1:23" hidden="1" x14ac:dyDescent="0.25">
      <c r="A62" s="2">
        <v>46014.590497685182</v>
      </c>
      <c r="B62">
        <v>4377</v>
      </c>
      <c r="C62" t="s">
        <v>88</v>
      </c>
      <c r="D62" s="3">
        <v>46014</v>
      </c>
      <c r="E62" s="3">
        <v>46015</v>
      </c>
      <c r="F62" t="s">
        <v>79</v>
      </c>
      <c r="H62" t="s">
        <v>22</v>
      </c>
      <c r="I62" t="s">
        <v>80</v>
      </c>
      <c r="K62" t="s">
        <v>31</v>
      </c>
      <c r="L62" s="4">
        <v>27.016884999999998</v>
      </c>
      <c r="M62" t="s">
        <v>94</v>
      </c>
      <c r="N62" t="s">
        <v>26</v>
      </c>
      <c r="O62" s="4">
        <v>7995</v>
      </c>
      <c r="P62">
        <v>0</v>
      </c>
      <c r="Q62" s="4">
        <v>7995</v>
      </c>
      <c r="R62" s="12">
        <f t="shared" si="0"/>
        <v>215999.99557499998</v>
      </c>
      <c r="U62" t="s">
        <v>91</v>
      </c>
      <c r="V62" s="4">
        <v>27.016884999999998</v>
      </c>
      <c r="W62">
        <v>0</v>
      </c>
    </row>
    <row r="63" spans="1:23" hidden="1" x14ac:dyDescent="0.25">
      <c r="A63" s="2">
        <v>46029.37300925926</v>
      </c>
      <c r="B63">
        <v>4413</v>
      </c>
      <c r="C63" t="s">
        <v>88</v>
      </c>
      <c r="D63" s="3">
        <v>46029</v>
      </c>
      <c r="E63" s="3">
        <v>46142</v>
      </c>
      <c r="F63" t="s">
        <v>79</v>
      </c>
      <c r="H63" t="s">
        <v>22</v>
      </c>
      <c r="I63" t="s">
        <v>80</v>
      </c>
      <c r="K63" t="s">
        <v>31</v>
      </c>
      <c r="L63" s="4">
        <v>26.368421000000001</v>
      </c>
      <c r="M63" t="s">
        <v>95</v>
      </c>
      <c r="N63" t="s">
        <v>26</v>
      </c>
      <c r="O63" s="4">
        <v>285</v>
      </c>
      <c r="P63">
        <v>0</v>
      </c>
      <c r="Q63" s="4">
        <v>285</v>
      </c>
      <c r="R63" s="12">
        <f t="shared" si="0"/>
        <v>7514.9999850000004</v>
      </c>
      <c r="U63" t="s">
        <v>91</v>
      </c>
      <c r="V63" s="4">
        <v>26.368421000000001</v>
      </c>
      <c r="W63">
        <v>0</v>
      </c>
    </row>
    <row r="64" spans="1:23" hidden="1" x14ac:dyDescent="0.25">
      <c r="A64" s="2">
        <v>46029.37300925926</v>
      </c>
      <c r="B64">
        <v>4413</v>
      </c>
      <c r="C64" t="s">
        <v>88</v>
      </c>
      <c r="D64" s="3">
        <v>46029</v>
      </c>
      <c r="E64" s="3">
        <v>46142</v>
      </c>
      <c r="F64" t="s">
        <v>79</v>
      </c>
      <c r="H64" t="s">
        <v>22</v>
      </c>
      <c r="I64" t="s">
        <v>96</v>
      </c>
      <c r="K64" t="s">
        <v>24</v>
      </c>
      <c r="L64" s="4">
        <v>51.153846000000001</v>
      </c>
      <c r="M64" t="s">
        <v>95</v>
      </c>
      <c r="N64" t="s">
        <v>26</v>
      </c>
      <c r="O64" s="4">
        <v>260</v>
      </c>
      <c r="P64">
        <v>0</v>
      </c>
      <c r="Q64" s="4">
        <v>260</v>
      </c>
      <c r="R64" s="12">
        <f t="shared" si="0"/>
        <v>13299.999960000001</v>
      </c>
      <c r="U64" t="s">
        <v>91</v>
      </c>
      <c r="V64" s="4">
        <v>51.153846000000001</v>
      </c>
      <c r="W64">
        <v>0</v>
      </c>
    </row>
    <row r="65" spans="1:23" x14ac:dyDescent="0.25">
      <c r="A65" s="2">
        <v>45946.332488425927</v>
      </c>
      <c r="B65">
        <v>4167</v>
      </c>
      <c r="C65" t="s">
        <v>97</v>
      </c>
      <c r="D65" s="3">
        <v>45946</v>
      </c>
      <c r="E65" s="3">
        <v>46111</v>
      </c>
      <c r="F65" t="s">
        <v>98</v>
      </c>
      <c r="G65" t="s">
        <v>1493</v>
      </c>
      <c r="H65" t="s">
        <v>22</v>
      </c>
      <c r="I65" t="s">
        <v>41</v>
      </c>
      <c r="J65" t="s">
        <v>1491</v>
      </c>
      <c r="K65" t="s">
        <v>24</v>
      </c>
      <c r="L65" s="4">
        <v>340</v>
      </c>
      <c r="M65" t="s">
        <v>99</v>
      </c>
      <c r="N65" t="s">
        <v>26</v>
      </c>
      <c r="O65" s="4">
        <v>2</v>
      </c>
      <c r="P65">
        <v>0</v>
      </c>
      <c r="Q65" s="4">
        <v>2</v>
      </c>
      <c r="R65" s="12">
        <f t="shared" si="0"/>
        <v>680</v>
      </c>
      <c r="T65" t="s">
        <v>27</v>
      </c>
      <c r="U65" t="s">
        <v>100</v>
      </c>
      <c r="V65" s="4">
        <v>340</v>
      </c>
      <c r="W65">
        <v>0</v>
      </c>
    </row>
    <row r="66" spans="1:23" x14ac:dyDescent="0.25">
      <c r="A66" s="2">
        <v>45946.332488425927</v>
      </c>
      <c r="B66">
        <v>4167</v>
      </c>
      <c r="C66" t="s">
        <v>97</v>
      </c>
      <c r="D66" s="3">
        <v>45946</v>
      </c>
      <c r="E66" s="3">
        <v>46111</v>
      </c>
      <c r="F66" t="s">
        <v>98</v>
      </c>
      <c r="G66" t="s">
        <v>1493</v>
      </c>
      <c r="H66" t="s">
        <v>22</v>
      </c>
      <c r="I66" t="s">
        <v>43</v>
      </c>
      <c r="J66" t="s">
        <v>1491</v>
      </c>
      <c r="K66" t="s">
        <v>24</v>
      </c>
      <c r="L66" s="4">
        <v>52</v>
      </c>
      <c r="M66" t="s">
        <v>99</v>
      </c>
      <c r="N66" t="s">
        <v>26</v>
      </c>
      <c r="O66" s="4">
        <v>3</v>
      </c>
      <c r="P66">
        <v>0</v>
      </c>
      <c r="Q66" s="4">
        <v>3</v>
      </c>
      <c r="R66" s="12">
        <f t="shared" si="0"/>
        <v>156</v>
      </c>
      <c r="T66" t="s">
        <v>27</v>
      </c>
      <c r="U66" t="s">
        <v>100</v>
      </c>
      <c r="V66" s="4">
        <v>52</v>
      </c>
      <c r="W66">
        <v>0</v>
      </c>
    </row>
    <row r="67" spans="1:23" x14ac:dyDescent="0.25">
      <c r="A67" s="2">
        <v>45946.332488425927</v>
      </c>
      <c r="B67">
        <v>4167</v>
      </c>
      <c r="C67" t="s">
        <v>97</v>
      </c>
      <c r="D67" s="3">
        <v>45946</v>
      </c>
      <c r="E67" s="3">
        <v>46111</v>
      </c>
      <c r="F67" t="s">
        <v>98</v>
      </c>
      <c r="G67" t="s">
        <v>1493</v>
      </c>
      <c r="H67" t="s">
        <v>22</v>
      </c>
      <c r="I67" t="s">
        <v>63</v>
      </c>
      <c r="J67" t="s">
        <v>1491</v>
      </c>
      <c r="K67" t="s">
        <v>31</v>
      </c>
      <c r="L67" s="4">
        <v>220</v>
      </c>
      <c r="M67" t="s">
        <v>99</v>
      </c>
      <c r="N67" t="s">
        <v>26</v>
      </c>
      <c r="O67" s="4">
        <v>2</v>
      </c>
      <c r="P67">
        <v>0</v>
      </c>
      <c r="Q67" s="4">
        <v>2</v>
      </c>
      <c r="R67" s="12">
        <f t="shared" ref="R67:R130" si="1">Q67*L67</f>
        <v>440</v>
      </c>
      <c r="T67" t="s">
        <v>27</v>
      </c>
      <c r="U67" t="s">
        <v>100</v>
      </c>
      <c r="V67" s="4">
        <v>220</v>
      </c>
      <c r="W67">
        <v>0</v>
      </c>
    </row>
    <row r="68" spans="1:23" x14ac:dyDescent="0.25">
      <c r="A68" s="2">
        <v>45946.332488425927</v>
      </c>
      <c r="B68">
        <v>4167</v>
      </c>
      <c r="C68" t="s">
        <v>97</v>
      </c>
      <c r="D68" s="3">
        <v>45946</v>
      </c>
      <c r="E68" s="3">
        <v>46111</v>
      </c>
      <c r="F68" t="s">
        <v>98</v>
      </c>
      <c r="G68" t="s">
        <v>1493</v>
      </c>
      <c r="H68" t="s">
        <v>22</v>
      </c>
      <c r="I68" t="s">
        <v>38</v>
      </c>
      <c r="J68" t="s">
        <v>1491</v>
      </c>
      <c r="K68" t="s">
        <v>24</v>
      </c>
      <c r="L68" s="4">
        <v>55</v>
      </c>
      <c r="M68" t="s">
        <v>99</v>
      </c>
      <c r="N68" t="s">
        <v>26</v>
      </c>
      <c r="O68" s="4">
        <v>3</v>
      </c>
      <c r="P68">
        <v>0</v>
      </c>
      <c r="Q68" s="4">
        <v>3</v>
      </c>
      <c r="R68" s="12">
        <f t="shared" si="1"/>
        <v>165</v>
      </c>
      <c r="T68" t="s">
        <v>27</v>
      </c>
      <c r="U68" t="s">
        <v>100</v>
      </c>
      <c r="V68" s="4">
        <v>55</v>
      </c>
      <c r="W68">
        <v>0</v>
      </c>
    </row>
    <row r="69" spans="1:23" x14ac:dyDescent="0.25">
      <c r="A69" s="2">
        <v>45946.332488425927</v>
      </c>
      <c r="B69">
        <v>4167</v>
      </c>
      <c r="C69" t="s">
        <v>97</v>
      </c>
      <c r="D69" s="3">
        <v>45946</v>
      </c>
      <c r="E69" s="3">
        <v>46111</v>
      </c>
      <c r="F69" t="s">
        <v>98</v>
      </c>
      <c r="G69" t="s">
        <v>1493</v>
      </c>
      <c r="H69" t="s">
        <v>22</v>
      </c>
      <c r="I69" t="s">
        <v>101</v>
      </c>
      <c r="J69" t="s">
        <v>1491</v>
      </c>
      <c r="K69" t="s">
        <v>31</v>
      </c>
      <c r="L69" s="4">
        <v>550</v>
      </c>
      <c r="M69" t="s">
        <v>99</v>
      </c>
      <c r="N69" t="s">
        <v>26</v>
      </c>
      <c r="O69" s="4">
        <v>1</v>
      </c>
      <c r="P69">
        <v>0</v>
      </c>
      <c r="Q69" s="4">
        <v>1</v>
      </c>
      <c r="R69" s="12">
        <f t="shared" si="1"/>
        <v>550</v>
      </c>
      <c r="T69" t="s">
        <v>27</v>
      </c>
      <c r="U69" t="s">
        <v>100</v>
      </c>
      <c r="V69" s="4">
        <v>550</v>
      </c>
      <c r="W69">
        <v>0</v>
      </c>
    </row>
    <row r="70" spans="1:23" x14ac:dyDescent="0.25">
      <c r="A70" s="2">
        <v>45953.366435185184</v>
      </c>
      <c r="B70">
        <v>4202</v>
      </c>
      <c r="C70" t="s">
        <v>97</v>
      </c>
      <c r="D70" s="3">
        <v>45953</v>
      </c>
      <c r="E70" s="3">
        <v>46111</v>
      </c>
      <c r="F70" t="s">
        <v>98</v>
      </c>
      <c r="G70" t="s">
        <v>1493</v>
      </c>
      <c r="H70" t="s">
        <v>22</v>
      </c>
      <c r="I70" t="s">
        <v>43</v>
      </c>
      <c r="J70" t="s">
        <v>1491</v>
      </c>
      <c r="K70" t="s">
        <v>24</v>
      </c>
      <c r="L70" s="4">
        <v>50</v>
      </c>
      <c r="M70" t="s">
        <v>102</v>
      </c>
      <c r="N70" t="s">
        <v>26</v>
      </c>
      <c r="O70" s="4">
        <v>51</v>
      </c>
      <c r="P70">
        <v>0</v>
      </c>
      <c r="Q70" s="4">
        <v>51</v>
      </c>
      <c r="R70" s="12">
        <f t="shared" si="1"/>
        <v>2550</v>
      </c>
      <c r="T70" t="s">
        <v>27</v>
      </c>
      <c r="U70" t="s">
        <v>100</v>
      </c>
      <c r="V70" s="4">
        <v>50</v>
      </c>
      <c r="W70">
        <v>0</v>
      </c>
    </row>
    <row r="71" spans="1:23" x14ac:dyDescent="0.25">
      <c r="A71" s="2">
        <v>45953.366435185184</v>
      </c>
      <c r="B71">
        <v>4202</v>
      </c>
      <c r="C71" t="s">
        <v>97</v>
      </c>
      <c r="D71" s="3">
        <v>45953</v>
      </c>
      <c r="E71" s="3">
        <v>46111</v>
      </c>
      <c r="F71" t="s">
        <v>98</v>
      </c>
      <c r="G71" t="s">
        <v>1493</v>
      </c>
      <c r="H71" t="s">
        <v>22</v>
      </c>
      <c r="I71" t="s">
        <v>38</v>
      </c>
      <c r="J71" t="s">
        <v>1491</v>
      </c>
      <c r="K71" t="s">
        <v>24</v>
      </c>
      <c r="L71" s="4">
        <v>50</v>
      </c>
      <c r="M71" t="s">
        <v>102</v>
      </c>
      <c r="N71" t="s">
        <v>26</v>
      </c>
      <c r="O71" s="4">
        <v>12</v>
      </c>
      <c r="P71">
        <v>0</v>
      </c>
      <c r="Q71" s="4">
        <v>12</v>
      </c>
      <c r="R71" s="12">
        <f t="shared" si="1"/>
        <v>600</v>
      </c>
      <c r="T71" t="s">
        <v>27</v>
      </c>
      <c r="U71" t="s">
        <v>100</v>
      </c>
      <c r="V71" s="4">
        <v>50</v>
      </c>
      <c r="W71">
        <v>0</v>
      </c>
    </row>
    <row r="72" spans="1:23" hidden="1" x14ac:dyDescent="0.25">
      <c r="A72" s="2">
        <v>45954.671886574077</v>
      </c>
      <c r="B72">
        <v>4208</v>
      </c>
      <c r="C72" t="s">
        <v>97</v>
      </c>
      <c r="D72" s="3">
        <v>45954</v>
      </c>
      <c r="E72" s="3">
        <v>46264</v>
      </c>
      <c r="F72" t="s">
        <v>103</v>
      </c>
      <c r="H72" t="s">
        <v>22</v>
      </c>
      <c r="I72" t="s">
        <v>104</v>
      </c>
      <c r="K72" t="s">
        <v>105</v>
      </c>
      <c r="L72" s="4">
        <v>1450</v>
      </c>
      <c r="M72" t="s">
        <v>106</v>
      </c>
      <c r="N72" t="s">
        <v>26</v>
      </c>
      <c r="O72" s="4">
        <v>4</v>
      </c>
      <c r="P72">
        <v>0</v>
      </c>
      <c r="Q72" s="4">
        <v>4</v>
      </c>
      <c r="R72" s="12">
        <f t="shared" si="1"/>
        <v>5800</v>
      </c>
      <c r="T72" t="s">
        <v>27</v>
      </c>
      <c r="U72" t="s">
        <v>100</v>
      </c>
      <c r="V72" s="4">
        <v>1450</v>
      </c>
      <c r="W72">
        <v>0</v>
      </c>
    </row>
    <row r="73" spans="1:23" hidden="1" x14ac:dyDescent="0.25">
      <c r="A73" s="2">
        <v>46007.618067129632</v>
      </c>
      <c r="B73">
        <v>4361</v>
      </c>
      <c r="C73" t="s">
        <v>97</v>
      </c>
      <c r="D73" s="3">
        <v>46007</v>
      </c>
      <c r="E73" s="3">
        <v>46264</v>
      </c>
      <c r="F73" t="s">
        <v>103</v>
      </c>
      <c r="H73" t="s">
        <v>22</v>
      </c>
      <c r="I73" t="s">
        <v>107</v>
      </c>
      <c r="K73" t="s">
        <v>31</v>
      </c>
      <c r="L73" s="4">
        <v>6000</v>
      </c>
      <c r="M73" t="s">
        <v>108</v>
      </c>
      <c r="N73" t="s">
        <v>26</v>
      </c>
      <c r="O73" s="4">
        <v>5</v>
      </c>
      <c r="P73">
        <v>0</v>
      </c>
      <c r="Q73" s="4">
        <v>5</v>
      </c>
      <c r="R73" s="12">
        <f t="shared" si="1"/>
        <v>30000</v>
      </c>
      <c r="T73" t="s">
        <v>27</v>
      </c>
      <c r="U73" t="s">
        <v>100</v>
      </c>
      <c r="V73" s="4">
        <v>6000</v>
      </c>
      <c r="W73">
        <v>0</v>
      </c>
    </row>
    <row r="74" spans="1:23" hidden="1" x14ac:dyDescent="0.25">
      <c r="A74" s="2">
        <v>46078.326458333337</v>
      </c>
      <c r="B74">
        <v>4608</v>
      </c>
      <c r="C74" t="s">
        <v>97</v>
      </c>
      <c r="D74" s="3">
        <v>46078</v>
      </c>
      <c r="E74" s="3">
        <v>46264</v>
      </c>
      <c r="F74" t="s">
        <v>98</v>
      </c>
      <c r="H74" t="s">
        <v>22</v>
      </c>
      <c r="I74" t="s">
        <v>109</v>
      </c>
      <c r="J74" t="s">
        <v>1490</v>
      </c>
      <c r="K74" t="s">
        <v>31</v>
      </c>
      <c r="L74" s="4">
        <v>36</v>
      </c>
      <c r="M74" t="s">
        <v>110</v>
      </c>
      <c r="N74" t="s">
        <v>46</v>
      </c>
      <c r="O74" s="4">
        <v>100</v>
      </c>
      <c r="P74">
        <v>0</v>
      </c>
      <c r="Q74" s="4">
        <v>100</v>
      </c>
      <c r="R74" s="12">
        <f t="shared" si="1"/>
        <v>3600</v>
      </c>
      <c r="T74" t="s">
        <v>27</v>
      </c>
      <c r="U74" t="s">
        <v>100</v>
      </c>
      <c r="V74" s="4">
        <v>36</v>
      </c>
      <c r="W74">
        <v>0</v>
      </c>
    </row>
    <row r="75" spans="1:23" hidden="1" x14ac:dyDescent="0.25">
      <c r="A75" s="2">
        <v>46078.326458333337</v>
      </c>
      <c r="B75">
        <v>4608</v>
      </c>
      <c r="C75" t="s">
        <v>97</v>
      </c>
      <c r="D75" s="3">
        <v>46078</v>
      </c>
      <c r="E75" s="3">
        <v>46264</v>
      </c>
      <c r="F75" t="s">
        <v>98</v>
      </c>
      <c r="H75" t="s">
        <v>22</v>
      </c>
      <c r="I75" t="s">
        <v>35</v>
      </c>
      <c r="J75" t="s">
        <v>1490</v>
      </c>
      <c r="K75" t="s">
        <v>24</v>
      </c>
      <c r="L75" s="4">
        <v>69</v>
      </c>
      <c r="M75" t="s">
        <v>110</v>
      </c>
      <c r="N75" t="s">
        <v>46</v>
      </c>
      <c r="O75" s="4">
        <v>120</v>
      </c>
      <c r="P75">
        <v>0</v>
      </c>
      <c r="Q75" s="4">
        <v>120</v>
      </c>
      <c r="R75" s="12">
        <f t="shared" si="1"/>
        <v>8280</v>
      </c>
      <c r="T75" t="s">
        <v>27</v>
      </c>
      <c r="U75" t="s">
        <v>100</v>
      </c>
      <c r="V75" s="4">
        <v>69</v>
      </c>
      <c r="W75">
        <v>0</v>
      </c>
    </row>
    <row r="76" spans="1:23" hidden="1" x14ac:dyDescent="0.25">
      <c r="A76" s="2">
        <v>45862.343460648146</v>
      </c>
      <c r="B76">
        <v>3943</v>
      </c>
      <c r="C76" t="s">
        <v>111</v>
      </c>
      <c r="D76" s="3">
        <v>45862</v>
      </c>
      <c r="E76" s="3">
        <v>46111</v>
      </c>
      <c r="F76" t="s">
        <v>112</v>
      </c>
      <c r="G76" t="s">
        <v>1493</v>
      </c>
      <c r="H76" t="s">
        <v>22</v>
      </c>
      <c r="I76" t="s">
        <v>63</v>
      </c>
      <c r="J76" t="s">
        <v>1491</v>
      </c>
      <c r="K76" t="s">
        <v>31</v>
      </c>
      <c r="L76" s="4">
        <v>213</v>
      </c>
      <c r="M76" t="s">
        <v>113</v>
      </c>
      <c r="N76" t="s">
        <v>26</v>
      </c>
      <c r="O76" s="4">
        <v>23</v>
      </c>
      <c r="P76">
        <v>0</v>
      </c>
      <c r="Q76" s="4">
        <v>23</v>
      </c>
      <c r="R76" s="12">
        <f t="shared" si="1"/>
        <v>4899</v>
      </c>
      <c r="T76" t="s">
        <v>68</v>
      </c>
      <c r="U76" t="s">
        <v>114</v>
      </c>
      <c r="V76" s="4">
        <v>213</v>
      </c>
      <c r="W76">
        <v>0</v>
      </c>
    </row>
    <row r="77" spans="1:23" hidden="1" x14ac:dyDescent="0.25">
      <c r="A77" s="2">
        <v>45862.343460648146</v>
      </c>
      <c r="B77">
        <v>3943</v>
      </c>
      <c r="C77" t="s">
        <v>111</v>
      </c>
      <c r="D77" s="3">
        <v>45862</v>
      </c>
      <c r="E77" s="3">
        <v>46111</v>
      </c>
      <c r="F77" t="s">
        <v>112</v>
      </c>
      <c r="G77" t="s">
        <v>1493</v>
      </c>
      <c r="H77" t="s">
        <v>22</v>
      </c>
      <c r="I77" t="s">
        <v>40</v>
      </c>
      <c r="J77" t="s">
        <v>1491</v>
      </c>
      <c r="K77" t="s">
        <v>24</v>
      </c>
      <c r="L77" s="4">
        <v>355</v>
      </c>
      <c r="M77" t="s">
        <v>113</v>
      </c>
      <c r="N77" t="s">
        <v>26</v>
      </c>
      <c r="O77" s="4">
        <v>7</v>
      </c>
      <c r="P77">
        <v>0</v>
      </c>
      <c r="Q77" s="4">
        <v>7</v>
      </c>
      <c r="R77" s="12">
        <f t="shared" si="1"/>
        <v>2485</v>
      </c>
      <c r="T77" t="s">
        <v>68</v>
      </c>
      <c r="U77" t="s">
        <v>114</v>
      </c>
      <c r="V77" s="4">
        <v>355</v>
      </c>
      <c r="W77">
        <v>0</v>
      </c>
    </row>
    <row r="78" spans="1:23" hidden="1" x14ac:dyDescent="0.25">
      <c r="A78" s="2">
        <v>45862.343460648146</v>
      </c>
      <c r="B78">
        <v>3943</v>
      </c>
      <c r="C78" t="s">
        <v>111</v>
      </c>
      <c r="D78" s="3">
        <v>45862</v>
      </c>
      <c r="E78" s="3">
        <v>46111</v>
      </c>
      <c r="F78" t="s">
        <v>112</v>
      </c>
      <c r="G78" t="s">
        <v>1493</v>
      </c>
      <c r="H78" t="s">
        <v>22</v>
      </c>
      <c r="I78" t="s">
        <v>41</v>
      </c>
      <c r="J78" t="s">
        <v>1491</v>
      </c>
      <c r="K78" t="s">
        <v>24</v>
      </c>
      <c r="L78" s="4">
        <v>370</v>
      </c>
      <c r="M78" t="s">
        <v>113</v>
      </c>
      <c r="N78" t="s">
        <v>26</v>
      </c>
      <c r="O78" s="4">
        <v>7</v>
      </c>
      <c r="P78">
        <v>0</v>
      </c>
      <c r="Q78" s="4">
        <v>7</v>
      </c>
      <c r="R78" s="12">
        <f t="shared" si="1"/>
        <v>2590</v>
      </c>
      <c r="T78" t="s">
        <v>68</v>
      </c>
      <c r="U78" t="s">
        <v>114</v>
      </c>
      <c r="V78" s="4">
        <v>370</v>
      </c>
      <c r="W78">
        <v>0</v>
      </c>
    </row>
    <row r="79" spans="1:23" hidden="1" x14ac:dyDescent="0.25">
      <c r="A79" s="2">
        <v>45924.319467592592</v>
      </c>
      <c r="B79">
        <v>4083</v>
      </c>
      <c r="C79" t="s">
        <v>115</v>
      </c>
      <c r="D79" s="3">
        <v>45924</v>
      </c>
      <c r="E79" s="3">
        <v>46111</v>
      </c>
      <c r="F79" t="s">
        <v>52</v>
      </c>
      <c r="G79" t="s">
        <v>1494</v>
      </c>
      <c r="H79" t="s">
        <v>22</v>
      </c>
      <c r="I79" t="s">
        <v>43</v>
      </c>
      <c r="J79" t="s">
        <v>1491</v>
      </c>
      <c r="K79" t="s">
        <v>24</v>
      </c>
      <c r="L79" s="4">
        <v>47</v>
      </c>
      <c r="M79" t="s">
        <v>116</v>
      </c>
      <c r="N79" t="s">
        <v>26</v>
      </c>
      <c r="O79" s="4">
        <v>102</v>
      </c>
      <c r="P79">
        <v>0</v>
      </c>
      <c r="Q79" s="4">
        <v>102</v>
      </c>
      <c r="R79" s="12">
        <f t="shared" si="1"/>
        <v>4794</v>
      </c>
      <c r="T79" t="s">
        <v>117</v>
      </c>
      <c r="U79" t="s">
        <v>118</v>
      </c>
      <c r="V79" s="4">
        <v>47</v>
      </c>
      <c r="W79">
        <v>0</v>
      </c>
    </row>
    <row r="80" spans="1:23" hidden="1" x14ac:dyDescent="0.25">
      <c r="A80" s="2">
        <v>45894.443240740744</v>
      </c>
      <c r="B80">
        <v>3994</v>
      </c>
      <c r="C80" t="s">
        <v>119</v>
      </c>
      <c r="D80" s="3">
        <v>45894</v>
      </c>
      <c r="E80" s="3">
        <v>46111</v>
      </c>
      <c r="F80" t="s">
        <v>79</v>
      </c>
      <c r="H80" t="s">
        <v>22</v>
      </c>
      <c r="I80" t="s">
        <v>120</v>
      </c>
      <c r="K80" t="s">
        <v>24</v>
      </c>
      <c r="L80" s="4">
        <v>11</v>
      </c>
      <c r="M80" t="s">
        <v>121</v>
      </c>
      <c r="N80" t="s">
        <v>26</v>
      </c>
      <c r="O80" s="4">
        <v>900</v>
      </c>
      <c r="P80">
        <v>0</v>
      </c>
      <c r="Q80" s="4">
        <v>900</v>
      </c>
      <c r="R80" s="12">
        <f t="shared" si="1"/>
        <v>9900</v>
      </c>
      <c r="T80" t="s">
        <v>27</v>
      </c>
      <c r="U80" t="s">
        <v>122</v>
      </c>
      <c r="V80" s="4">
        <v>11</v>
      </c>
      <c r="W80">
        <v>0</v>
      </c>
    </row>
    <row r="81" spans="1:23" hidden="1" x14ac:dyDescent="0.25">
      <c r="A81" s="2">
        <v>45777.340092592596</v>
      </c>
      <c r="B81">
        <v>209</v>
      </c>
      <c r="C81" t="s">
        <v>123</v>
      </c>
      <c r="D81" s="3">
        <v>45777</v>
      </c>
      <c r="E81" s="3">
        <v>46264</v>
      </c>
      <c r="F81" t="s">
        <v>66</v>
      </c>
      <c r="G81" t="s">
        <v>1494</v>
      </c>
      <c r="H81" t="s">
        <v>22</v>
      </c>
      <c r="I81" t="s">
        <v>63</v>
      </c>
      <c r="J81" t="s">
        <v>1491</v>
      </c>
      <c r="K81" t="s">
        <v>31</v>
      </c>
      <c r="L81" s="4">
        <v>189</v>
      </c>
      <c r="M81" t="s">
        <v>124</v>
      </c>
      <c r="N81" t="s">
        <v>46</v>
      </c>
      <c r="O81" s="4">
        <v>70</v>
      </c>
      <c r="P81">
        <v>0</v>
      </c>
      <c r="Q81" s="4">
        <v>70</v>
      </c>
      <c r="R81" s="12">
        <f t="shared" si="1"/>
        <v>13230</v>
      </c>
      <c r="T81" t="s">
        <v>125</v>
      </c>
      <c r="U81" t="s">
        <v>126</v>
      </c>
      <c r="V81" s="4">
        <v>189</v>
      </c>
      <c r="W81">
        <v>0</v>
      </c>
    </row>
    <row r="82" spans="1:23" hidden="1" x14ac:dyDescent="0.25">
      <c r="A82" s="2">
        <v>45777.340092592596</v>
      </c>
      <c r="B82">
        <v>209</v>
      </c>
      <c r="C82" t="s">
        <v>123</v>
      </c>
      <c r="D82" s="3">
        <v>45777</v>
      </c>
      <c r="E82" s="3">
        <v>46264</v>
      </c>
      <c r="F82" t="s">
        <v>66</v>
      </c>
      <c r="G82" t="s">
        <v>1494</v>
      </c>
      <c r="H82" t="s">
        <v>22</v>
      </c>
      <c r="I82" t="s">
        <v>38</v>
      </c>
      <c r="J82" t="s">
        <v>1491</v>
      </c>
      <c r="K82" t="s">
        <v>24</v>
      </c>
      <c r="L82" s="4">
        <v>45</v>
      </c>
      <c r="M82" t="s">
        <v>124</v>
      </c>
      <c r="N82" t="s">
        <v>46</v>
      </c>
      <c r="O82" s="4">
        <v>114</v>
      </c>
      <c r="P82">
        <v>0</v>
      </c>
      <c r="Q82" s="4">
        <v>114</v>
      </c>
      <c r="R82" s="12">
        <f t="shared" si="1"/>
        <v>5130</v>
      </c>
      <c r="T82" t="s">
        <v>125</v>
      </c>
      <c r="U82" t="s">
        <v>126</v>
      </c>
      <c r="V82" s="4">
        <v>45</v>
      </c>
      <c r="W82">
        <v>0</v>
      </c>
    </row>
    <row r="83" spans="1:23" hidden="1" x14ac:dyDescent="0.25">
      <c r="A83" s="2">
        <v>45777.342060185183</v>
      </c>
      <c r="B83">
        <v>210</v>
      </c>
      <c r="C83" t="s">
        <v>123</v>
      </c>
      <c r="D83" s="3">
        <v>45777</v>
      </c>
      <c r="E83" s="3">
        <v>46111</v>
      </c>
      <c r="F83" t="s">
        <v>66</v>
      </c>
      <c r="G83" t="s">
        <v>1494</v>
      </c>
      <c r="H83" t="s">
        <v>22</v>
      </c>
      <c r="I83" t="s">
        <v>63</v>
      </c>
      <c r="J83" t="s">
        <v>1491</v>
      </c>
      <c r="K83" t="s">
        <v>31</v>
      </c>
      <c r="L83" s="4">
        <v>189</v>
      </c>
      <c r="M83" t="s">
        <v>127</v>
      </c>
      <c r="N83" t="s">
        <v>26</v>
      </c>
      <c r="O83" s="4">
        <v>70</v>
      </c>
      <c r="P83">
        <v>0</v>
      </c>
      <c r="Q83" s="4">
        <v>70</v>
      </c>
      <c r="R83" s="12">
        <f t="shared" si="1"/>
        <v>13230</v>
      </c>
      <c r="T83" t="s">
        <v>125</v>
      </c>
      <c r="U83" t="s">
        <v>126</v>
      </c>
      <c r="V83" s="4">
        <v>189</v>
      </c>
      <c r="W83">
        <v>0</v>
      </c>
    </row>
    <row r="84" spans="1:23" hidden="1" x14ac:dyDescent="0.25">
      <c r="A84" s="2">
        <v>45817.425868055558</v>
      </c>
      <c r="B84">
        <v>227</v>
      </c>
      <c r="C84" t="s">
        <v>123</v>
      </c>
      <c r="D84" s="3">
        <v>45817</v>
      </c>
      <c r="E84" s="3">
        <v>46264</v>
      </c>
      <c r="F84" t="s">
        <v>66</v>
      </c>
      <c r="G84" t="s">
        <v>1494</v>
      </c>
      <c r="H84" t="s">
        <v>22</v>
      </c>
      <c r="I84" t="s">
        <v>63</v>
      </c>
      <c r="J84" t="s">
        <v>1491</v>
      </c>
      <c r="K84" t="s">
        <v>31</v>
      </c>
      <c r="L84" s="4">
        <v>189</v>
      </c>
      <c r="M84" t="s">
        <v>128</v>
      </c>
      <c r="N84" t="s">
        <v>46</v>
      </c>
      <c r="O84" s="4">
        <v>22</v>
      </c>
      <c r="P84">
        <v>0</v>
      </c>
      <c r="Q84" s="4">
        <v>22</v>
      </c>
      <c r="R84" s="12">
        <f t="shared" si="1"/>
        <v>4158</v>
      </c>
      <c r="T84" t="s">
        <v>125</v>
      </c>
      <c r="U84" t="s">
        <v>126</v>
      </c>
      <c r="V84" s="4">
        <v>189</v>
      </c>
      <c r="W84">
        <v>0</v>
      </c>
    </row>
    <row r="85" spans="1:23" hidden="1" x14ac:dyDescent="0.25">
      <c r="A85" s="2">
        <v>45817.430011574077</v>
      </c>
      <c r="B85">
        <v>228</v>
      </c>
      <c r="C85" t="s">
        <v>123</v>
      </c>
      <c r="D85" s="3">
        <v>45817</v>
      </c>
      <c r="E85" s="3">
        <v>46111</v>
      </c>
      <c r="F85" t="s">
        <v>66</v>
      </c>
      <c r="G85" t="s">
        <v>1494</v>
      </c>
      <c r="H85" t="s">
        <v>22</v>
      </c>
      <c r="I85" t="s">
        <v>63</v>
      </c>
      <c r="J85" t="s">
        <v>1491</v>
      </c>
      <c r="K85" t="s">
        <v>31</v>
      </c>
      <c r="L85" s="4">
        <v>189</v>
      </c>
      <c r="M85" t="s">
        <v>129</v>
      </c>
      <c r="N85" t="s">
        <v>26</v>
      </c>
      <c r="O85" s="4">
        <v>22</v>
      </c>
      <c r="P85">
        <v>0</v>
      </c>
      <c r="Q85" s="4">
        <v>22</v>
      </c>
      <c r="R85" s="12">
        <f t="shared" si="1"/>
        <v>4158</v>
      </c>
      <c r="T85" t="s">
        <v>125</v>
      </c>
      <c r="U85" t="s">
        <v>126</v>
      </c>
      <c r="V85" s="4">
        <v>189</v>
      </c>
      <c r="W85">
        <v>0</v>
      </c>
    </row>
    <row r="86" spans="1:23" hidden="1" x14ac:dyDescent="0.25">
      <c r="A86" s="2">
        <v>45817.430011574077</v>
      </c>
      <c r="B86">
        <v>228</v>
      </c>
      <c r="C86" t="s">
        <v>123</v>
      </c>
      <c r="D86" s="3">
        <v>45817</v>
      </c>
      <c r="E86" s="3">
        <v>46111</v>
      </c>
      <c r="F86" t="s">
        <v>66</v>
      </c>
      <c r="G86" t="s">
        <v>1494</v>
      </c>
      <c r="H86" t="s">
        <v>22</v>
      </c>
      <c r="I86" t="s">
        <v>41</v>
      </c>
      <c r="J86" t="s">
        <v>1491</v>
      </c>
      <c r="K86" t="s">
        <v>24</v>
      </c>
      <c r="L86" s="4">
        <v>355</v>
      </c>
      <c r="M86" t="s">
        <v>129</v>
      </c>
      <c r="N86" t="s">
        <v>26</v>
      </c>
      <c r="O86" s="4">
        <v>3</v>
      </c>
      <c r="P86">
        <v>0</v>
      </c>
      <c r="Q86" s="4">
        <v>3</v>
      </c>
      <c r="R86" s="12">
        <f t="shared" si="1"/>
        <v>1065</v>
      </c>
      <c r="T86" t="s">
        <v>125</v>
      </c>
      <c r="U86" t="s">
        <v>126</v>
      </c>
      <c r="V86" s="4">
        <v>355</v>
      </c>
      <c r="W86">
        <v>0</v>
      </c>
    </row>
    <row r="87" spans="1:23" hidden="1" x14ac:dyDescent="0.25">
      <c r="A87" s="2">
        <v>45817.430011574077</v>
      </c>
      <c r="B87">
        <v>228</v>
      </c>
      <c r="C87" t="s">
        <v>123</v>
      </c>
      <c r="D87" s="3">
        <v>45817</v>
      </c>
      <c r="E87" s="3">
        <v>46111</v>
      </c>
      <c r="F87" t="s">
        <v>66</v>
      </c>
      <c r="G87" t="s">
        <v>1494</v>
      </c>
      <c r="H87" t="s">
        <v>22</v>
      </c>
      <c r="I87" t="s">
        <v>40</v>
      </c>
      <c r="J87" t="s">
        <v>1491</v>
      </c>
      <c r="K87" t="s">
        <v>24</v>
      </c>
      <c r="L87" s="4">
        <v>355</v>
      </c>
      <c r="M87" t="s">
        <v>129</v>
      </c>
      <c r="N87" t="s">
        <v>26</v>
      </c>
      <c r="O87" s="4">
        <v>3</v>
      </c>
      <c r="P87">
        <v>0</v>
      </c>
      <c r="Q87" s="4">
        <v>3</v>
      </c>
      <c r="R87" s="12">
        <f t="shared" si="1"/>
        <v>1065</v>
      </c>
      <c r="T87" t="s">
        <v>125</v>
      </c>
      <c r="U87" t="s">
        <v>126</v>
      </c>
      <c r="V87" s="4">
        <v>355</v>
      </c>
      <c r="W87">
        <v>0</v>
      </c>
    </row>
    <row r="88" spans="1:23" hidden="1" x14ac:dyDescent="0.25">
      <c r="A88" s="2">
        <v>45966.331597222219</v>
      </c>
      <c r="B88">
        <v>396</v>
      </c>
      <c r="C88" t="s">
        <v>123</v>
      </c>
      <c r="D88" s="3">
        <v>45966</v>
      </c>
      <c r="E88" s="3">
        <v>46142</v>
      </c>
      <c r="F88" t="s">
        <v>66</v>
      </c>
      <c r="H88" t="s">
        <v>22</v>
      </c>
      <c r="I88" t="s">
        <v>130</v>
      </c>
      <c r="K88" t="s">
        <v>24</v>
      </c>
      <c r="L88" s="4">
        <v>200</v>
      </c>
      <c r="N88" t="s">
        <v>26</v>
      </c>
      <c r="O88" s="4">
        <v>4</v>
      </c>
      <c r="P88">
        <v>0</v>
      </c>
      <c r="Q88" s="4">
        <v>4</v>
      </c>
      <c r="R88" s="12">
        <f t="shared" si="1"/>
        <v>800</v>
      </c>
      <c r="T88" t="s">
        <v>125</v>
      </c>
      <c r="U88" t="s">
        <v>126</v>
      </c>
      <c r="V88" s="4">
        <v>200</v>
      </c>
      <c r="W88">
        <v>0</v>
      </c>
    </row>
    <row r="89" spans="1:23" hidden="1" x14ac:dyDescent="0.25">
      <c r="A89" s="2">
        <v>45966.331597222219</v>
      </c>
      <c r="B89">
        <v>396</v>
      </c>
      <c r="C89" t="s">
        <v>123</v>
      </c>
      <c r="D89" s="3">
        <v>45966</v>
      </c>
      <c r="E89" s="3">
        <v>46142</v>
      </c>
      <c r="F89" t="s">
        <v>66</v>
      </c>
      <c r="H89" t="s">
        <v>22</v>
      </c>
      <c r="I89" t="s">
        <v>131</v>
      </c>
      <c r="J89" t="s">
        <v>1490</v>
      </c>
      <c r="K89" t="s">
        <v>24</v>
      </c>
      <c r="L89" s="4">
        <v>200</v>
      </c>
      <c r="N89" t="s">
        <v>26</v>
      </c>
      <c r="O89" s="4">
        <v>4</v>
      </c>
      <c r="P89">
        <v>0</v>
      </c>
      <c r="Q89" s="4">
        <v>4</v>
      </c>
      <c r="R89" s="12">
        <f t="shared" si="1"/>
        <v>800</v>
      </c>
      <c r="T89" t="s">
        <v>125</v>
      </c>
      <c r="U89" t="s">
        <v>126</v>
      </c>
      <c r="V89" s="4">
        <v>200</v>
      </c>
      <c r="W89">
        <v>0</v>
      </c>
    </row>
    <row r="90" spans="1:23" hidden="1" x14ac:dyDescent="0.25">
      <c r="A90" s="2">
        <v>45971.415277777778</v>
      </c>
      <c r="B90">
        <v>405</v>
      </c>
      <c r="C90" t="s">
        <v>123</v>
      </c>
      <c r="D90" s="3">
        <v>45971</v>
      </c>
      <c r="E90" s="3">
        <v>45971</v>
      </c>
      <c r="F90" t="s">
        <v>66</v>
      </c>
      <c r="H90" t="s">
        <v>22</v>
      </c>
      <c r="I90" t="s">
        <v>131</v>
      </c>
      <c r="J90" t="s">
        <v>1490</v>
      </c>
      <c r="K90" t="s">
        <v>24</v>
      </c>
      <c r="L90" s="4">
        <v>180</v>
      </c>
      <c r="M90" t="s">
        <v>132</v>
      </c>
      <c r="N90" t="s">
        <v>26</v>
      </c>
      <c r="O90" s="4">
        <v>12</v>
      </c>
      <c r="P90">
        <v>0</v>
      </c>
      <c r="Q90" s="4">
        <v>12</v>
      </c>
      <c r="R90" s="12">
        <f t="shared" si="1"/>
        <v>2160</v>
      </c>
      <c r="T90" t="s">
        <v>125</v>
      </c>
      <c r="U90" t="s">
        <v>126</v>
      </c>
      <c r="V90" s="4">
        <v>180</v>
      </c>
      <c r="W90">
        <v>0</v>
      </c>
    </row>
    <row r="91" spans="1:23" hidden="1" x14ac:dyDescent="0.25">
      <c r="A91" s="2">
        <v>45898.678726851853</v>
      </c>
      <c r="B91">
        <v>277</v>
      </c>
      <c r="C91" t="s">
        <v>133</v>
      </c>
      <c r="D91" s="3">
        <v>45898</v>
      </c>
      <c r="E91" s="3">
        <v>46111</v>
      </c>
      <c r="F91" t="s">
        <v>66</v>
      </c>
      <c r="H91" t="s">
        <v>22</v>
      </c>
      <c r="I91" t="s">
        <v>134</v>
      </c>
      <c r="K91" t="s">
        <v>105</v>
      </c>
      <c r="L91" s="4">
        <v>1320</v>
      </c>
      <c r="M91" t="s">
        <v>135</v>
      </c>
      <c r="N91" t="s">
        <v>26</v>
      </c>
      <c r="O91" s="4">
        <v>38</v>
      </c>
      <c r="P91">
        <v>0</v>
      </c>
      <c r="Q91" s="4">
        <v>38</v>
      </c>
      <c r="R91" s="12">
        <f t="shared" si="1"/>
        <v>50160</v>
      </c>
      <c r="T91" t="s">
        <v>136</v>
      </c>
      <c r="U91" t="s">
        <v>137</v>
      </c>
      <c r="V91" s="4">
        <v>1320</v>
      </c>
      <c r="W91">
        <v>0</v>
      </c>
    </row>
    <row r="92" spans="1:23" hidden="1" x14ac:dyDescent="0.25">
      <c r="A92" s="2">
        <v>45925.593888888892</v>
      </c>
      <c r="B92">
        <v>4092</v>
      </c>
      <c r="C92" t="s">
        <v>138</v>
      </c>
      <c r="D92" s="3">
        <v>45925</v>
      </c>
      <c r="E92" s="3">
        <v>45925</v>
      </c>
      <c r="F92" t="s">
        <v>79</v>
      </c>
      <c r="H92" t="s">
        <v>22</v>
      </c>
      <c r="I92" t="s">
        <v>80</v>
      </c>
      <c r="K92" t="s">
        <v>31</v>
      </c>
      <c r="L92" s="4">
        <v>36</v>
      </c>
      <c r="M92" t="s">
        <v>139</v>
      </c>
      <c r="N92" t="s">
        <v>26</v>
      </c>
      <c r="O92" s="4">
        <v>60</v>
      </c>
      <c r="P92">
        <v>0</v>
      </c>
      <c r="Q92" s="4">
        <v>60</v>
      </c>
      <c r="R92" s="12">
        <f t="shared" si="1"/>
        <v>2160</v>
      </c>
      <c r="T92" t="s">
        <v>140</v>
      </c>
      <c r="U92" t="s">
        <v>141</v>
      </c>
      <c r="V92" s="4">
        <v>36</v>
      </c>
      <c r="W92">
        <v>0</v>
      </c>
    </row>
    <row r="93" spans="1:23" hidden="1" x14ac:dyDescent="0.25">
      <c r="A93" s="2">
        <v>45964.355219907404</v>
      </c>
      <c r="B93">
        <v>4230</v>
      </c>
      <c r="C93" t="s">
        <v>142</v>
      </c>
      <c r="D93" s="3">
        <v>45873</v>
      </c>
      <c r="E93" s="3">
        <v>46111</v>
      </c>
      <c r="F93" t="s">
        <v>143</v>
      </c>
      <c r="H93" t="s">
        <v>22</v>
      </c>
      <c r="I93" t="s">
        <v>35</v>
      </c>
      <c r="J93" t="s">
        <v>1490</v>
      </c>
      <c r="K93" t="s">
        <v>24</v>
      </c>
      <c r="L93" s="4">
        <v>69</v>
      </c>
      <c r="M93" t="s">
        <v>144</v>
      </c>
      <c r="N93" t="s">
        <v>26</v>
      </c>
      <c r="O93" s="4">
        <v>40</v>
      </c>
      <c r="P93">
        <v>0</v>
      </c>
      <c r="Q93" s="4">
        <v>40</v>
      </c>
      <c r="R93" s="12">
        <f t="shared" si="1"/>
        <v>2760</v>
      </c>
      <c r="T93" t="s">
        <v>145</v>
      </c>
      <c r="U93" t="s">
        <v>146</v>
      </c>
      <c r="V93" s="4">
        <v>69</v>
      </c>
      <c r="W93">
        <v>0</v>
      </c>
    </row>
    <row r="94" spans="1:23" hidden="1" x14ac:dyDescent="0.25">
      <c r="A94" s="2">
        <v>45880.683472222219</v>
      </c>
      <c r="B94">
        <v>3977</v>
      </c>
      <c r="C94" t="s">
        <v>142</v>
      </c>
      <c r="D94" s="3">
        <v>45880</v>
      </c>
      <c r="E94" s="3">
        <v>46111</v>
      </c>
      <c r="F94" t="s">
        <v>143</v>
      </c>
      <c r="H94" t="s">
        <v>22</v>
      </c>
      <c r="I94" t="s">
        <v>57</v>
      </c>
      <c r="K94" t="s">
        <v>31</v>
      </c>
      <c r="L94" s="4">
        <v>130</v>
      </c>
      <c r="M94" t="s">
        <v>147</v>
      </c>
      <c r="N94" t="s">
        <v>26</v>
      </c>
      <c r="O94" s="4">
        <v>3</v>
      </c>
      <c r="P94">
        <v>0</v>
      </c>
      <c r="Q94" s="4">
        <v>3</v>
      </c>
      <c r="R94" s="12">
        <f t="shared" si="1"/>
        <v>390</v>
      </c>
      <c r="T94" t="s">
        <v>145</v>
      </c>
      <c r="U94" t="s">
        <v>146</v>
      </c>
      <c r="V94" s="4">
        <v>130</v>
      </c>
      <c r="W94">
        <v>0</v>
      </c>
    </row>
    <row r="95" spans="1:23" hidden="1" x14ac:dyDescent="0.25">
      <c r="A95" s="2">
        <v>45880.683472222219</v>
      </c>
      <c r="B95">
        <v>3977</v>
      </c>
      <c r="C95" t="s">
        <v>142</v>
      </c>
      <c r="D95" s="3">
        <v>45880</v>
      </c>
      <c r="E95" s="3">
        <v>46111</v>
      </c>
      <c r="F95" t="s">
        <v>143</v>
      </c>
      <c r="H95" t="s">
        <v>22</v>
      </c>
      <c r="I95" t="s">
        <v>53</v>
      </c>
      <c r="K95" t="s">
        <v>24</v>
      </c>
      <c r="L95" s="4">
        <v>130</v>
      </c>
      <c r="M95" t="s">
        <v>147</v>
      </c>
      <c r="N95" t="s">
        <v>26</v>
      </c>
      <c r="O95" s="4">
        <v>5</v>
      </c>
      <c r="P95">
        <v>0</v>
      </c>
      <c r="Q95" s="4">
        <v>5</v>
      </c>
      <c r="R95" s="12">
        <f t="shared" si="1"/>
        <v>650</v>
      </c>
      <c r="T95" t="s">
        <v>145</v>
      </c>
      <c r="U95" t="s">
        <v>146</v>
      </c>
      <c r="V95" s="4">
        <v>130</v>
      </c>
      <c r="W95">
        <v>0</v>
      </c>
    </row>
    <row r="96" spans="1:23" hidden="1" x14ac:dyDescent="0.25">
      <c r="A96" s="2">
        <v>45880.683472222219</v>
      </c>
      <c r="B96">
        <v>3977</v>
      </c>
      <c r="C96" t="s">
        <v>142</v>
      </c>
      <c r="D96" s="3">
        <v>45880</v>
      </c>
      <c r="E96" s="3">
        <v>46111</v>
      </c>
      <c r="F96" t="s">
        <v>143</v>
      </c>
      <c r="H96" t="s">
        <v>22</v>
      </c>
      <c r="I96" t="s">
        <v>148</v>
      </c>
      <c r="J96" t="s">
        <v>1490</v>
      </c>
      <c r="K96" t="s">
        <v>24</v>
      </c>
      <c r="L96" s="4">
        <v>75</v>
      </c>
      <c r="M96" t="s">
        <v>147</v>
      </c>
      <c r="N96" t="s">
        <v>26</v>
      </c>
      <c r="O96" s="4">
        <v>5</v>
      </c>
      <c r="P96">
        <v>0</v>
      </c>
      <c r="Q96" s="4">
        <v>5</v>
      </c>
      <c r="R96" s="12">
        <f t="shared" si="1"/>
        <v>375</v>
      </c>
      <c r="T96" t="s">
        <v>145</v>
      </c>
      <c r="U96" t="s">
        <v>146</v>
      </c>
      <c r="V96" s="4">
        <v>75</v>
      </c>
      <c r="W96">
        <v>0</v>
      </c>
    </row>
    <row r="97" spans="1:23" hidden="1" x14ac:dyDescent="0.25">
      <c r="A97" s="2">
        <v>45862.329525462963</v>
      </c>
      <c r="B97">
        <v>3939</v>
      </c>
      <c r="C97" t="s">
        <v>149</v>
      </c>
      <c r="D97" s="3">
        <v>45852</v>
      </c>
      <c r="E97" s="3">
        <v>46264</v>
      </c>
      <c r="F97" t="s">
        <v>112</v>
      </c>
      <c r="G97" t="s">
        <v>1493</v>
      </c>
      <c r="H97" t="s">
        <v>22</v>
      </c>
      <c r="I97" t="s">
        <v>40</v>
      </c>
      <c r="J97" t="s">
        <v>1491</v>
      </c>
      <c r="K97" t="s">
        <v>24</v>
      </c>
      <c r="L97" s="4">
        <v>360</v>
      </c>
      <c r="M97" t="s">
        <v>150</v>
      </c>
      <c r="N97" t="s">
        <v>46</v>
      </c>
      <c r="O97" s="4">
        <v>32</v>
      </c>
      <c r="P97">
        <v>0</v>
      </c>
      <c r="Q97" s="4">
        <v>32</v>
      </c>
      <c r="R97" s="12">
        <f t="shared" si="1"/>
        <v>11520</v>
      </c>
      <c r="T97" t="s">
        <v>151</v>
      </c>
      <c r="U97" t="s">
        <v>152</v>
      </c>
      <c r="V97" s="4">
        <v>360</v>
      </c>
      <c r="W97">
        <v>0</v>
      </c>
    </row>
    <row r="98" spans="1:23" hidden="1" x14ac:dyDescent="0.25">
      <c r="A98" s="2">
        <v>45862.329525462963</v>
      </c>
      <c r="B98">
        <v>3939</v>
      </c>
      <c r="C98" t="s">
        <v>149</v>
      </c>
      <c r="D98" s="3">
        <v>45852</v>
      </c>
      <c r="E98" s="3">
        <v>46264</v>
      </c>
      <c r="F98" t="s">
        <v>112</v>
      </c>
      <c r="G98" t="s">
        <v>1493</v>
      </c>
      <c r="H98" t="s">
        <v>22</v>
      </c>
      <c r="I98" t="s">
        <v>38</v>
      </c>
      <c r="J98" t="s">
        <v>1491</v>
      </c>
      <c r="K98" t="s">
        <v>24</v>
      </c>
      <c r="L98" s="4">
        <v>52</v>
      </c>
      <c r="M98" t="s">
        <v>150</v>
      </c>
      <c r="N98" t="s">
        <v>46</v>
      </c>
      <c r="O98" s="4">
        <v>63</v>
      </c>
      <c r="P98">
        <v>0</v>
      </c>
      <c r="Q98" s="4">
        <v>63</v>
      </c>
      <c r="R98" s="12">
        <f t="shared" si="1"/>
        <v>3276</v>
      </c>
      <c r="T98" t="s">
        <v>151</v>
      </c>
      <c r="U98" t="s">
        <v>152</v>
      </c>
      <c r="V98" s="4">
        <v>52</v>
      </c>
      <c r="W98">
        <v>0</v>
      </c>
    </row>
    <row r="99" spans="1:23" hidden="1" x14ac:dyDescent="0.25">
      <c r="A99" s="2">
        <v>45862.329525462963</v>
      </c>
      <c r="B99">
        <v>3939</v>
      </c>
      <c r="C99" t="s">
        <v>149</v>
      </c>
      <c r="D99" s="3">
        <v>45852</v>
      </c>
      <c r="E99" s="3">
        <v>46264</v>
      </c>
      <c r="F99" t="s">
        <v>112</v>
      </c>
      <c r="G99" t="s">
        <v>1493</v>
      </c>
      <c r="H99" t="s">
        <v>22</v>
      </c>
      <c r="I99" t="s">
        <v>63</v>
      </c>
      <c r="J99" t="s">
        <v>1491</v>
      </c>
      <c r="K99" t="s">
        <v>31</v>
      </c>
      <c r="L99" s="4">
        <v>200</v>
      </c>
      <c r="M99" t="s">
        <v>150</v>
      </c>
      <c r="N99" t="s">
        <v>46</v>
      </c>
      <c r="O99" s="4">
        <v>62</v>
      </c>
      <c r="P99">
        <v>0</v>
      </c>
      <c r="Q99" s="4">
        <v>62</v>
      </c>
      <c r="R99" s="12">
        <f t="shared" si="1"/>
        <v>12400</v>
      </c>
      <c r="T99" t="s">
        <v>151</v>
      </c>
      <c r="U99" t="s">
        <v>152</v>
      </c>
      <c r="V99" s="4">
        <v>200</v>
      </c>
      <c r="W99">
        <v>0</v>
      </c>
    </row>
    <row r="100" spans="1:23" hidden="1" x14ac:dyDescent="0.25">
      <c r="A100" s="2">
        <v>45862.329525462963</v>
      </c>
      <c r="B100">
        <v>3939</v>
      </c>
      <c r="C100" t="s">
        <v>149</v>
      </c>
      <c r="D100" s="3">
        <v>45852</v>
      </c>
      <c r="E100" s="3">
        <v>46264</v>
      </c>
      <c r="F100" t="s">
        <v>112</v>
      </c>
      <c r="G100" t="s">
        <v>1493</v>
      </c>
      <c r="H100" t="s">
        <v>22</v>
      </c>
      <c r="I100" t="s">
        <v>41</v>
      </c>
      <c r="J100" t="s">
        <v>1491</v>
      </c>
      <c r="K100" t="s">
        <v>24</v>
      </c>
      <c r="L100" s="4">
        <v>370</v>
      </c>
      <c r="M100" t="s">
        <v>150</v>
      </c>
      <c r="N100" t="s">
        <v>46</v>
      </c>
      <c r="O100" s="4">
        <v>32</v>
      </c>
      <c r="P100">
        <v>0</v>
      </c>
      <c r="Q100" s="4">
        <v>32</v>
      </c>
      <c r="R100" s="12">
        <f t="shared" si="1"/>
        <v>11840</v>
      </c>
      <c r="T100" t="s">
        <v>151</v>
      </c>
      <c r="U100" t="s">
        <v>152</v>
      </c>
      <c r="V100" s="4">
        <v>370</v>
      </c>
      <c r="W100">
        <v>0</v>
      </c>
    </row>
    <row r="101" spans="1:23" hidden="1" x14ac:dyDescent="0.25">
      <c r="A101" s="2">
        <v>45862.332546296297</v>
      </c>
      <c r="B101">
        <v>3940</v>
      </c>
      <c r="C101" t="s">
        <v>149</v>
      </c>
      <c r="D101" s="3">
        <v>45852</v>
      </c>
      <c r="E101" s="3">
        <v>46111</v>
      </c>
      <c r="F101" t="s">
        <v>112</v>
      </c>
      <c r="G101" t="s">
        <v>1493</v>
      </c>
      <c r="H101" t="s">
        <v>22</v>
      </c>
      <c r="I101" t="s">
        <v>41</v>
      </c>
      <c r="J101" t="s">
        <v>1491</v>
      </c>
      <c r="K101" t="s">
        <v>24</v>
      </c>
      <c r="L101" s="4">
        <v>370</v>
      </c>
      <c r="M101" t="s">
        <v>153</v>
      </c>
      <c r="N101" t="s">
        <v>26</v>
      </c>
      <c r="O101" s="4">
        <v>14</v>
      </c>
      <c r="P101">
        <v>0</v>
      </c>
      <c r="Q101" s="4">
        <v>14</v>
      </c>
      <c r="R101" s="12">
        <f t="shared" si="1"/>
        <v>5180</v>
      </c>
      <c r="T101" t="s">
        <v>151</v>
      </c>
      <c r="U101" t="s">
        <v>152</v>
      </c>
      <c r="V101" s="4">
        <v>370</v>
      </c>
      <c r="W101">
        <v>0</v>
      </c>
    </row>
    <row r="102" spans="1:23" hidden="1" x14ac:dyDescent="0.25">
      <c r="A102" s="2">
        <v>45862.332546296297</v>
      </c>
      <c r="B102">
        <v>3940</v>
      </c>
      <c r="C102" t="s">
        <v>149</v>
      </c>
      <c r="D102" s="3">
        <v>45852</v>
      </c>
      <c r="E102" s="3">
        <v>46111</v>
      </c>
      <c r="F102" t="s">
        <v>112</v>
      </c>
      <c r="G102" t="s">
        <v>1493</v>
      </c>
      <c r="H102" t="s">
        <v>22</v>
      </c>
      <c r="I102" t="s">
        <v>38</v>
      </c>
      <c r="J102" t="s">
        <v>1491</v>
      </c>
      <c r="K102" t="s">
        <v>24</v>
      </c>
      <c r="L102" s="4">
        <v>52</v>
      </c>
      <c r="M102" t="s">
        <v>153</v>
      </c>
      <c r="N102" t="s">
        <v>26</v>
      </c>
      <c r="O102" s="4">
        <v>27</v>
      </c>
      <c r="P102">
        <v>0</v>
      </c>
      <c r="Q102" s="4">
        <v>27</v>
      </c>
      <c r="R102" s="12">
        <f t="shared" si="1"/>
        <v>1404</v>
      </c>
      <c r="T102" t="s">
        <v>151</v>
      </c>
      <c r="U102" t="s">
        <v>152</v>
      </c>
      <c r="V102" s="4">
        <v>52</v>
      </c>
      <c r="W102">
        <v>0</v>
      </c>
    </row>
    <row r="103" spans="1:23" hidden="1" x14ac:dyDescent="0.25">
      <c r="A103" s="2">
        <v>45862.332546296297</v>
      </c>
      <c r="B103">
        <v>3940</v>
      </c>
      <c r="C103" t="s">
        <v>149</v>
      </c>
      <c r="D103" s="3">
        <v>45852</v>
      </c>
      <c r="E103" s="3">
        <v>46111</v>
      </c>
      <c r="F103" t="s">
        <v>112</v>
      </c>
      <c r="G103" t="s">
        <v>1493</v>
      </c>
      <c r="H103" t="s">
        <v>22</v>
      </c>
      <c r="I103" t="s">
        <v>63</v>
      </c>
      <c r="J103" t="s">
        <v>1491</v>
      </c>
      <c r="K103" t="s">
        <v>31</v>
      </c>
      <c r="L103" s="4">
        <v>200</v>
      </c>
      <c r="M103" t="s">
        <v>153</v>
      </c>
      <c r="N103" t="s">
        <v>26</v>
      </c>
      <c r="O103" s="4">
        <v>25</v>
      </c>
      <c r="P103">
        <v>0</v>
      </c>
      <c r="Q103" s="4">
        <v>25</v>
      </c>
      <c r="R103" s="12">
        <f t="shared" si="1"/>
        <v>5000</v>
      </c>
      <c r="T103" t="s">
        <v>151</v>
      </c>
      <c r="U103" t="s">
        <v>152</v>
      </c>
      <c r="V103" s="4">
        <v>200</v>
      </c>
      <c r="W103">
        <v>0</v>
      </c>
    </row>
    <row r="104" spans="1:23" hidden="1" x14ac:dyDescent="0.25">
      <c r="A104" s="2">
        <v>45862.332546296297</v>
      </c>
      <c r="B104">
        <v>3940</v>
      </c>
      <c r="C104" t="s">
        <v>149</v>
      </c>
      <c r="D104" s="3">
        <v>45852</v>
      </c>
      <c r="E104" s="3">
        <v>46111</v>
      </c>
      <c r="F104" t="s">
        <v>112</v>
      </c>
      <c r="G104" t="s">
        <v>1493</v>
      </c>
      <c r="H104" t="s">
        <v>22</v>
      </c>
      <c r="I104" t="s">
        <v>40</v>
      </c>
      <c r="J104" t="s">
        <v>1491</v>
      </c>
      <c r="K104" t="s">
        <v>24</v>
      </c>
      <c r="L104" s="4">
        <v>360</v>
      </c>
      <c r="M104" t="s">
        <v>153</v>
      </c>
      <c r="N104" t="s">
        <v>26</v>
      </c>
      <c r="O104" s="4">
        <v>14</v>
      </c>
      <c r="P104">
        <v>0</v>
      </c>
      <c r="Q104" s="4">
        <v>14</v>
      </c>
      <c r="R104" s="12">
        <f t="shared" si="1"/>
        <v>5040</v>
      </c>
      <c r="T104" t="s">
        <v>151</v>
      </c>
      <c r="U104" t="s">
        <v>152</v>
      </c>
      <c r="V104" s="4">
        <v>360</v>
      </c>
      <c r="W104">
        <v>0</v>
      </c>
    </row>
    <row r="105" spans="1:23" hidden="1" x14ac:dyDescent="0.25">
      <c r="A105" s="2">
        <v>45862.332546296297</v>
      </c>
      <c r="B105">
        <v>3940</v>
      </c>
      <c r="C105" t="s">
        <v>149</v>
      </c>
      <c r="D105" s="3">
        <v>45852</v>
      </c>
      <c r="E105" s="3">
        <v>46111</v>
      </c>
      <c r="F105" t="s">
        <v>112</v>
      </c>
      <c r="G105" t="s">
        <v>1493</v>
      </c>
      <c r="H105" t="s">
        <v>22</v>
      </c>
      <c r="I105" t="s">
        <v>43</v>
      </c>
      <c r="J105" t="s">
        <v>1491</v>
      </c>
      <c r="K105" t="s">
        <v>24</v>
      </c>
      <c r="L105" s="4">
        <v>47</v>
      </c>
      <c r="M105" t="s">
        <v>153</v>
      </c>
      <c r="N105" t="s">
        <v>26</v>
      </c>
      <c r="O105" s="4">
        <v>39</v>
      </c>
      <c r="P105">
        <v>0</v>
      </c>
      <c r="Q105" s="4">
        <v>39</v>
      </c>
      <c r="R105" s="12">
        <f t="shared" si="1"/>
        <v>1833</v>
      </c>
      <c r="T105" t="s">
        <v>151</v>
      </c>
      <c r="U105" t="s">
        <v>152</v>
      </c>
      <c r="V105" s="4">
        <v>47</v>
      </c>
      <c r="W105">
        <v>0</v>
      </c>
    </row>
    <row r="106" spans="1:23" hidden="1" x14ac:dyDescent="0.25">
      <c r="A106" s="2">
        <v>45862.332546296297</v>
      </c>
      <c r="B106">
        <v>3940</v>
      </c>
      <c r="C106" t="s">
        <v>149</v>
      </c>
      <c r="D106" s="3">
        <v>45852</v>
      </c>
      <c r="E106" s="3">
        <v>46111</v>
      </c>
      <c r="F106" t="s">
        <v>112</v>
      </c>
      <c r="H106" t="s">
        <v>22</v>
      </c>
      <c r="I106" t="s">
        <v>42</v>
      </c>
      <c r="J106" t="s">
        <v>1490</v>
      </c>
      <c r="K106" t="s">
        <v>24</v>
      </c>
      <c r="L106" s="4">
        <v>240</v>
      </c>
      <c r="M106" t="s">
        <v>153</v>
      </c>
      <c r="N106" t="s">
        <v>26</v>
      </c>
      <c r="O106" s="4">
        <v>25</v>
      </c>
      <c r="P106">
        <v>0</v>
      </c>
      <c r="Q106" s="4">
        <v>25</v>
      </c>
      <c r="R106" s="12">
        <f t="shared" si="1"/>
        <v>6000</v>
      </c>
      <c r="T106" t="s">
        <v>151</v>
      </c>
      <c r="U106" t="s">
        <v>152</v>
      </c>
      <c r="V106" s="4">
        <v>240</v>
      </c>
      <c r="W106">
        <v>0</v>
      </c>
    </row>
    <row r="107" spans="1:23" hidden="1" x14ac:dyDescent="0.25">
      <c r="A107" s="2">
        <v>45940.321296296293</v>
      </c>
      <c r="B107">
        <v>4141</v>
      </c>
      <c r="C107" t="s">
        <v>149</v>
      </c>
      <c r="D107" s="3">
        <v>45940</v>
      </c>
      <c r="E107" s="3">
        <v>46111</v>
      </c>
      <c r="F107" t="s">
        <v>112</v>
      </c>
      <c r="G107" t="s">
        <v>1493</v>
      </c>
      <c r="H107" t="s">
        <v>22</v>
      </c>
      <c r="I107" t="s">
        <v>63</v>
      </c>
      <c r="J107" t="s">
        <v>1491</v>
      </c>
      <c r="K107" t="s">
        <v>31</v>
      </c>
      <c r="L107" s="4">
        <v>200</v>
      </c>
      <c r="M107" t="s">
        <v>154</v>
      </c>
      <c r="N107" t="s">
        <v>26</v>
      </c>
      <c r="O107" s="4">
        <v>5</v>
      </c>
      <c r="P107">
        <v>0</v>
      </c>
      <c r="Q107" s="4">
        <v>5</v>
      </c>
      <c r="R107" s="12">
        <f t="shared" si="1"/>
        <v>1000</v>
      </c>
      <c r="T107" t="s">
        <v>151</v>
      </c>
      <c r="U107" t="s">
        <v>152</v>
      </c>
      <c r="V107" s="4">
        <v>200</v>
      </c>
      <c r="W107">
        <v>0</v>
      </c>
    </row>
    <row r="108" spans="1:23" hidden="1" x14ac:dyDescent="0.25">
      <c r="A108" s="2">
        <v>45940.321296296293</v>
      </c>
      <c r="B108">
        <v>4141</v>
      </c>
      <c r="C108" t="s">
        <v>149</v>
      </c>
      <c r="D108" s="3">
        <v>45940</v>
      </c>
      <c r="E108" s="3">
        <v>46111</v>
      </c>
      <c r="F108" t="s">
        <v>112</v>
      </c>
      <c r="G108" t="s">
        <v>1493</v>
      </c>
      <c r="H108" t="s">
        <v>22</v>
      </c>
      <c r="I108" t="s">
        <v>40</v>
      </c>
      <c r="J108" t="s">
        <v>1491</v>
      </c>
      <c r="K108" t="s">
        <v>24</v>
      </c>
      <c r="L108" s="4">
        <v>360</v>
      </c>
      <c r="M108" t="s">
        <v>154</v>
      </c>
      <c r="N108" t="s">
        <v>26</v>
      </c>
      <c r="O108" s="4">
        <v>1</v>
      </c>
      <c r="P108">
        <v>0</v>
      </c>
      <c r="Q108" s="4">
        <v>1</v>
      </c>
      <c r="R108" s="12">
        <f t="shared" si="1"/>
        <v>360</v>
      </c>
      <c r="T108" t="s">
        <v>151</v>
      </c>
      <c r="U108" t="s">
        <v>152</v>
      </c>
      <c r="V108" s="4">
        <v>360</v>
      </c>
      <c r="W108">
        <v>0</v>
      </c>
    </row>
    <row r="109" spans="1:23" hidden="1" x14ac:dyDescent="0.25">
      <c r="A109" s="2">
        <v>45940.321296296293</v>
      </c>
      <c r="B109">
        <v>4141</v>
      </c>
      <c r="C109" t="s">
        <v>149</v>
      </c>
      <c r="D109" s="3">
        <v>45940</v>
      </c>
      <c r="E109" s="3">
        <v>46111</v>
      </c>
      <c r="F109" t="s">
        <v>112</v>
      </c>
      <c r="G109" t="s">
        <v>1493</v>
      </c>
      <c r="H109" t="s">
        <v>22</v>
      </c>
      <c r="I109" t="s">
        <v>41</v>
      </c>
      <c r="J109" t="s">
        <v>1491</v>
      </c>
      <c r="K109" t="s">
        <v>24</v>
      </c>
      <c r="L109" s="4">
        <v>370</v>
      </c>
      <c r="M109" t="s">
        <v>154</v>
      </c>
      <c r="N109" t="s">
        <v>26</v>
      </c>
      <c r="O109" s="4">
        <v>1</v>
      </c>
      <c r="P109">
        <v>0</v>
      </c>
      <c r="Q109" s="4">
        <v>1</v>
      </c>
      <c r="R109" s="12">
        <f t="shared" si="1"/>
        <v>370</v>
      </c>
      <c r="T109" t="s">
        <v>151</v>
      </c>
      <c r="U109" t="s">
        <v>152</v>
      </c>
      <c r="V109" s="4">
        <v>370</v>
      </c>
      <c r="W109">
        <v>0</v>
      </c>
    </row>
    <row r="110" spans="1:23" hidden="1" x14ac:dyDescent="0.25">
      <c r="A110" s="2">
        <v>45946.338645833333</v>
      </c>
      <c r="B110">
        <v>4169</v>
      </c>
      <c r="C110" t="s">
        <v>149</v>
      </c>
      <c r="D110" s="3">
        <v>45946</v>
      </c>
      <c r="E110" s="3">
        <v>46111</v>
      </c>
      <c r="F110" t="s">
        <v>112</v>
      </c>
      <c r="G110" t="s">
        <v>1493</v>
      </c>
      <c r="H110" t="s">
        <v>22</v>
      </c>
      <c r="I110" t="s">
        <v>43</v>
      </c>
      <c r="J110" t="s">
        <v>1491</v>
      </c>
      <c r="K110" t="s">
        <v>24</v>
      </c>
      <c r="L110" s="4">
        <v>47</v>
      </c>
      <c r="M110" t="s">
        <v>155</v>
      </c>
      <c r="N110" t="s">
        <v>26</v>
      </c>
      <c r="O110" s="4">
        <v>3</v>
      </c>
      <c r="P110">
        <v>0</v>
      </c>
      <c r="Q110" s="4">
        <v>3</v>
      </c>
      <c r="R110" s="12">
        <f t="shared" si="1"/>
        <v>141</v>
      </c>
      <c r="T110" t="s">
        <v>151</v>
      </c>
      <c r="U110" t="s">
        <v>152</v>
      </c>
      <c r="V110" s="4">
        <v>47</v>
      </c>
      <c r="W110">
        <v>0</v>
      </c>
    </row>
    <row r="111" spans="1:23" hidden="1" x14ac:dyDescent="0.25">
      <c r="A111" s="2">
        <v>45946.338645833333</v>
      </c>
      <c r="B111">
        <v>4169</v>
      </c>
      <c r="C111" t="s">
        <v>149</v>
      </c>
      <c r="D111" s="3">
        <v>45946</v>
      </c>
      <c r="E111" s="3">
        <v>46111</v>
      </c>
      <c r="F111" t="s">
        <v>112</v>
      </c>
      <c r="G111" t="s">
        <v>1493</v>
      </c>
      <c r="H111" t="s">
        <v>22</v>
      </c>
      <c r="I111" t="s">
        <v>41</v>
      </c>
      <c r="J111" t="s">
        <v>1491</v>
      </c>
      <c r="K111" t="s">
        <v>24</v>
      </c>
      <c r="L111" s="4">
        <v>370</v>
      </c>
      <c r="M111" t="s">
        <v>155</v>
      </c>
      <c r="N111" t="s">
        <v>26</v>
      </c>
      <c r="O111" s="4">
        <v>3</v>
      </c>
      <c r="P111">
        <v>0</v>
      </c>
      <c r="Q111" s="4">
        <v>3</v>
      </c>
      <c r="R111" s="12">
        <f t="shared" si="1"/>
        <v>1110</v>
      </c>
      <c r="T111" t="s">
        <v>151</v>
      </c>
      <c r="U111" t="s">
        <v>152</v>
      </c>
      <c r="V111" s="4">
        <v>370</v>
      </c>
      <c r="W111">
        <v>0</v>
      </c>
    </row>
    <row r="112" spans="1:23" hidden="1" x14ac:dyDescent="0.25">
      <c r="A112" s="2">
        <v>45946.338645833333</v>
      </c>
      <c r="B112">
        <v>4169</v>
      </c>
      <c r="C112" t="s">
        <v>149</v>
      </c>
      <c r="D112" s="3">
        <v>45946</v>
      </c>
      <c r="E112" s="3">
        <v>46111</v>
      </c>
      <c r="F112" t="s">
        <v>112</v>
      </c>
      <c r="G112" t="s">
        <v>1493</v>
      </c>
      <c r="H112" t="s">
        <v>22</v>
      </c>
      <c r="I112" t="s">
        <v>40</v>
      </c>
      <c r="J112" t="s">
        <v>1491</v>
      </c>
      <c r="K112" t="s">
        <v>24</v>
      </c>
      <c r="L112" s="4">
        <v>360</v>
      </c>
      <c r="M112" t="s">
        <v>155</v>
      </c>
      <c r="N112" t="s">
        <v>26</v>
      </c>
      <c r="O112" s="4">
        <v>3</v>
      </c>
      <c r="P112">
        <v>0</v>
      </c>
      <c r="Q112" s="4">
        <v>3</v>
      </c>
      <c r="R112" s="12">
        <f t="shared" si="1"/>
        <v>1080</v>
      </c>
      <c r="T112" t="s">
        <v>151</v>
      </c>
      <c r="U112" t="s">
        <v>152</v>
      </c>
      <c r="V112" s="4">
        <v>360</v>
      </c>
      <c r="W112">
        <v>0</v>
      </c>
    </row>
    <row r="113" spans="1:23" hidden="1" x14ac:dyDescent="0.25">
      <c r="A113" s="2">
        <v>45946.338645833333</v>
      </c>
      <c r="B113">
        <v>4169</v>
      </c>
      <c r="C113" t="s">
        <v>149</v>
      </c>
      <c r="D113" s="3">
        <v>45946</v>
      </c>
      <c r="E113" s="3">
        <v>46111</v>
      </c>
      <c r="F113" t="s">
        <v>112</v>
      </c>
      <c r="H113" t="s">
        <v>22</v>
      </c>
      <c r="I113" t="s">
        <v>42</v>
      </c>
      <c r="J113" t="s">
        <v>1490</v>
      </c>
      <c r="K113" t="s">
        <v>24</v>
      </c>
      <c r="L113" s="4">
        <v>240</v>
      </c>
      <c r="M113" t="s">
        <v>155</v>
      </c>
      <c r="N113" t="s">
        <v>26</v>
      </c>
      <c r="O113" s="4">
        <v>5</v>
      </c>
      <c r="P113">
        <v>0</v>
      </c>
      <c r="Q113" s="4">
        <v>5</v>
      </c>
      <c r="R113" s="12">
        <f t="shared" si="1"/>
        <v>1200</v>
      </c>
      <c r="T113" t="s">
        <v>151</v>
      </c>
      <c r="U113" t="s">
        <v>152</v>
      </c>
      <c r="V113" s="4">
        <v>240</v>
      </c>
      <c r="W113">
        <v>0</v>
      </c>
    </row>
    <row r="114" spans="1:23" hidden="1" x14ac:dyDescent="0.25">
      <c r="A114" s="2">
        <v>45946.338645833333</v>
      </c>
      <c r="B114">
        <v>4169</v>
      </c>
      <c r="C114" t="s">
        <v>149</v>
      </c>
      <c r="D114" s="3">
        <v>45946</v>
      </c>
      <c r="E114" s="3">
        <v>46111</v>
      </c>
      <c r="F114" t="s">
        <v>112</v>
      </c>
      <c r="G114" t="s">
        <v>1493</v>
      </c>
      <c r="H114" t="s">
        <v>22</v>
      </c>
      <c r="I114" t="s">
        <v>63</v>
      </c>
      <c r="J114" t="s">
        <v>1491</v>
      </c>
      <c r="K114" t="s">
        <v>31</v>
      </c>
      <c r="L114" s="4">
        <v>200</v>
      </c>
      <c r="M114" t="s">
        <v>155</v>
      </c>
      <c r="N114" t="s">
        <v>26</v>
      </c>
      <c r="O114" s="4">
        <v>3</v>
      </c>
      <c r="P114">
        <v>0</v>
      </c>
      <c r="Q114" s="4">
        <v>3</v>
      </c>
      <c r="R114" s="12">
        <f t="shared" si="1"/>
        <v>600</v>
      </c>
      <c r="T114" t="s">
        <v>151</v>
      </c>
      <c r="U114" t="s">
        <v>152</v>
      </c>
      <c r="V114" s="4">
        <v>200</v>
      </c>
      <c r="W114">
        <v>0</v>
      </c>
    </row>
    <row r="115" spans="1:23" hidden="1" x14ac:dyDescent="0.25">
      <c r="A115" s="2">
        <v>46055.339571759258</v>
      </c>
      <c r="B115">
        <v>4517</v>
      </c>
      <c r="C115" t="s">
        <v>149</v>
      </c>
      <c r="D115" s="3">
        <v>46051</v>
      </c>
      <c r="E115" s="3">
        <v>46264</v>
      </c>
      <c r="F115" t="s">
        <v>112</v>
      </c>
      <c r="G115" t="s">
        <v>1493</v>
      </c>
      <c r="H115" t="s">
        <v>22</v>
      </c>
      <c r="I115" t="s">
        <v>75</v>
      </c>
      <c r="J115" t="s">
        <v>1491</v>
      </c>
      <c r="K115" t="s">
        <v>24</v>
      </c>
      <c r="L115" s="4">
        <v>40</v>
      </c>
      <c r="M115" t="s">
        <v>156</v>
      </c>
      <c r="N115" t="s">
        <v>46</v>
      </c>
      <c r="O115" s="4">
        <v>1320</v>
      </c>
      <c r="P115">
        <v>0</v>
      </c>
      <c r="Q115" s="4">
        <v>1320</v>
      </c>
      <c r="R115" s="12">
        <f t="shared" si="1"/>
        <v>52800</v>
      </c>
      <c r="T115" t="s">
        <v>151</v>
      </c>
      <c r="U115" t="s">
        <v>152</v>
      </c>
      <c r="V115" s="4">
        <v>40</v>
      </c>
      <c r="W115">
        <v>0</v>
      </c>
    </row>
    <row r="116" spans="1:23" hidden="1" x14ac:dyDescent="0.25">
      <c r="A116" s="2">
        <v>46058.592743055553</v>
      </c>
      <c r="B116">
        <v>4533</v>
      </c>
      <c r="C116" t="s">
        <v>149</v>
      </c>
      <c r="D116" s="3">
        <v>46058</v>
      </c>
      <c r="E116" s="3">
        <v>46264</v>
      </c>
      <c r="F116" t="s">
        <v>112</v>
      </c>
      <c r="G116" t="s">
        <v>1493</v>
      </c>
      <c r="H116" t="s">
        <v>22</v>
      </c>
      <c r="I116" t="s">
        <v>92</v>
      </c>
      <c r="J116" t="s">
        <v>1491</v>
      </c>
      <c r="K116" t="s">
        <v>31</v>
      </c>
      <c r="L116" s="4">
        <v>380</v>
      </c>
      <c r="M116" t="s">
        <v>157</v>
      </c>
      <c r="N116" t="s">
        <v>46</v>
      </c>
      <c r="O116" s="4">
        <v>30</v>
      </c>
      <c r="P116">
        <v>0</v>
      </c>
      <c r="Q116" s="4">
        <v>30</v>
      </c>
      <c r="R116" s="12">
        <f t="shared" si="1"/>
        <v>11400</v>
      </c>
      <c r="T116" t="s">
        <v>151</v>
      </c>
      <c r="U116" t="s">
        <v>152</v>
      </c>
      <c r="V116" s="4">
        <v>380</v>
      </c>
      <c r="W116">
        <v>0</v>
      </c>
    </row>
    <row r="117" spans="1:23" hidden="1" x14ac:dyDescent="0.25">
      <c r="A117" s="2">
        <v>46058.592743055553</v>
      </c>
      <c r="B117">
        <v>4533</v>
      </c>
      <c r="C117" t="s">
        <v>149</v>
      </c>
      <c r="D117" s="3">
        <v>46058</v>
      </c>
      <c r="E117" s="3">
        <v>46264</v>
      </c>
      <c r="F117" t="s">
        <v>112</v>
      </c>
      <c r="G117" t="s">
        <v>1493</v>
      </c>
      <c r="H117" t="s">
        <v>22</v>
      </c>
      <c r="I117" t="s">
        <v>63</v>
      </c>
      <c r="J117" t="s">
        <v>1491</v>
      </c>
      <c r="K117" t="s">
        <v>31</v>
      </c>
      <c r="L117" s="4">
        <v>200</v>
      </c>
      <c r="M117" t="s">
        <v>157</v>
      </c>
      <c r="N117" t="s">
        <v>46</v>
      </c>
      <c r="O117" s="4">
        <v>8</v>
      </c>
      <c r="P117">
        <v>0</v>
      </c>
      <c r="Q117" s="4">
        <v>8</v>
      </c>
      <c r="R117" s="12">
        <f t="shared" si="1"/>
        <v>1600</v>
      </c>
      <c r="T117" t="s">
        <v>151</v>
      </c>
      <c r="U117" t="s">
        <v>152</v>
      </c>
      <c r="V117" s="4">
        <v>200</v>
      </c>
      <c r="W117">
        <v>0</v>
      </c>
    </row>
    <row r="118" spans="1:23" hidden="1" x14ac:dyDescent="0.25">
      <c r="A118" s="2">
        <v>46094.469907407409</v>
      </c>
      <c r="B118">
        <v>4651</v>
      </c>
      <c r="C118" t="s">
        <v>149</v>
      </c>
      <c r="D118" s="3">
        <v>46094</v>
      </c>
      <c r="E118" s="3">
        <v>46264</v>
      </c>
      <c r="F118" t="s">
        <v>112</v>
      </c>
      <c r="G118" t="s">
        <v>1493</v>
      </c>
      <c r="H118" t="s">
        <v>22</v>
      </c>
      <c r="I118" t="s">
        <v>92</v>
      </c>
      <c r="J118" t="s">
        <v>1491</v>
      </c>
      <c r="K118" t="s">
        <v>31</v>
      </c>
      <c r="L118" s="4">
        <v>380</v>
      </c>
      <c r="M118" t="s">
        <v>158</v>
      </c>
      <c r="N118" t="s">
        <v>46</v>
      </c>
      <c r="O118" s="4">
        <v>105</v>
      </c>
      <c r="P118">
        <v>0</v>
      </c>
      <c r="Q118" s="4">
        <v>105</v>
      </c>
      <c r="R118" s="12">
        <f t="shared" si="1"/>
        <v>39900</v>
      </c>
      <c r="T118" t="s">
        <v>151</v>
      </c>
      <c r="U118" t="s">
        <v>152</v>
      </c>
      <c r="V118" s="4">
        <v>380</v>
      </c>
      <c r="W118">
        <v>0</v>
      </c>
    </row>
    <row r="119" spans="1:23" hidden="1" x14ac:dyDescent="0.25">
      <c r="A119" s="2">
        <v>45890.610752314817</v>
      </c>
      <c r="B119">
        <v>3986</v>
      </c>
      <c r="C119" t="s">
        <v>159</v>
      </c>
      <c r="D119" s="3">
        <v>45890</v>
      </c>
      <c r="E119" s="3">
        <v>46142</v>
      </c>
      <c r="F119" t="s">
        <v>21</v>
      </c>
      <c r="G119" t="s">
        <v>1493</v>
      </c>
      <c r="H119" t="s">
        <v>22</v>
      </c>
      <c r="I119" t="s">
        <v>41</v>
      </c>
      <c r="J119" t="s">
        <v>1491</v>
      </c>
      <c r="K119" t="s">
        <v>24</v>
      </c>
      <c r="L119" s="4">
        <v>280</v>
      </c>
      <c r="M119" t="s">
        <v>160</v>
      </c>
      <c r="N119" t="s">
        <v>26</v>
      </c>
      <c r="O119" s="4">
        <v>828</v>
      </c>
      <c r="P119">
        <v>0</v>
      </c>
      <c r="Q119" s="4">
        <v>828</v>
      </c>
      <c r="R119" s="12">
        <f t="shared" si="1"/>
        <v>231840</v>
      </c>
      <c r="T119" t="s">
        <v>27</v>
      </c>
      <c r="U119" t="s">
        <v>161</v>
      </c>
      <c r="V119" s="4">
        <v>280</v>
      </c>
      <c r="W119">
        <v>0</v>
      </c>
    </row>
    <row r="120" spans="1:23" hidden="1" x14ac:dyDescent="0.25">
      <c r="A120" s="2">
        <v>45890.610752314817</v>
      </c>
      <c r="B120">
        <v>3986</v>
      </c>
      <c r="C120" t="s">
        <v>159</v>
      </c>
      <c r="D120" s="3">
        <v>45890</v>
      </c>
      <c r="E120" s="3">
        <v>46142</v>
      </c>
      <c r="F120" t="s">
        <v>21</v>
      </c>
      <c r="G120" t="s">
        <v>1493</v>
      </c>
      <c r="H120" t="s">
        <v>22</v>
      </c>
      <c r="I120" t="s">
        <v>38</v>
      </c>
      <c r="J120" t="s">
        <v>1491</v>
      </c>
      <c r="K120" t="s">
        <v>24</v>
      </c>
      <c r="L120" s="4">
        <v>45</v>
      </c>
      <c r="M120" t="s">
        <v>160</v>
      </c>
      <c r="N120" t="s">
        <v>26</v>
      </c>
      <c r="O120" s="4">
        <v>1737</v>
      </c>
      <c r="P120">
        <v>0</v>
      </c>
      <c r="Q120" s="4">
        <v>1737</v>
      </c>
      <c r="R120" s="12">
        <f t="shared" si="1"/>
        <v>78165</v>
      </c>
      <c r="T120" t="s">
        <v>27</v>
      </c>
      <c r="U120" t="s">
        <v>161</v>
      </c>
      <c r="V120" s="4">
        <v>45</v>
      </c>
      <c r="W120">
        <v>0</v>
      </c>
    </row>
    <row r="121" spans="1:23" hidden="1" x14ac:dyDescent="0.25">
      <c r="A121" s="2">
        <v>45890.610752314817</v>
      </c>
      <c r="B121">
        <v>3986</v>
      </c>
      <c r="C121" t="s">
        <v>159</v>
      </c>
      <c r="D121" s="3">
        <v>45890</v>
      </c>
      <c r="E121" s="3">
        <v>46142</v>
      </c>
      <c r="F121" t="s">
        <v>21</v>
      </c>
      <c r="G121" t="s">
        <v>1493</v>
      </c>
      <c r="H121" t="s">
        <v>22</v>
      </c>
      <c r="I121" t="s">
        <v>40</v>
      </c>
      <c r="J121" t="s">
        <v>1491</v>
      </c>
      <c r="K121" t="s">
        <v>24</v>
      </c>
      <c r="L121" s="4">
        <v>280</v>
      </c>
      <c r="M121" t="s">
        <v>160</v>
      </c>
      <c r="N121" t="s">
        <v>26</v>
      </c>
      <c r="O121" s="4">
        <v>805</v>
      </c>
      <c r="P121">
        <v>0</v>
      </c>
      <c r="Q121" s="4">
        <v>805</v>
      </c>
      <c r="R121" s="12">
        <f t="shared" si="1"/>
        <v>225400</v>
      </c>
      <c r="T121" t="s">
        <v>27</v>
      </c>
      <c r="U121" t="s">
        <v>161</v>
      </c>
      <c r="V121" s="4">
        <v>280</v>
      </c>
      <c r="W121">
        <v>0</v>
      </c>
    </row>
    <row r="122" spans="1:23" hidden="1" x14ac:dyDescent="0.25">
      <c r="A122" s="2">
        <v>45890.610752314817</v>
      </c>
      <c r="B122">
        <v>3986</v>
      </c>
      <c r="C122" t="s">
        <v>159</v>
      </c>
      <c r="D122" s="3">
        <v>45890</v>
      </c>
      <c r="E122" s="3">
        <v>46142</v>
      </c>
      <c r="F122" t="s">
        <v>21</v>
      </c>
      <c r="H122" t="s">
        <v>22</v>
      </c>
      <c r="I122" t="s">
        <v>162</v>
      </c>
      <c r="K122" t="s">
        <v>24</v>
      </c>
      <c r="L122" s="4">
        <v>38</v>
      </c>
      <c r="M122" t="s">
        <v>160</v>
      </c>
      <c r="N122" t="s">
        <v>26</v>
      </c>
      <c r="O122" s="4">
        <v>1737</v>
      </c>
      <c r="P122">
        <v>0</v>
      </c>
      <c r="Q122" s="4">
        <v>1737</v>
      </c>
      <c r="R122" s="12">
        <f t="shared" si="1"/>
        <v>66006</v>
      </c>
      <c r="T122" t="s">
        <v>27</v>
      </c>
      <c r="U122" t="s">
        <v>161</v>
      </c>
      <c r="V122" s="4">
        <v>38</v>
      </c>
      <c r="W122">
        <v>0</v>
      </c>
    </row>
    <row r="123" spans="1:23" hidden="1" x14ac:dyDescent="0.25">
      <c r="A123" s="2">
        <v>45890.610752314817</v>
      </c>
      <c r="B123">
        <v>3986</v>
      </c>
      <c r="C123" t="s">
        <v>159</v>
      </c>
      <c r="D123" s="3">
        <v>45890</v>
      </c>
      <c r="E123" s="3">
        <v>46142</v>
      </c>
      <c r="F123" t="s">
        <v>21</v>
      </c>
      <c r="G123" t="s">
        <v>1493</v>
      </c>
      <c r="H123" t="s">
        <v>22</v>
      </c>
      <c r="I123" t="s">
        <v>43</v>
      </c>
      <c r="J123" t="s">
        <v>1491</v>
      </c>
      <c r="K123" t="s">
        <v>24</v>
      </c>
      <c r="L123" s="4">
        <v>38</v>
      </c>
      <c r="M123" t="s">
        <v>160</v>
      </c>
      <c r="N123" t="s">
        <v>26</v>
      </c>
      <c r="O123" s="4">
        <v>2583</v>
      </c>
      <c r="P123">
        <v>0</v>
      </c>
      <c r="Q123" s="4">
        <v>2583</v>
      </c>
      <c r="R123" s="12">
        <f t="shared" si="1"/>
        <v>98154</v>
      </c>
      <c r="T123" t="s">
        <v>27</v>
      </c>
      <c r="U123" t="s">
        <v>161</v>
      </c>
      <c r="V123" s="4">
        <v>38</v>
      </c>
      <c r="W123">
        <v>0</v>
      </c>
    </row>
    <row r="124" spans="1:23" hidden="1" x14ac:dyDescent="0.25">
      <c r="A124" s="2">
        <v>45890.610752314817</v>
      </c>
      <c r="B124">
        <v>3986</v>
      </c>
      <c r="C124" t="s">
        <v>159</v>
      </c>
      <c r="D124" s="3">
        <v>45890</v>
      </c>
      <c r="E124" s="3">
        <v>46142</v>
      </c>
      <c r="F124" t="s">
        <v>21</v>
      </c>
      <c r="G124" t="s">
        <v>1493</v>
      </c>
      <c r="H124" t="s">
        <v>22</v>
      </c>
      <c r="I124" t="s">
        <v>44</v>
      </c>
      <c r="J124" t="s">
        <v>1491</v>
      </c>
      <c r="K124" t="s">
        <v>31</v>
      </c>
      <c r="L124" s="4">
        <v>360</v>
      </c>
      <c r="M124" t="s">
        <v>160</v>
      </c>
      <c r="N124" t="s">
        <v>26</v>
      </c>
      <c r="O124" s="4">
        <v>837</v>
      </c>
      <c r="P124">
        <v>0</v>
      </c>
      <c r="Q124" s="4">
        <v>837</v>
      </c>
      <c r="R124" s="12">
        <f t="shared" si="1"/>
        <v>301320</v>
      </c>
      <c r="T124" t="s">
        <v>27</v>
      </c>
      <c r="U124" t="s">
        <v>161</v>
      </c>
      <c r="V124" s="4">
        <v>360</v>
      </c>
      <c r="W124">
        <v>0</v>
      </c>
    </row>
    <row r="125" spans="1:23" hidden="1" x14ac:dyDescent="0.25">
      <c r="A125" s="2">
        <v>45890.613553240742</v>
      </c>
      <c r="B125">
        <v>3987</v>
      </c>
      <c r="C125" t="s">
        <v>159</v>
      </c>
      <c r="D125" s="3">
        <v>45890</v>
      </c>
      <c r="E125" s="3">
        <v>46264</v>
      </c>
      <c r="F125" t="s">
        <v>21</v>
      </c>
      <c r="G125" t="s">
        <v>1493</v>
      </c>
      <c r="H125" t="s">
        <v>22</v>
      </c>
      <c r="I125" t="s">
        <v>44</v>
      </c>
      <c r="J125" t="s">
        <v>1491</v>
      </c>
      <c r="K125" t="s">
        <v>31</v>
      </c>
      <c r="L125" s="4">
        <v>360</v>
      </c>
      <c r="M125" t="s">
        <v>163</v>
      </c>
      <c r="N125" t="s">
        <v>46</v>
      </c>
      <c r="O125" s="4">
        <v>435</v>
      </c>
      <c r="P125">
        <v>0</v>
      </c>
      <c r="Q125" s="4">
        <v>435</v>
      </c>
      <c r="R125" s="12">
        <f t="shared" si="1"/>
        <v>156600</v>
      </c>
      <c r="T125" t="s">
        <v>27</v>
      </c>
      <c r="U125" t="s">
        <v>161</v>
      </c>
      <c r="V125" s="4">
        <v>360</v>
      </c>
      <c r="W125">
        <v>0</v>
      </c>
    </row>
    <row r="126" spans="1:23" hidden="1" x14ac:dyDescent="0.25">
      <c r="A126" s="2">
        <v>45890.613553240742</v>
      </c>
      <c r="B126">
        <v>3987</v>
      </c>
      <c r="C126" t="s">
        <v>159</v>
      </c>
      <c r="D126" s="3">
        <v>45890</v>
      </c>
      <c r="E126" s="3">
        <v>46264</v>
      </c>
      <c r="F126" t="s">
        <v>21</v>
      </c>
      <c r="H126" t="s">
        <v>22</v>
      </c>
      <c r="I126" t="s">
        <v>35</v>
      </c>
      <c r="J126" t="s">
        <v>1490</v>
      </c>
      <c r="K126" t="s">
        <v>24</v>
      </c>
      <c r="L126" s="4">
        <v>55</v>
      </c>
      <c r="M126" t="s">
        <v>163</v>
      </c>
      <c r="N126" t="s">
        <v>46</v>
      </c>
      <c r="O126" s="4">
        <v>200</v>
      </c>
      <c r="P126">
        <v>0</v>
      </c>
      <c r="Q126" s="4">
        <v>200</v>
      </c>
      <c r="R126" s="12">
        <f t="shared" si="1"/>
        <v>11000</v>
      </c>
      <c r="T126" t="s">
        <v>27</v>
      </c>
      <c r="U126" t="s">
        <v>161</v>
      </c>
      <c r="V126" s="4">
        <v>55</v>
      </c>
      <c r="W126">
        <v>0</v>
      </c>
    </row>
    <row r="127" spans="1:23" hidden="1" x14ac:dyDescent="0.25">
      <c r="A127" s="2">
        <v>45890.613553240742</v>
      </c>
      <c r="B127">
        <v>3987</v>
      </c>
      <c r="C127" t="s">
        <v>159</v>
      </c>
      <c r="D127" s="3">
        <v>45890</v>
      </c>
      <c r="E127" s="3">
        <v>46264</v>
      </c>
      <c r="F127" t="s">
        <v>21</v>
      </c>
      <c r="G127" t="s">
        <v>1493</v>
      </c>
      <c r="H127" t="s">
        <v>22</v>
      </c>
      <c r="I127" t="s">
        <v>41</v>
      </c>
      <c r="J127" t="s">
        <v>1491</v>
      </c>
      <c r="K127" t="s">
        <v>24</v>
      </c>
      <c r="L127" s="4">
        <v>280</v>
      </c>
      <c r="M127" t="s">
        <v>163</v>
      </c>
      <c r="N127" t="s">
        <v>46</v>
      </c>
      <c r="O127" s="4">
        <v>433</v>
      </c>
      <c r="P127">
        <v>0</v>
      </c>
      <c r="Q127" s="4">
        <v>433</v>
      </c>
      <c r="R127" s="12">
        <f t="shared" si="1"/>
        <v>121240</v>
      </c>
      <c r="T127" t="s">
        <v>27</v>
      </c>
      <c r="U127" t="s">
        <v>161</v>
      </c>
      <c r="V127" s="4">
        <v>280</v>
      </c>
      <c r="W127">
        <v>0</v>
      </c>
    </row>
    <row r="128" spans="1:23" hidden="1" x14ac:dyDescent="0.25">
      <c r="A128" s="2">
        <v>45890.613553240742</v>
      </c>
      <c r="B128">
        <v>3987</v>
      </c>
      <c r="C128" t="s">
        <v>159</v>
      </c>
      <c r="D128" s="3">
        <v>45890</v>
      </c>
      <c r="E128" s="3">
        <v>46264</v>
      </c>
      <c r="F128" t="s">
        <v>21</v>
      </c>
      <c r="G128" t="s">
        <v>1493</v>
      </c>
      <c r="H128" t="s">
        <v>22</v>
      </c>
      <c r="I128" t="s">
        <v>40</v>
      </c>
      <c r="J128" t="s">
        <v>1491</v>
      </c>
      <c r="K128" t="s">
        <v>24</v>
      </c>
      <c r="L128" s="4">
        <v>280</v>
      </c>
      <c r="M128" t="s">
        <v>163</v>
      </c>
      <c r="N128" t="s">
        <v>46</v>
      </c>
      <c r="O128" s="4">
        <v>433</v>
      </c>
      <c r="P128">
        <v>0</v>
      </c>
      <c r="Q128" s="4">
        <v>433</v>
      </c>
      <c r="R128" s="12">
        <f t="shared" si="1"/>
        <v>121240</v>
      </c>
      <c r="T128" t="s">
        <v>27</v>
      </c>
      <c r="U128" t="s">
        <v>161</v>
      </c>
      <c r="V128" s="4">
        <v>280</v>
      </c>
      <c r="W128">
        <v>0</v>
      </c>
    </row>
    <row r="129" spans="1:23" hidden="1" x14ac:dyDescent="0.25">
      <c r="A129" s="2">
        <v>45929.774421296293</v>
      </c>
      <c r="B129">
        <v>4104</v>
      </c>
      <c r="C129" t="s">
        <v>159</v>
      </c>
      <c r="D129" s="3">
        <v>45929</v>
      </c>
      <c r="E129" s="3">
        <v>46111</v>
      </c>
      <c r="F129" t="s">
        <v>21</v>
      </c>
      <c r="H129" t="s">
        <v>22</v>
      </c>
      <c r="I129" t="s">
        <v>36</v>
      </c>
      <c r="J129" t="s">
        <v>1490</v>
      </c>
      <c r="K129" t="s">
        <v>24</v>
      </c>
      <c r="L129" s="4">
        <v>55</v>
      </c>
      <c r="M129" t="s">
        <v>164</v>
      </c>
      <c r="N129" t="s">
        <v>26</v>
      </c>
      <c r="O129" s="4">
        <v>150</v>
      </c>
      <c r="P129">
        <v>0</v>
      </c>
      <c r="Q129" s="4">
        <v>150</v>
      </c>
      <c r="R129" s="12">
        <f t="shared" si="1"/>
        <v>8250</v>
      </c>
      <c r="T129" t="s">
        <v>117</v>
      </c>
      <c r="U129" t="s">
        <v>161</v>
      </c>
      <c r="V129" s="4">
        <v>55</v>
      </c>
      <c r="W129">
        <v>0</v>
      </c>
    </row>
    <row r="130" spans="1:23" hidden="1" x14ac:dyDescent="0.25">
      <c r="A130" s="2">
        <v>45930.329432870371</v>
      </c>
      <c r="B130">
        <v>4105</v>
      </c>
      <c r="C130" t="s">
        <v>159</v>
      </c>
      <c r="D130" s="3">
        <v>45929</v>
      </c>
      <c r="E130" s="3">
        <v>46111</v>
      </c>
      <c r="F130" t="s">
        <v>21</v>
      </c>
      <c r="H130" t="s">
        <v>22</v>
      </c>
      <c r="I130" t="s">
        <v>36</v>
      </c>
      <c r="J130" t="s">
        <v>1490</v>
      </c>
      <c r="K130" t="s">
        <v>24</v>
      </c>
      <c r="L130" s="4">
        <v>55</v>
      </c>
      <c r="M130" t="s">
        <v>165</v>
      </c>
      <c r="N130" t="s">
        <v>26</v>
      </c>
      <c r="O130" s="4">
        <v>140</v>
      </c>
      <c r="P130">
        <v>0</v>
      </c>
      <c r="Q130" s="4">
        <v>140</v>
      </c>
      <c r="R130" s="12">
        <f t="shared" si="1"/>
        <v>7700</v>
      </c>
      <c r="T130" t="s">
        <v>151</v>
      </c>
      <c r="U130" t="s">
        <v>161</v>
      </c>
      <c r="V130" s="4">
        <v>55</v>
      </c>
      <c r="W130">
        <v>0</v>
      </c>
    </row>
    <row r="131" spans="1:23" hidden="1" x14ac:dyDescent="0.25">
      <c r="A131" s="2">
        <v>45930.331041666665</v>
      </c>
      <c r="B131">
        <v>4106</v>
      </c>
      <c r="C131" t="s">
        <v>159</v>
      </c>
      <c r="D131" s="3">
        <v>45929</v>
      </c>
      <c r="E131" s="3">
        <v>46111</v>
      </c>
      <c r="F131" t="s">
        <v>21</v>
      </c>
      <c r="H131" t="s">
        <v>22</v>
      </c>
      <c r="I131" t="s">
        <v>36</v>
      </c>
      <c r="J131" t="s">
        <v>1490</v>
      </c>
      <c r="K131" t="s">
        <v>24</v>
      </c>
      <c r="L131" s="4">
        <v>55</v>
      </c>
      <c r="M131" t="s">
        <v>166</v>
      </c>
      <c r="N131" t="s">
        <v>26</v>
      </c>
      <c r="O131" s="4">
        <v>200</v>
      </c>
      <c r="P131">
        <v>0</v>
      </c>
      <c r="Q131" s="4">
        <v>200</v>
      </c>
      <c r="R131" s="12">
        <f t="shared" ref="R131:R194" si="2">Q131*L131</f>
        <v>11000</v>
      </c>
      <c r="T131" t="s">
        <v>27</v>
      </c>
      <c r="U131" t="s">
        <v>161</v>
      </c>
      <c r="V131" s="4">
        <v>55</v>
      </c>
      <c r="W131">
        <v>0</v>
      </c>
    </row>
    <row r="132" spans="1:23" hidden="1" x14ac:dyDescent="0.25">
      <c r="A132" s="2">
        <v>45930.5468287037</v>
      </c>
      <c r="B132">
        <v>4108</v>
      </c>
      <c r="C132" t="s">
        <v>159</v>
      </c>
      <c r="D132" s="3">
        <v>45930</v>
      </c>
      <c r="E132" s="3">
        <v>46142</v>
      </c>
      <c r="F132" t="s">
        <v>21</v>
      </c>
      <c r="H132" t="s">
        <v>22</v>
      </c>
      <c r="I132" t="s">
        <v>53</v>
      </c>
      <c r="K132" t="s">
        <v>24</v>
      </c>
      <c r="L132" s="4">
        <v>148</v>
      </c>
      <c r="M132" t="s">
        <v>167</v>
      </c>
      <c r="N132" t="s">
        <v>26</v>
      </c>
      <c r="O132" s="4">
        <v>10</v>
      </c>
      <c r="P132">
        <v>0</v>
      </c>
      <c r="Q132" s="4">
        <v>10</v>
      </c>
      <c r="R132" s="12">
        <f t="shared" si="2"/>
        <v>1480</v>
      </c>
      <c r="T132" t="s">
        <v>117</v>
      </c>
      <c r="U132" t="s">
        <v>161</v>
      </c>
      <c r="V132" s="4">
        <v>148</v>
      </c>
      <c r="W132">
        <v>0</v>
      </c>
    </row>
    <row r="133" spans="1:23" hidden="1" x14ac:dyDescent="0.25">
      <c r="A133" s="2">
        <v>45930.5468287037</v>
      </c>
      <c r="B133">
        <v>4108</v>
      </c>
      <c r="C133" t="s">
        <v>159</v>
      </c>
      <c r="D133" s="3">
        <v>45930</v>
      </c>
      <c r="E133" s="3">
        <v>46142</v>
      </c>
      <c r="F133" t="s">
        <v>21</v>
      </c>
      <c r="H133" t="s">
        <v>22</v>
      </c>
      <c r="I133" t="s">
        <v>57</v>
      </c>
      <c r="K133" t="s">
        <v>31</v>
      </c>
      <c r="L133" s="4">
        <v>100</v>
      </c>
      <c r="M133" t="s">
        <v>167</v>
      </c>
      <c r="N133" t="s">
        <v>26</v>
      </c>
      <c r="O133" s="4">
        <v>2</v>
      </c>
      <c r="P133">
        <v>0</v>
      </c>
      <c r="Q133" s="4">
        <v>2</v>
      </c>
      <c r="R133" s="12">
        <f t="shared" si="2"/>
        <v>200</v>
      </c>
      <c r="T133" t="s">
        <v>117</v>
      </c>
      <c r="U133" t="s">
        <v>161</v>
      </c>
      <c r="V133" s="4">
        <v>100</v>
      </c>
      <c r="W133">
        <v>0</v>
      </c>
    </row>
    <row r="134" spans="1:23" hidden="1" x14ac:dyDescent="0.25">
      <c r="A134" s="2">
        <v>45940.356932870367</v>
      </c>
      <c r="B134">
        <v>4142</v>
      </c>
      <c r="C134" t="s">
        <v>159</v>
      </c>
      <c r="D134" s="3">
        <v>45940</v>
      </c>
      <c r="E134" s="3">
        <v>46142</v>
      </c>
      <c r="F134" t="s">
        <v>21</v>
      </c>
      <c r="H134" t="s">
        <v>22</v>
      </c>
      <c r="I134" t="s">
        <v>53</v>
      </c>
      <c r="K134" t="s">
        <v>24</v>
      </c>
      <c r="L134" s="4">
        <v>148</v>
      </c>
      <c r="M134" t="s">
        <v>168</v>
      </c>
      <c r="N134" t="s">
        <v>26</v>
      </c>
      <c r="O134" s="4">
        <v>15</v>
      </c>
      <c r="P134">
        <v>0</v>
      </c>
      <c r="Q134" s="4">
        <v>15</v>
      </c>
      <c r="R134" s="12">
        <f t="shared" si="2"/>
        <v>2220</v>
      </c>
      <c r="T134" t="s">
        <v>27</v>
      </c>
      <c r="U134" t="s">
        <v>161</v>
      </c>
      <c r="V134" s="4">
        <v>148</v>
      </c>
      <c r="W134">
        <v>0</v>
      </c>
    </row>
    <row r="135" spans="1:23" hidden="1" x14ac:dyDescent="0.25">
      <c r="A135" s="2">
        <v>45946.649641203701</v>
      </c>
      <c r="B135">
        <v>4174</v>
      </c>
      <c r="C135" t="s">
        <v>159</v>
      </c>
      <c r="D135" s="3">
        <v>45946</v>
      </c>
      <c r="E135" s="3">
        <v>46264</v>
      </c>
      <c r="F135" t="s">
        <v>21</v>
      </c>
      <c r="H135" t="s">
        <v>22</v>
      </c>
      <c r="I135" t="s">
        <v>162</v>
      </c>
      <c r="K135" t="s">
        <v>24</v>
      </c>
      <c r="L135" s="4">
        <v>38</v>
      </c>
      <c r="M135" t="s">
        <v>169</v>
      </c>
      <c r="N135" t="s">
        <v>26</v>
      </c>
      <c r="O135" s="4">
        <v>219</v>
      </c>
      <c r="P135">
        <v>0</v>
      </c>
      <c r="Q135" s="4">
        <v>219</v>
      </c>
      <c r="R135" s="12">
        <f t="shared" si="2"/>
        <v>8322</v>
      </c>
      <c r="T135" t="s">
        <v>27</v>
      </c>
      <c r="U135" t="s">
        <v>161</v>
      </c>
      <c r="V135" s="4">
        <v>38</v>
      </c>
      <c r="W135">
        <v>0</v>
      </c>
    </row>
    <row r="136" spans="1:23" hidden="1" x14ac:dyDescent="0.25">
      <c r="A136" s="2">
        <v>45946.649641203701</v>
      </c>
      <c r="B136">
        <v>4174</v>
      </c>
      <c r="C136" t="s">
        <v>159</v>
      </c>
      <c r="D136" s="3">
        <v>45946</v>
      </c>
      <c r="E136" s="3">
        <v>46264</v>
      </c>
      <c r="F136" t="s">
        <v>21</v>
      </c>
      <c r="G136" t="s">
        <v>1493</v>
      </c>
      <c r="H136" t="s">
        <v>22</v>
      </c>
      <c r="I136" t="s">
        <v>38</v>
      </c>
      <c r="J136" t="s">
        <v>1491</v>
      </c>
      <c r="K136" t="s">
        <v>24</v>
      </c>
      <c r="L136" s="4">
        <v>45</v>
      </c>
      <c r="M136" t="s">
        <v>169</v>
      </c>
      <c r="N136" t="s">
        <v>26</v>
      </c>
      <c r="O136" s="4">
        <v>63</v>
      </c>
      <c r="P136">
        <v>0</v>
      </c>
      <c r="Q136" s="4">
        <v>63</v>
      </c>
      <c r="R136" s="12">
        <f t="shared" si="2"/>
        <v>2835</v>
      </c>
      <c r="T136" t="s">
        <v>27</v>
      </c>
      <c r="U136" t="s">
        <v>161</v>
      </c>
      <c r="V136" s="4">
        <v>45</v>
      </c>
      <c r="W136">
        <v>0</v>
      </c>
    </row>
    <row r="137" spans="1:23" hidden="1" x14ac:dyDescent="0.25">
      <c r="A137" s="2">
        <v>45946.649641203701</v>
      </c>
      <c r="B137">
        <v>4174</v>
      </c>
      <c r="C137" t="s">
        <v>159</v>
      </c>
      <c r="D137" s="3">
        <v>45946</v>
      </c>
      <c r="E137" s="3">
        <v>46264</v>
      </c>
      <c r="F137" t="s">
        <v>21</v>
      </c>
      <c r="G137" t="s">
        <v>1493</v>
      </c>
      <c r="H137" t="s">
        <v>22</v>
      </c>
      <c r="I137" t="s">
        <v>43</v>
      </c>
      <c r="J137" t="s">
        <v>1491</v>
      </c>
      <c r="K137" t="s">
        <v>24</v>
      </c>
      <c r="L137" s="4">
        <v>38</v>
      </c>
      <c r="M137" t="s">
        <v>169</v>
      </c>
      <c r="N137" t="s">
        <v>26</v>
      </c>
      <c r="O137" s="4">
        <v>117</v>
      </c>
      <c r="P137">
        <v>0</v>
      </c>
      <c r="Q137" s="4">
        <v>117</v>
      </c>
      <c r="R137" s="12">
        <f t="shared" si="2"/>
        <v>4446</v>
      </c>
      <c r="T137" t="s">
        <v>27</v>
      </c>
      <c r="U137" t="s">
        <v>161</v>
      </c>
      <c r="V137" s="4">
        <v>38</v>
      </c>
      <c r="W137">
        <v>0</v>
      </c>
    </row>
    <row r="138" spans="1:23" hidden="1" x14ac:dyDescent="0.25">
      <c r="A138" s="2">
        <v>45946.649641203701</v>
      </c>
      <c r="B138">
        <v>4174</v>
      </c>
      <c r="C138" t="s">
        <v>159</v>
      </c>
      <c r="D138" s="3">
        <v>45946</v>
      </c>
      <c r="E138" s="3">
        <v>46264</v>
      </c>
      <c r="F138" t="s">
        <v>21</v>
      </c>
      <c r="H138" t="s">
        <v>22</v>
      </c>
      <c r="I138" t="s">
        <v>170</v>
      </c>
      <c r="J138" t="s">
        <v>1490</v>
      </c>
      <c r="K138" t="s">
        <v>24</v>
      </c>
      <c r="L138" s="4">
        <v>22</v>
      </c>
      <c r="M138" t="s">
        <v>169</v>
      </c>
      <c r="N138" t="s">
        <v>26</v>
      </c>
      <c r="O138" s="4">
        <v>4000</v>
      </c>
      <c r="P138">
        <v>0</v>
      </c>
      <c r="Q138" s="4">
        <v>4000</v>
      </c>
      <c r="R138" s="12">
        <f t="shared" si="2"/>
        <v>88000</v>
      </c>
      <c r="T138" t="s">
        <v>27</v>
      </c>
      <c r="U138" t="s">
        <v>161</v>
      </c>
      <c r="V138" s="4">
        <v>22</v>
      </c>
      <c r="W138">
        <v>0</v>
      </c>
    </row>
    <row r="139" spans="1:23" hidden="1" x14ac:dyDescent="0.25">
      <c r="A139" s="2">
        <v>45946.649641203701</v>
      </c>
      <c r="B139">
        <v>4174</v>
      </c>
      <c r="C139" t="s">
        <v>159</v>
      </c>
      <c r="D139" s="3">
        <v>45946</v>
      </c>
      <c r="E139" s="3">
        <v>46264</v>
      </c>
      <c r="F139" t="s">
        <v>21</v>
      </c>
      <c r="H139" t="s">
        <v>22</v>
      </c>
      <c r="I139" t="s">
        <v>36</v>
      </c>
      <c r="J139" t="s">
        <v>1490</v>
      </c>
      <c r="K139" t="s">
        <v>24</v>
      </c>
      <c r="L139" s="4">
        <v>55</v>
      </c>
      <c r="M139" t="s">
        <v>169</v>
      </c>
      <c r="N139" t="s">
        <v>26</v>
      </c>
      <c r="O139" s="4">
        <v>1600</v>
      </c>
      <c r="P139">
        <v>0</v>
      </c>
      <c r="Q139" s="4">
        <v>1600</v>
      </c>
      <c r="R139" s="12">
        <f t="shared" si="2"/>
        <v>88000</v>
      </c>
      <c r="T139" t="s">
        <v>27</v>
      </c>
      <c r="U139" t="s">
        <v>161</v>
      </c>
      <c r="V139" s="4">
        <v>55</v>
      </c>
      <c r="W139">
        <v>0</v>
      </c>
    </row>
    <row r="140" spans="1:23" hidden="1" x14ac:dyDescent="0.25">
      <c r="A140" s="2">
        <v>45946.649641203701</v>
      </c>
      <c r="B140">
        <v>4174</v>
      </c>
      <c r="C140" t="s">
        <v>159</v>
      </c>
      <c r="D140" s="3">
        <v>45946</v>
      </c>
      <c r="E140" s="3">
        <v>46264</v>
      </c>
      <c r="F140" t="s">
        <v>21</v>
      </c>
      <c r="G140" t="s">
        <v>1493</v>
      </c>
      <c r="H140" t="s">
        <v>22</v>
      </c>
      <c r="I140" t="s">
        <v>41</v>
      </c>
      <c r="J140" t="s">
        <v>1491</v>
      </c>
      <c r="K140" t="s">
        <v>24</v>
      </c>
      <c r="L140" s="4">
        <v>280</v>
      </c>
      <c r="M140" t="s">
        <v>169</v>
      </c>
      <c r="N140" t="s">
        <v>26</v>
      </c>
      <c r="O140" s="4">
        <v>47</v>
      </c>
      <c r="P140">
        <v>0</v>
      </c>
      <c r="Q140" s="4">
        <v>47</v>
      </c>
      <c r="R140" s="12">
        <f t="shared" si="2"/>
        <v>13160</v>
      </c>
      <c r="T140" t="s">
        <v>27</v>
      </c>
      <c r="U140" t="s">
        <v>161</v>
      </c>
      <c r="V140" s="4">
        <v>280</v>
      </c>
      <c r="W140">
        <v>0</v>
      </c>
    </row>
    <row r="141" spans="1:23" hidden="1" x14ac:dyDescent="0.25">
      <c r="A141" s="2">
        <v>45946.649641203701</v>
      </c>
      <c r="B141">
        <v>4174</v>
      </c>
      <c r="C141" t="s">
        <v>159</v>
      </c>
      <c r="D141" s="3">
        <v>45946</v>
      </c>
      <c r="E141" s="3">
        <v>46264</v>
      </c>
      <c r="F141" t="s">
        <v>21</v>
      </c>
      <c r="G141" t="s">
        <v>1493</v>
      </c>
      <c r="H141" t="s">
        <v>22</v>
      </c>
      <c r="I141" t="s">
        <v>40</v>
      </c>
      <c r="J141" t="s">
        <v>1491</v>
      </c>
      <c r="K141" t="s">
        <v>24</v>
      </c>
      <c r="L141" s="4">
        <v>280</v>
      </c>
      <c r="M141" t="s">
        <v>169</v>
      </c>
      <c r="N141" t="s">
        <v>26</v>
      </c>
      <c r="O141" s="4">
        <v>47</v>
      </c>
      <c r="P141">
        <v>0</v>
      </c>
      <c r="Q141" s="4">
        <v>47</v>
      </c>
      <c r="R141" s="12">
        <f t="shared" si="2"/>
        <v>13160</v>
      </c>
      <c r="T141" t="s">
        <v>27</v>
      </c>
      <c r="U141" t="s">
        <v>161</v>
      </c>
      <c r="V141" s="4">
        <v>280</v>
      </c>
      <c r="W141">
        <v>0</v>
      </c>
    </row>
    <row r="142" spans="1:23" hidden="1" x14ac:dyDescent="0.25">
      <c r="A142" s="2">
        <v>45946.649641203701</v>
      </c>
      <c r="B142">
        <v>4174</v>
      </c>
      <c r="C142" t="s">
        <v>159</v>
      </c>
      <c r="D142" s="3">
        <v>45946</v>
      </c>
      <c r="E142" s="3">
        <v>46264</v>
      </c>
      <c r="F142" t="s">
        <v>21</v>
      </c>
      <c r="G142" t="s">
        <v>1493</v>
      </c>
      <c r="H142" t="s">
        <v>22</v>
      </c>
      <c r="I142" t="s">
        <v>44</v>
      </c>
      <c r="J142" t="s">
        <v>1491</v>
      </c>
      <c r="K142" t="s">
        <v>31</v>
      </c>
      <c r="L142" s="4">
        <v>360</v>
      </c>
      <c r="M142" t="s">
        <v>169</v>
      </c>
      <c r="N142" t="s">
        <v>26</v>
      </c>
      <c r="O142" s="4">
        <v>45</v>
      </c>
      <c r="P142">
        <v>0</v>
      </c>
      <c r="Q142" s="4">
        <v>45</v>
      </c>
      <c r="R142" s="12">
        <f t="shared" si="2"/>
        <v>16200</v>
      </c>
      <c r="T142" t="s">
        <v>27</v>
      </c>
      <c r="U142" t="s">
        <v>161</v>
      </c>
      <c r="V142" s="4">
        <v>360</v>
      </c>
      <c r="W142">
        <v>0</v>
      </c>
    </row>
    <row r="143" spans="1:23" hidden="1" x14ac:dyDescent="0.25">
      <c r="A143" s="2">
        <v>45966.389062499999</v>
      </c>
      <c r="B143">
        <v>4237</v>
      </c>
      <c r="C143" t="s">
        <v>159</v>
      </c>
      <c r="D143" s="3">
        <v>45966</v>
      </c>
      <c r="E143" s="3">
        <v>46142</v>
      </c>
      <c r="F143" t="s">
        <v>21</v>
      </c>
      <c r="H143" t="s">
        <v>22</v>
      </c>
      <c r="I143" t="s">
        <v>171</v>
      </c>
      <c r="K143" t="s">
        <v>24</v>
      </c>
      <c r="L143" s="4">
        <v>38</v>
      </c>
      <c r="M143" t="s">
        <v>172</v>
      </c>
      <c r="N143" t="s">
        <v>26</v>
      </c>
      <c r="O143" s="4">
        <v>252</v>
      </c>
      <c r="P143">
        <v>0</v>
      </c>
      <c r="Q143" s="4">
        <v>252</v>
      </c>
      <c r="R143" s="12">
        <f t="shared" si="2"/>
        <v>9576</v>
      </c>
      <c r="T143" t="s">
        <v>117</v>
      </c>
      <c r="U143" t="s">
        <v>161</v>
      </c>
      <c r="V143" s="4">
        <v>38</v>
      </c>
      <c r="W143">
        <v>0</v>
      </c>
    </row>
    <row r="144" spans="1:23" hidden="1" x14ac:dyDescent="0.25">
      <c r="A144" s="2">
        <v>45966.572071759256</v>
      </c>
      <c r="B144">
        <v>4238</v>
      </c>
      <c r="C144" t="s">
        <v>159</v>
      </c>
      <c r="D144" s="3">
        <v>45966</v>
      </c>
      <c r="E144" s="3">
        <v>46264</v>
      </c>
      <c r="F144" t="s">
        <v>21</v>
      </c>
      <c r="H144" t="s">
        <v>22</v>
      </c>
      <c r="I144" t="s">
        <v>173</v>
      </c>
      <c r="K144" t="s">
        <v>24</v>
      </c>
      <c r="L144" s="4">
        <v>25</v>
      </c>
      <c r="M144" t="s">
        <v>174</v>
      </c>
      <c r="N144" t="s">
        <v>26</v>
      </c>
      <c r="O144" s="4">
        <v>2300</v>
      </c>
      <c r="P144">
        <v>0</v>
      </c>
      <c r="Q144" s="4">
        <v>2300</v>
      </c>
      <c r="R144" s="12">
        <f t="shared" si="2"/>
        <v>57500</v>
      </c>
      <c r="T144" t="s">
        <v>27</v>
      </c>
      <c r="U144" t="s">
        <v>161</v>
      </c>
      <c r="V144" s="4">
        <v>25</v>
      </c>
      <c r="W144">
        <v>0</v>
      </c>
    </row>
    <row r="145" spans="1:23" hidden="1" x14ac:dyDescent="0.25">
      <c r="A145" s="2">
        <v>45980.40116898148</v>
      </c>
      <c r="B145">
        <v>4280</v>
      </c>
      <c r="C145" t="s">
        <v>159</v>
      </c>
      <c r="D145" s="3">
        <v>45980</v>
      </c>
      <c r="E145" s="3">
        <v>46264</v>
      </c>
      <c r="F145" t="s">
        <v>21</v>
      </c>
      <c r="H145" t="s">
        <v>22</v>
      </c>
      <c r="I145" t="s">
        <v>173</v>
      </c>
      <c r="K145" t="s">
        <v>24</v>
      </c>
      <c r="L145" s="4">
        <v>25</v>
      </c>
      <c r="M145" t="s">
        <v>175</v>
      </c>
      <c r="N145" t="s">
        <v>26</v>
      </c>
      <c r="O145" s="4">
        <v>2975</v>
      </c>
      <c r="P145">
        <v>0</v>
      </c>
      <c r="Q145" s="4">
        <v>2975</v>
      </c>
      <c r="R145" s="12">
        <f t="shared" si="2"/>
        <v>74375</v>
      </c>
      <c r="T145" t="s">
        <v>27</v>
      </c>
      <c r="U145" t="s">
        <v>161</v>
      </c>
      <c r="V145" s="4">
        <v>25</v>
      </c>
      <c r="W145">
        <v>0</v>
      </c>
    </row>
    <row r="146" spans="1:23" hidden="1" x14ac:dyDescent="0.25">
      <c r="A146" s="2">
        <v>45980.40116898148</v>
      </c>
      <c r="B146">
        <v>4280</v>
      </c>
      <c r="C146" t="s">
        <v>159</v>
      </c>
      <c r="D146" s="3">
        <v>45980</v>
      </c>
      <c r="E146" s="3">
        <v>46264</v>
      </c>
      <c r="F146" t="s">
        <v>21</v>
      </c>
      <c r="H146" t="s">
        <v>22</v>
      </c>
      <c r="I146" t="s">
        <v>176</v>
      </c>
      <c r="K146" t="s">
        <v>24</v>
      </c>
      <c r="L146" s="4">
        <v>25</v>
      </c>
      <c r="M146" t="s">
        <v>175</v>
      </c>
      <c r="N146" t="s">
        <v>26</v>
      </c>
      <c r="O146" s="4">
        <v>10</v>
      </c>
      <c r="P146">
        <v>0</v>
      </c>
      <c r="Q146" s="4">
        <v>10</v>
      </c>
      <c r="R146" s="12">
        <f t="shared" si="2"/>
        <v>250</v>
      </c>
      <c r="T146" t="s">
        <v>27</v>
      </c>
      <c r="U146" t="s">
        <v>161</v>
      </c>
      <c r="V146" s="4">
        <v>25</v>
      </c>
      <c r="W146">
        <v>0</v>
      </c>
    </row>
    <row r="147" spans="1:23" hidden="1" x14ac:dyDescent="0.25">
      <c r="A147" s="2">
        <v>45994.676504629628</v>
      </c>
      <c r="B147">
        <v>4322</v>
      </c>
      <c r="C147" t="s">
        <v>159</v>
      </c>
      <c r="D147" s="3">
        <v>45994</v>
      </c>
      <c r="E147" s="3">
        <v>46264</v>
      </c>
      <c r="F147" t="s">
        <v>21</v>
      </c>
      <c r="H147" t="s">
        <v>22</v>
      </c>
      <c r="I147" t="s">
        <v>177</v>
      </c>
      <c r="J147" t="s">
        <v>1490</v>
      </c>
      <c r="K147" t="s">
        <v>24</v>
      </c>
      <c r="L147" s="4">
        <v>22</v>
      </c>
      <c r="M147" t="s">
        <v>178</v>
      </c>
      <c r="N147" t="s">
        <v>26</v>
      </c>
      <c r="O147" s="4">
        <v>2000</v>
      </c>
      <c r="P147">
        <v>0</v>
      </c>
      <c r="Q147" s="4">
        <v>2000</v>
      </c>
      <c r="R147" s="12">
        <f t="shared" si="2"/>
        <v>44000</v>
      </c>
      <c r="T147" t="s">
        <v>27</v>
      </c>
      <c r="U147" t="s">
        <v>161</v>
      </c>
      <c r="V147" s="4">
        <v>22</v>
      </c>
      <c r="W147">
        <v>0</v>
      </c>
    </row>
    <row r="148" spans="1:23" hidden="1" x14ac:dyDescent="0.25">
      <c r="A148" s="2">
        <v>45994.676504629628</v>
      </c>
      <c r="B148">
        <v>4322</v>
      </c>
      <c r="C148" t="s">
        <v>159</v>
      </c>
      <c r="D148" s="3">
        <v>45994</v>
      </c>
      <c r="E148" s="3">
        <v>46264</v>
      </c>
      <c r="F148" t="s">
        <v>21</v>
      </c>
      <c r="H148" t="s">
        <v>22</v>
      </c>
      <c r="I148" t="s">
        <v>179</v>
      </c>
      <c r="J148" t="s">
        <v>1490</v>
      </c>
      <c r="K148" t="s">
        <v>31</v>
      </c>
      <c r="L148" s="4">
        <v>4.9000000000000004</v>
      </c>
      <c r="M148" t="s">
        <v>178</v>
      </c>
      <c r="N148" t="s">
        <v>26</v>
      </c>
      <c r="O148" s="4">
        <v>8000</v>
      </c>
      <c r="P148">
        <v>0</v>
      </c>
      <c r="Q148" s="4">
        <v>8000</v>
      </c>
      <c r="R148" s="12">
        <f t="shared" si="2"/>
        <v>39200</v>
      </c>
      <c r="T148" t="s">
        <v>27</v>
      </c>
      <c r="U148" t="s">
        <v>161</v>
      </c>
      <c r="V148" s="4">
        <v>4.9000000000000004</v>
      </c>
      <c r="W148">
        <v>0</v>
      </c>
    </row>
    <row r="149" spans="1:23" hidden="1" x14ac:dyDescent="0.25">
      <c r="A149" s="2">
        <v>46000.580405092594</v>
      </c>
      <c r="B149">
        <v>4337</v>
      </c>
      <c r="C149" t="s">
        <v>159</v>
      </c>
      <c r="D149" s="3">
        <v>46000</v>
      </c>
      <c r="E149" s="3">
        <v>46264</v>
      </c>
      <c r="F149" t="s">
        <v>21</v>
      </c>
      <c r="H149" t="s">
        <v>22</v>
      </c>
      <c r="I149" t="s">
        <v>36</v>
      </c>
      <c r="J149" t="s">
        <v>1490</v>
      </c>
      <c r="K149" t="s">
        <v>24</v>
      </c>
      <c r="L149" s="4">
        <v>55</v>
      </c>
      <c r="M149" t="s">
        <v>180</v>
      </c>
      <c r="N149" t="s">
        <v>26</v>
      </c>
      <c r="O149" s="4">
        <v>4000</v>
      </c>
      <c r="P149">
        <v>0</v>
      </c>
      <c r="Q149" s="4">
        <v>4000</v>
      </c>
      <c r="R149" s="12">
        <f t="shared" si="2"/>
        <v>220000</v>
      </c>
      <c r="T149" t="s">
        <v>27</v>
      </c>
      <c r="U149" t="s">
        <v>161</v>
      </c>
      <c r="V149" s="4">
        <v>55</v>
      </c>
      <c r="W149">
        <v>0</v>
      </c>
    </row>
    <row r="150" spans="1:23" hidden="1" x14ac:dyDescent="0.25">
      <c r="A150" s="2">
        <v>46000.580405092594</v>
      </c>
      <c r="B150">
        <v>4337</v>
      </c>
      <c r="C150" t="s">
        <v>159</v>
      </c>
      <c r="D150" s="3">
        <v>46000</v>
      </c>
      <c r="E150" s="3">
        <v>46264</v>
      </c>
      <c r="F150" t="s">
        <v>21</v>
      </c>
      <c r="H150" t="s">
        <v>22</v>
      </c>
      <c r="I150" t="s">
        <v>181</v>
      </c>
      <c r="J150" t="s">
        <v>1490</v>
      </c>
      <c r="K150" t="s">
        <v>24</v>
      </c>
      <c r="L150" s="4">
        <v>80</v>
      </c>
      <c r="M150" t="s">
        <v>180</v>
      </c>
      <c r="N150" t="s">
        <v>26</v>
      </c>
      <c r="O150" s="4">
        <v>3800</v>
      </c>
      <c r="P150">
        <v>0</v>
      </c>
      <c r="Q150" s="4">
        <v>3800</v>
      </c>
      <c r="R150" s="12">
        <f t="shared" si="2"/>
        <v>304000</v>
      </c>
      <c r="T150" t="s">
        <v>27</v>
      </c>
      <c r="U150" t="s">
        <v>161</v>
      </c>
      <c r="V150" s="4">
        <v>80</v>
      </c>
      <c r="W150">
        <v>0</v>
      </c>
    </row>
    <row r="151" spans="1:23" hidden="1" x14ac:dyDescent="0.25">
      <c r="A151" s="2">
        <v>46015.330277777779</v>
      </c>
      <c r="B151">
        <v>4379</v>
      </c>
      <c r="C151" t="s">
        <v>159</v>
      </c>
      <c r="D151" s="3">
        <v>46014</v>
      </c>
      <c r="E151" s="3">
        <v>46264</v>
      </c>
      <c r="F151" t="s">
        <v>21</v>
      </c>
      <c r="G151" t="s">
        <v>1493</v>
      </c>
      <c r="H151" t="s">
        <v>22</v>
      </c>
      <c r="I151" t="s">
        <v>92</v>
      </c>
      <c r="J151" t="s">
        <v>1491</v>
      </c>
      <c r="K151" t="s">
        <v>31</v>
      </c>
      <c r="L151" s="4">
        <v>345</v>
      </c>
      <c r="M151" t="s">
        <v>182</v>
      </c>
      <c r="N151" t="s">
        <v>26</v>
      </c>
      <c r="O151" s="4">
        <v>900</v>
      </c>
      <c r="P151">
        <v>0</v>
      </c>
      <c r="Q151" s="4">
        <v>900</v>
      </c>
      <c r="R151" s="12">
        <f t="shared" si="2"/>
        <v>310500</v>
      </c>
      <c r="T151" t="s">
        <v>27</v>
      </c>
      <c r="U151" t="s">
        <v>161</v>
      </c>
      <c r="V151" s="4">
        <v>345</v>
      </c>
      <c r="W151">
        <v>0</v>
      </c>
    </row>
    <row r="152" spans="1:23" hidden="1" x14ac:dyDescent="0.25">
      <c r="A152" s="2">
        <v>45769.350763888891</v>
      </c>
      <c r="B152">
        <v>3817</v>
      </c>
      <c r="C152" t="s">
        <v>183</v>
      </c>
      <c r="D152" s="3">
        <v>45769</v>
      </c>
      <c r="E152" s="3">
        <v>46111</v>
      </c>
      <c r="F152" t="s">
        <v>143</v>
      </c>
      <c r="G152" t="s">
        <v>1493</v>
      </c>
      <c r="H152" t="s">
        <v>22</v>
      </c>
      <c r="I152" t="s">
        <v>38</v>
      </c>
      <c r="J152" t="s">
        <v>1491</v>
      </c>
      <c r="K152" t="s">
        <v>24</v>
      </c>
      <c r="L152" s="4">
        <v>47</v>
      </c>
      <c r="M152" t="s">
        <v>184</v>
      </c>
      <c r="N152" t="s">
        <v>26</v>
      </c>
      <c r="O152" s="4">
        <v>120</v>
      </c>
      <c r="P152">
        <v>0</v>
      </c>
      <c r="Q152" s="4">
        <v>120</v>
      </c>
      <c r="R152" s="12">
        <f t="shared" si="2"/>
        <v>5640</v>
      </c>
      <c r="T152" t="s">
        <v>145</v>
      </c>
      <c r="U152" t="s">
        <v>185</v>
      </c>
      <c r="V152" s="4">
        <v>47</v>
      </c>
      <c r="W152">
        <v>0</v>
      </c>
    </row>
    <row r="153" spans="1:23" hidden="1" x14ac:dyDescent="0.25">
      <c r="A153" s="2">
        <v>45769.350763888891</v>
      </c>
      <c r="B153">
        <v>3817</v>
      </c>
      <c r="C153" t="s">
        <v>183</v>
      </c>
      <c r="D153" s="3">
        <v>45769</v>
      </c>
      <c r="E153" s="3">
        <v>46111</v>
      </c>
      <c r="F153" t="s">
        <v>143</v>
      </c>
      <c r="G153" t="s">
        <v>1493</v>
      </c>
      <c r="H153" t="s">
        <v>22</v>
      </c>
      <c r="I153" t="s">
        <v>43</v>
      </c>
      <c r="J153" t="s">
        <v>1491</v>
      </c>
      <c r="K153" t="s">
        <v>24</v>
      </c>
      <c r="L153" s="4">
        <v>41</v>
      </c>
      <c r="M153" t="s">
        <v>184</v>
      </c>
      <c r="N153" t="s">
        <v>26</v>
      </c>
      <c r="O153" s="4">
        <v>330</v>
      </c>
      <c r="P153">
        <v>0</v>
      </c>
      <c r="Q153" s="4">
        <v>330</v>
      </c>
      <c r="R153" s="12">
        <f t="shared" si="2"/>
        <v>13530</v>
      </c>
      <c r="T153" t="s">
        <v>145</v>
      </c>
      <c r="U153" t="s">
        <v>185</v>
      </c>
      <c r="V153" s="4">
        <v>41</v>
      </c>
      <c r="W153">
        <v>0</v>
      </c>
    </row>
    <row r="154" spans="1:23" hidden="1" x14ac:dyDescent="0.25">
      <c r="A154" s="2">
        <v>45769.350763888891</v>
      </c>
      <c r="B154">
        <v>3817</v>
      </c>
      <c r="C154" t="s">
        <v>183</v>
      </c>
      <c r="D154" s="3">
        <v>45769</v>
      </c>
      <c r="E154" s="3">
        <v>46111</v>
      </c>
      <c r="F154" t="s">
        <v>143</v>
      </c>
      <c r="G154" t="s">
        <v>1493</v>
      </c>
      <c r="H154" t="s">
        <v>22</v>
      </c>
      <c r="I154" t="s">
        <v>59</v>
      </c>
      <c r="J154" t="s">
        <v>1491</v>
      </c>
      <c r="K154" t="s">
        <v>24</v>
      </c>
      <c r="L154" s="4">
        <v>41</v>
      </c>
      <c r="M154" t="s">
        <v>184</v>
      </c>
      <c r="N154" t="s">
        <v>26</v>
      </c>
      <c r="O154" s="4">
        <v>330</v>
      </c>
      <c r="P154">
        <v>0</v>
      </c>
      <c r="Q154" s="4">
        <v>330</v>
      </c>
      <c r="R154" s="12">
        <f t="shared" si="2"/>
        <v>13530</v>
      </c>
      <c r="T154" t="s">
        <v>145</v>
      </c>
      <c r="U154" t="s">
        <v>185</v>
      </c>
      <c r="V154" s="4">
        <v>41</v>
      </c>
      <c r="W154">
        <v>0</v>
      </c>
    </row>
    <row r="155" spans="1:23" hidden="1" x14ac:dyDescent="0.25">
      <c r="A155" s="2">
        <v>45769.350763888891</v>
      </c>
      <c r="B155">
        <v>3817</v>
      </c>
      <c r="C155" t="s">
        <v>183</v>
      </c>
      <c r="D155" s="3">
        <v>45769</v>
      </c>
      <c r="E155" s="3">
        <v>46111</v>
      </c>
      <c r="F155" t="s">
        <v>143</v>
      </c>
      <c r="H155" t="s">
        <v>22</v>
      </c>
      <c r="I155" t="s">
        <v>42</v>
      </c>
      <c r="J155" t="s">
        <v>1490</v>
      </c>
      <c r="K155" t="s">
        <v>24</v>
      </c>
      <c r="L155" s="4">
        <v>205</v>
      </c>
      <c r="M155" t="s">
        <v>184</v>
      </c>
      <c r="N155" t="s">
        <v>26</v>
      </c>
      <c r="O155" s="4">
        <v>115</v>
      </c>
      <c r="P155">
        <v>0</v>
      </c>
      <c r="Q155" s="4">
        <v>115</v>
      </c>
      <c r="R155" s="12">
        <f t="shared" si="2"/>
        <v>23575</v>
      </c>
      <c r="T155" t="s">
        <v>145</v>
      </c>
      <c r="U155" t="s">
        <v>185</v>
      </c>
      <c r="V155" s="4">
        <v>205</v>
      </c>
      <c r="W155">
        <v>0</v>
      </c>
    </row>
    <row r="156" spans="1:23" hidden="1" x14ac:dyDescent="0.25">
      <c r="A156" s="2">
        <v>45769.350763888891</v>
      </c>
      <c r="B156">
        <v>3817</v>
      </c>
      <c r="C156" t="s">
        <v>183</v>
      </c>
      <c r="D156" s="3">
        <v>45769</v>
      </c>
      <c r="E156" s="3">
        <v>46111</v>
      </c>
      <c r="F156" t="s">
        <v>143</v>
      </c>
      <c r="G156" t="s">
        <v>1493</v>
      </c>
      <c r="H156" t="s">
        <v>22</v>
      </c>
      <c r="I156" t="s">
        <v>44</v>
      </c>
      <c r="J156" t="s">
        <v>1491</v>
      </c>
      <c r="K156" t="s">
        <v>31</v>
      </c>
      <c r="L156" s="4">
        <v>365</v>
      </c>
      <c r="M156" t="s">
        <v>184</v>
      </c>
      <c r="N156" t="s">
        <v>26</v>
      </c>
      <c r="O156" s="4">
        <v>55</v>
      </c>
      <c r="P156">
        <v>0</v>
      </c>
      <c r="Q156" s="4">
        <v>55</v>
      </c>
      <c r="R156" s="12">
        <f t="shared" si="2"/>
        <v>20075</v>
      </c>
      <c r="T156" t="s">
        <v>145</v>
      </c>
      <c r="U156" t="s">
        <v>185</v>
      </c>
      <c r="V156" s="4">
        <v>365</v>
      </c>
      <c r="W156">
        <v>0</v>
      </c>
    </row>
    <row r="157" spans="1:23" hidden="1" x14ac:dyDescent="0.25">
      <c r="A157" s="2">
        <v>45769.350763888891</v>
      </c>
      <c r="B157">
        <v>3817</v>
      </c>
      <c r="C157" t="s">
        <v>183</v>
      </c>
      <c r="D157" s="3">
        <v>45769</v>
      </c>
      <c r="E157" s="3">
        <v>46111</v>
      </c>
      <c r="F157" t="s">
        <v>143</v>
      </c>
      <c r="G157" t="s">
        <v>1493</v>
      </c>
      <c r="H157" t="s">
        <v>22</v>
      </c>
      <c r="I157" t="s">
        <v>41</v>
      </c>
      <c r="J157" t="s">
        <v>1491</v>
      </c>
      <c r="K157" t="s">
        <v>24</v>
      </c>
      <c r="L157" s="4">
        <v>330</v>
      </c>
      <c r="M157" t="s">
        <v>184</v>
      </c>
      <c r="N157" t="s">
        <v>26</v>
      </c>
      <c r="O157" s="4">
        <v>65</v>
      </c>
      <c r="P157">
        <v>0</v>
      </c>
      <c r="Q157" s="4">
        <v>65</v>
      </c>
      <c r="R157" s="12">
        <f t="shared" si="2"/>
        <v>21450</v>
      </c>
      <c r="T157" t="s">
        <v>145</v>
      </c>
      <c r="U157" t="s">
        <v>185</v>
      </c>
      <c r="V157" s="4">
        <v>330</v>
      </c>
      <c r="W157">
        <v>0</v>
      </c>
    </row>
    <row r="158" spans="1:23" hidden="1" x14ac:dyDescent="0.25">
      <c r="A158" s="2">
        <v>45769.350763888891</v>
      </c>
      <c r="B158">
        <v>3817</v>
      </c>
      <c r="C158" t="s">
        <v>183</v>
      </c>
      <c r="D158" s="3">
        <v>45769</v>
      </c>
      <c r="E158" s="3">
        <v>46111</v>
      </c>
      <c r="F158" t="s">
        <v>143</v>
      </c>
      <c r="G158" t="s">
        <v>1493</v>
      </c>
      <c r="H158" t="s">
        <v>22</v>
      </c>
      <c r="I158" t="s">
        <v>101</v>
      </c>
      <c r="J158" t="s">
        <v>1491</v>
      </c>
      <c r="K158" t="s">
        <v>31</v>
      </c>
      <c r="L158" s="4">
        <v>580</v>
      </c>
      <c r="M158" t="s">
        <v>184</v>
      </c>
      <c r="N158" t="s">
        <v>26</v>
      </c>
      <c r="O158" s="4">
        <v>10</v>
      </c>
      <c r="P158">
        <v>0</v>
      </c>
      <c r="Q158" s="4">
        <v>10</v>
      </c>
      <c r="R158" s="12">
        <f t="shared" si="2"/>
        <v>5800</v>
      </c>
      <c r="T158" t="s">
        <v>145</v>
      </c>
      <c r="U158" t="s">
        <v>185</v>
      </c>
      <c r="V158" s="4">
        <v>580</v>
      </c>
      <c r="W158">
        <v>0</v>
      </c>
    </row>
    <row r="159" spans="1:23" hidden="1" x14ac:dyDescent="0.25">
      <c r="A159" s="2">
        <v>45769.350763888891</v>
      </c>
      <c r="B159">
        <v>3817</v>
      </c>
      <c r="C159" t="s">
        <v>183</v>
      </c>
      <c r="D159" s="3">
        <v>45769</v>
      </c>
      <c r="E159" s="3">
        <v>46111</v>
      </c>
      <c r="F159" t="s">
        <v>143</v>
      </c>
      <c r="G159" t="s">
        <v>1493</v>
      </c>
      <c r="H159" t="s">
        <v>22</v>
      </c>
      <c r="I159" t="s">
        <v>40</v>
      </c>
      <c r="J159" t="s">
        <v>1491</v>
      </c>
      <c r="K159" t="s">
        <v>24</v>
      </c>
      <c r="L159" s="4">
        <v>320</v>
      </c>
      <c r="M159" t="s">
        <v>184</v>
      </c>
      <c r="N159" t="s">
        <v>26</v>
      </c>
      <c r="O159" s="4">
        <v>45</v>
      </c>
      <c r="P159">
        <v>0</v>
      </c>
      <c r="Q159" s="4">
        <v>45</v>
      </c>
      <c r="R159" s="12">
        <f t="shared" si="2"/>
        <v>14400</v>
      </c>
      <c r="T159" t="s">
        <v>145</v>
      </c>
      <c r="U159" t="s">
        <v>185</v>
      </c>
      <c r="V159" s="4">
        <v>320</v>
      </c>
      <c r="W159">
        <v>0</v>
      </c>
    </row>
    <row r="160" spans="1:23" hidden="1" x14ac:dyDescent="0.25">
      <c r="A160" s="2">
        <v>45785.439340277779</v>
      </c>
      <c r="B160">
        <v>3835</v>
      </c>
      <c r="C160" t="s">
        <v>183</v>
      </c>
      <c r="D160" s="3">
        <v>45785</v>
      </c>
      <c r="E160" s="3">
        <v>46111</v>
      </c>
      <c r="F160" t="s">
        <v>143</v>
      </c>
      <c r="H160" t="s">
        <v>22</v>
      </c>
      <c r="I160" t="s">
        <v>186</v>
      </c>
      <c r="K160" t="s">
        <v>24</v>
      </c>
      <c r="L160" s="4">
        <v>70</v>
      </c>
      <c r="M160" t="s">
        <v>187</v>
      </c>
      <c r="N160" t="s">
        <v>26</v>
      </c>
      <c r="O160" s="4">
        <v>340</v>
      </c>
      <c r="P160">
        <v>0</v>
      </c>
      <c r="Q160" s="4">
        <v>340</v>
      </c>
      <c r="R160" s="12">
        <f t="shared" si="2"/>
        <v>23800</v>
      </c>
      <c r="T160" t="s">
        <v>145</v>
      </c>
      <c r="U160" t="s">
        <v>185</v>
      </c>
      <c r="V160" s="4">
        <v>70</v>
      </c>
      <c r="W160">
        <v>0</v>
      </c>
    </row>
    <row r="161" spans="1:23" hidden="1" x14ac:dyDescent="0.25">
      <c r="A161" s="2">
        <v>45821.619155092594</v>
      </c>
      <c r="B161">
        <v>3893</v>
      </c>
      <c r="C161" t="s">
        <v>183</v>
      </c>
      <c r="D161" s="3">
        <v>45842</v>
      </c>
      <c r="E161" s="3">
        <v>46111</v>
      </c>
      <c r="F161" t="s">
        <v>143</v>
      </c>
      <c r="H161" t="s">
        <v>22</v>
      </c>
      <c r="I161" t="s">
        <v>188</v>
      </c>
      <c r="J161" t="s">
        <v>1490</v>
      </c>
      <c r="K161" t="s">
        <v>31</v>
      </c>
      <c r="L161" s="4">
        <v>55</v>
      </c>
      <c r="M161" t="s">
        <v>189</v>
      </c>
      <c r="N161" t="s">
        <v>26</v>
      </c>
      <c r="O161" s="4">
        <v>340</v>
      </c>
      <c r="P161">
        <v>0</v>
      </c>
      <c r="Q161" s="4">
        <v>340</v>
      </c>
      <c r="R161" s="12">
        <f t="shared" si="2"/>
        <v>18700</v>
      </c>
      <c r="T161" t="s">
        <v>145</v>
      </c>
      <c r="U161" t="s">
        <v>185</v>
      </c>
      <c r="V161" s="4">
        <v>55</v>
      </c>
      <c r="W161">
        <v>0</v>
      </c>
    </row>
    <row r="162" spans="1:23" hidden="1" x14ac:dyDescent="0.25">
      <c r="A162" s="2">
        <v>45821.619155092594</v>
      </c>
      <c r="B162">
        <v>3893</v>
      </c>
      <c r="C162" t="s">
        <v>183</v>
      </c>
      <c r="D162" s="3">
        <v>45842</v>
      </c>
      <c r="E162" s="3">
        <v>46111</v>
      </c>
      <c r="F162" t="s">
        <v>143</v>
      </c>
      <c r="H162" t="s">
        <v>22</v>
      </c>
      <c r="I162" t="s">
        <v>35</v>
      </c>
      <c r="J162" t="s">
        <v>1490</v>
      </c>
      <c r="K162" t="s">
        <v>24</v>
      </c>
      <c r="L162" s="4">
        <v>62</v>
      </c>
      <c r="M162" t="s">
        <v>189</v>
      </c>
      <c r="N162" t="s">
        <v>26</v>
      </c>
      <c r="O162" s="4">
        <v>450</v>
      </c>
      <c r="P162">
        <v>0</v>
      </c>
      <c r="Q162" s="4">
        <v>450</v>
      </c>
      <c r="R162" s="12">
        <f t="shared" si="2"/>
        <v>27900</v>
      </c>
      <c r="T162" t="s">
        <v>145</v>
      </c>
      <c r="U162" t="s">
        <v>185</v>
      </c>
      <c r="V162" s="4">
        <v>62</v>
      </c>
      <c r="W162">
        <v>0</v>
      </c>
    </row>
    <row r="163" spans="1:23" hidden="1" x14ac:dyDescent="0.25">
      <c r="A163" s="2">
        <v>45821.619155092594</v>
      </c>
      <c r="B163">
        <v>3893</v>
      </c>
      <c r="C163" t="s">
        <v>183</v>
      </c>
      <c r="D163" s="3">
        <v>45842</v>
      </c>
      <c r="E163" s="3">
        <v>46111</v>
      </c>
      <c r="F163" t="s">
        <v>143</v>
      </c>
      <c r="H163" t="s">
        <v>22</v>
      </c>
      <c r="I163" t="s">
        <v>173</v>
      </c>
      <c r="K163" t="s">
        <v>24</v>
      </c>
      <c r="L163" s="4">
        <v>24</v>
      </c>
      <c r="M163" t="s">
        <v>189</v>
      </c>
      <c r="N163" t="s">
        <v>26</v>
      </c>
      <c r="O163" s="4">
        <v>675</v>
      </c>
      <c r="P163">
        <v>0</v>
      </c>
      <c r="Q163" s="4">
        <v>675</v>
      </c>
      <c r="R163" s="12">
        <f t="shared" si="2"/>
        <v>16200</v>
      </c>
      <c r="T163" t="s">
        <v>145</v>
      </c>
      <c r="U163" t="s">
        <v>185</v>
      </c>
      <c r="V163" s="4">
        <v>24</v>
      </c>
      <c r="W163">
        <v>0</v>
      </c>
    </row>
    <row r="164" spans="1:23" hidden="1" x14ac:dyDescent="0.25">
      <c r="A164" s="2">
        <v>45821.619155092594</v>
      </c>
      <c r="B164">
        <v>3893</v>
      </c>
      <c r="C164" t="s">
        <v>183</v>
      </c>
      <c r="D164" s="3">
        <v>45842</v>
      </c>
      <c r="E164" s="3">
        <v>46111</v>
      </c>
      <c r="F164" t="s">
        <v>143</v>
      </c>
      <c r="H164" t="s">
        <v>22</v>
      </c>
      <c r="I164" t="s">
        <v>190</v>
      </c>
      <c r="J164" t="s">
        <v>1490</v>
      </c>
      <c r="K164" t="s">
        <v>31</v>
      </c>
      <c r="L164" s="4">
        <v>115</v>
      </c>
      <c r="M164" t="s">
        <v>189</v>
      </c>
      <c r="N164" t="s">
        <v>26</v>
      </c>
      <c r="O164" s="4">
        <v>340</v>
      </c>
      <c r="P164">
        <v>0</v>
      </c>
      <c r="Q164" s="4">
        <v>340</v>
      </c>
      <c r="R164" s="12">
        <f t="shared" si="2"/>
        <v>39100</v>
      </c>
      <c r="T164" t="s">
        <v>145</v>
      </c>
      <c r="U164" t="s">
        <v>185</v>
      </c>
      <c r="V164" s="4">
        <v>115</v>
      </c>
      <c r="W164">
        <v>0</v>
      </c>
    </row>
    <row r="165" spans="1:23" hidden="1" x14ac:dyDescent="0.25">
      <c r="A165" s="2">
        <v>45821.619155092594</v>
      </c>
      <c r="B165">
        <v>3893</v>
      </c>
      <c r="C165" t="s">
        <v>183</v>
      </c>
      <c r="D165" s="3">
        <v>45842</v>
      </c>
      <c r="E165" s="3">
        <v>46111</v>
      </c>
      <c r="F165" t="s">
        <v>143</v>
      </c>
      <c r="H165" t="s">
        <v>22</v>
      </c>
      <c r="I165" t="s">
        <v>191</v>
      </c>
      <c r="J165" t="s">
        <v>1490</v>
      </c>
      <c r="K165" t="s">
        <v>31</v>
      </c>
      <c r="L165" s="4">
        <v>21.5</v>
      </c>
      <c r="M165" t="s">
        <v>189</v>
      </c>
      <c r="N165" t="s">
        <v>26</v>
      </c>
      <c r="O165" s="4">
        <v>1120</v>
      </c>
      <c r="P165">
        <v>0</v>
      </c>
      <c r="Q165" s="4">
        <v>1120</v>
      </c>
      <c r="R165" s="12">
        <f t="shared" si="2"/>
        <v>24080</v>
      </c>
      <c r="T165" t="s">
        <v>145</v>
      </c>
      <c r="U165" t="s">
        <v>185</v>
      </c>
      <c r="V165" s="4">
        <v>21.5</v>
      </c>
      <c r="W165">
        <v>0</v>
      </c>
    </row>
    <row r="166" spans="1:23" hidden="1" x14ac:dyDescent="0.25">
      <c r="A166" s="2">
        <v>45821.619155092594</v>
      </c>
      <c r="B166">
        <v>3893</v>
      </c>
      <c r="C166" t="s">
        <v>183</v>
      </c>
      <c r="D166" s="3">
        <v>45842</v>
      </c>
      <c r="E166" s="3">
        <v>46111</v>
      </c>
      <c r="F166" t="s">
        <v>143</v>
      </c>
      <c r="H166" t="s">
        <v>22</v>
      </c>
      <c r="I166" t="s">
        <v>30</v>
      </c>
      <c r="J166" t="s">
        <v>1490</v>
      </c>
      <c r="K166" t="s">
        <v>31</v>
      </c>
      <c r="L166" s="4">
        <v>21.5</v>
      </c>
      <c r="M166" t="s">
        <v>189</v>
      </c>
      <c r="N166" t="s">
        <v>26</v>
      </c>
      <c r="O166" s="4">
        <v>1120</v>
      </c>
      <c r="P166">
        <v>0</v>
      </c>
      <c r="Q166" s="4">
        <v>1120</v>
      </c>
      <c r="R166" s="12">
        <f t="shared" si="2"/>
        <v>24080</v>
      </c>
      <c r="T166" t="s">
        <v>145</v>
      </c>
      <c r="U166" t="s">
        <v>185</v>
      </c>
      <c r="V166" s="4">
        <v>21.5</v>
      </c>
      <c r="W166">
        <v>0</v>
      </c>
    </row>
    <row r="167" spans="1:23" hidden="1" x14ac:dyDescent="0.25">
      <c r="A167" s="2">
        <v>45821.619155092594</v>
      </c>
      <c r="B167">
        <v>3893</v>
      </c>
      <c r="C167" t="s">
        <v>183</v>
      </c>
      <c r="D167" s="3">
        <v>45842</v>
      </c>
      <c r="E167" s="3">
        <v>46111</v>
      </c>
      <c r="F167" t="s">
        <v>143</v>
      </c>
      <c r="H167" t="s">
        <v>22</v>
      </c>
      <c r="I167" t="s">
        <v>192</v>
      </c>
      <c r="J167" t="s">
        <v>1490</v>
      </c>
      <c r="K167" t="s">
        <v>24</v>
      </c>
      <c r="L167" s="4">
        <v>14.5</v>
      </c>
      <c r="M167" t="s">
        <v>189</v>
      </c>
      <c r="N167" t="s">
        <v>26</v>
      </c>
      <c r="O167" s="4">
        <v>6720</v>
      </c>
      <c r="P167">
        <v>0</v>
      </c>
      <c r="Q167" s="4">
        <v>6720</v>
      </c>
      <c r="R167" s="12">
        <f t="shared" si="2"/>
        <v>97440</v>
      </c>
      <c r="T167" t="s">
        <v>145</v>
      </c>
      <c r="U167" t="s">
        <v>185</v>
      </c>
      <c r="V167" s="4">
        <v>14.5</v>
      </c>
      <c r="W167">
        <v>0</v>
      </c>
    </row>
    <row r="168" spans="1:23" hidden="1" x14ac:dyDescent="0.25">
      <c r="A168" s="2">
        <v>45821.619155092594</v>
      </c>
      <c r="B168">
        <v>3893</v>
      </c>
      <c r="C168" t="s">
        <v>183</v>
      </c>
      <c r="D168" s="3">
        <v>45842</v>
      </c>
      <c r="E168" s="3">
        <v>46111</v>
      </c>
      <c r="F168" t="s">
        <v>143</v>
      </c>
      <c r="H168" t="s">
        <v>22</v>
      </c>
      <c r="I168" t="s">
        <v>193</v>
      </c>
      <c r="K168" t="s">
        <v>31</v>
      </c>
      <c r="L168" s="4">
        <v>31.5</v>
      </c>
      <c r="M168" t="s">
        <v>189</v>
      </c>
      <c r="N168" t="s">
        <v>26</v>
      </c>
      <c r="O168" s="4">
        <v>900</v>
      </c>
      <c r="P168">
        <v>0</v>
      </c>
      <c r="Q168" s="4">
        <v>900</v>
      </c>
      <c r="R168" s="12">
        <f t="shared" si="2"/>
        <v>28350</v>
      </c>
      <c r="T168" t="s">
        <v>145</v>
      </c>
      <c r="U168" t="s">
        <v>185</v>
      </c>
      <c r="V168" s="4">
        <v>31.5</v>
      </c>
      <c r="W168">
        <v>0</v>
      </c>
    </row>
    <row r="169" spans="1:23" hidden="1" x14ac:dyDescent="0.25">
      <c r="A169" s="2">
        <v>45821.619155092594</v>
      </c>
      <c r="B169">
        <v>3893</v>
      </c>
      <c r="C169" t="s">
        <v>183</v>
      </c>
      <c r="D169" s="3">
        <v>45842</v>
      </c>
      <c r="E169" s="3">
        <v>46111</v>
      </c>
      <c r="F169" t="s">
        <v>143</v>
      </c>
      <c r="H169" t="s">
        <v>22</v>
      </c>
      <c r="I169" t="s">
        <v>29</v>
      </c>
      <c r="J169" t="s">
        <v>1490</v>
      </c>
      <c r="K169" t="s">
        <v>24</v>
      </c>
      <c r="L169" s="4">
        <v>125</v>
      </c>
      <c r="M169" t="s">
        <v>189</v>
      </c>
      <c r="N169" t="s">
        <v>26</v>
      </c>
      <c r="O169" s="4">
        <v>360</v>
      </c>
      <c r="P169">
        <v>0</v>
      </c>
      <c r="Q169" s="4">
        <v>360</v>
      </c>
      <c r="R169" s="12">
        <f t="shared" si="2"/>
        <v>45000</v>
      </c>
      <c r="T169" t="s">
        <v>145</v>
      </c>
      <c r="U169" t="s">
        <v>185</v>
      </c>
      <c r="V169" s="4">
        <v>125</v>
      </c>
      <c r="W169">
        <v>0</v>
      </c>
    </row>
    <row r="170" spans="1:23" hidden="1" x14ac:dyDescent="0.25">
      <c r="A170" s="2">
        <v>45874.316990740743</v>
      </c>
      <c r="B170">
        <v>3968</v>
      </c>
      <c r="C170" t="s">
        <v>183</v>
      </c>
      <c r="D170" s="3">
        <v>45874</v>
      </c>
      <c r="E170" s="3">
        <v>46111</v>
      </c>
      <c r="F170" t="s">
        <v>143</v>
      </c>
      <c r="H170" t="s">
        <v>22</v>
      </c>
      <c r="I170" t="s">
        <v>36</v>
      </c>
      <c r="J170" t="s">
        <v>1490</v>
      </c>
      <c r="K170" t="s">
        <v>24</v>
      </c>
      <c r="L170" s="4">
        <v>65</v>
      </c>
      <c r="M170" t="s">
        <v>194</v>
      </c>
      <c r="N170" t="s">
        <v>26</v>
      </c>
      <c r="O170" s="4">
        <v>40</v>
      </c>
      <c r="P170">
        <v>0</v>
      </c>
      <c r="Q170" s="4">
        <v>40</v>
      </c>
      <c r="R170" s="12">
        <f t="shared" si="2"/>
        <v>2600</v>
      </c>
      <c r="T170" t="s">
        <v>145</v>
      </c>
      <c r="U170" t="s">
        <v>185</v>
      </c>
      <c r="V170" s="4">
        <v>65</v>
      </c>
      <c r="W170">
        <v>0</v>
      </c>
    </row>
    <row r="171" spans="1:23" hidden="1" x14ac:dyDescent="0.25">
      <c r="A171" s="2">
        <v>45938.552175925928</v>
      </c>
      <c r="B171">
        <v>4134</v>
      </c>
      <c r="C171" t="s">
        <v>183</v>
      </c>
      <c r="D171" s="3">
        <v>45937</v>
      </c>
      <c r="E171" s="3">
        <v>46111</v>
      </c>
      <c r="F171" t="s">
        <v>143</v>
      </c>
      <c r="H171" t="s">
        <v>22</v>
      </c>
      <c r="I171" t="s">
        <v>57</v>
      </c>
      <c r="K171" t="s">
        <v>31</v>
      </c>
      <c r="L171" s="4">
        <v>130</v>
      </c>
      <c r="M171" t="s">
        <v>195</v>
      </c>
      <c r="N171" t="s">
        <v>26</v>
      </c>
      <c r="O171" s="4">
        <v>2</v>
      </c>
      <c r="P171">
        <v>0</v>
      </c>
      <c r="Q171" s="4">
        <v>2</v>
      </c>
      <c r="R171" s="12">
        <f t="shared" si="2"/>
        <v>260</v>
      </c>
      <c r="T171" t="s">
        <v>145</v>
      </c>
      <c r="U171" t="s">
        <v>185</v>
      </c>
      <c r="V171" s="4">
        <v>130</v>
      </c>
      <c r="W171">
        <v>0</v>
      </c>
    </row>
    <row r="172" spans="1:23" hidden="1" x14ac:dyDescent="0.25">
      <c r="A172" s="2">
        <v>45938.552175925928</v>
      </c>
      <c r="B172">
        <v>4134</v>
      </c>
      <c r="C172" t="s">
        <v>183</v>
      </c>
      <c r="D172" s="3">
        <v>45937</v>
      </c>
      <c r="E172" s="3">
        <v>46111</v>
      </c>
      <c r="F172" t="s">
        <v>143</v>
      </c>
      <c r="H172" t="s">
        <v>22</v>
      </c>
      <c r="I172" t="s">
        <v>53</v>
      </c>
      <c r="K172" t="s">
        <v>24</v>
      </c>
      <c r="L172" s="4">
        <v>130</v>
      </c>
      <c r="M172" t="s">
        <v>195</v>
      </c>
      <c r="N172" t="s">
        <v>26</v>
      </c>
      <c r="O172" s="4">
        <v>3</v>
      </c>
      <c r="P172">
        <v>0</v>
      </c>
      <c r="Q172" s="4">
        <v>3</v>
      </c>
      <c r="R172" s="12">
        <f t="shared" si="2"/>
        <v>390</v>
      </c>
      <c r="T172" t="s">
        <v>145</v>
      </c>
      <c r="U172" t="s">
        <v>185</v>
      </c>
      <c r="V172" s="4">
        <v>130</v>
      </c>
      <c r="W172">
        <v>0</v>
      </c>
    </row>
    <row r="173" spans="1:23" hidden="1" x14ac:dyDescent="0.25">
      <c r="A173" s="2">
        <v>45945.722986111112</v>
      </c>
      <c r="B173">
        <v>4165</v>
      </c>
      <c r="C173" t="s">
        <v>183</v>
      </c>
      <c r="D173" s="3">
        <v>45945</v>
      </c>
      <c r="E173" s="3">
        <v>46111</v>
      </c>
      <c r="F173" t="s">
        <v>143</v>
      </c>
      <c r="H173" t="s">
        <v>22</v>
      </c>
      <c r="I173" t="s">
        <v>36</v>
      </c>
      <c r="J173" t="s">
        <v>1490</v>
      </c>
      <c r="K173" t="s">
        <v>24</v>
      </c>
      <c r="L173" s="4">
        <v>62</v>
      </c>
      <c r="M173" t="s">
        <v>196</v>
      </c>
      <c r="N173" t="s">
        <v>26</v>
      </c>
      <c r="O173" s="4">
        <v>40</v>
      </c>
      <c r="P173">
        <v>0</v>
      </c>
      <c r="Q173" s="4">
        <v>40</v>
      </c>
      <c r="R173" s="12">
        <f t="shared" si="2"/>
        <v>2480</v>
      </c>
      <c r="T173" t="s">
        <v>145</v>
      </c>
      <c r="U173" t="s">
        <v>185</v>
      </c>
      <c r="V173" s="4">
        <v>62</v>
      </c>
      <c r="W173">
        <v>0</v>
      </c>
    </row>
    <row r="174" spans="1:23" hidden="1" x14ac:dyDescent="0.25">
      <c r="A174" s="2">
        <v>45950.315266203703</v>
      </c>
      <c r="B174">
        <v>4180</v>
      </c>
      <c r="C174" t="s">
        <v>183</v>
      </c>
      <c r="D174" s="3">
        <v>45950</v>
      </c>
      <c r="E174" s="3">
        <v>46111</v>
      </c>
      <c r="F174" t="s">
        <v>143</v>
      </c>
      <c r="G174" t="s">
        <v>1493</v>
      </c>
      <c r="H174" t="s">
        <v>22</v>
      </c>
      <c r="I174" t="s">
        <v>40</v>
      </c>
      <c r="J174" t="s">
        <v>1491</v>
      </c>
      <c r="K174" t="s">
        <v>24</v>
      </c>
      <c r="L174" s="4">
        <v>320</v>
      </c>
      <c r="M174" t="s">
        <v>197</v>
      </c>
      <c r="N174" t="s">
        <v>26</v>
      </c>
      <c r="O174" s="4">
        <v>2</v>
      </c>
      <c r="P174">
        <v>0</v>
      </c>
      <c r="Q174" s="4">
        <v>2</v>
      </c>
      <c r="R174" s="12">
        <f t="shared" si="2"/>
        <v>640</v>
      </c>
      <c r="T174" t="s">
        <v>145</v>
      </c>
      <c r="U174" t="s">
        <v>185</v>
      </c>
      <c r="V174" s="4">
        <v>320</v>
      </c>
      <c r="W174">
        <v>0</v>
      </c>
    </row>
    <row r="175" spans="1:23" hidden="1" x14ac:dyDescent="0.25">
      <c r="A175" s="2">
        <v>45971.405393518522</v>
      </c>
      <c r="B175">
        <v>4249</v>
      </c>
      <c r="C175" t="s">
        <v>183</v>
      </c>
      <c r="D175" s="3">
        <v>45971</v>
      </c>
      <c r="E175" s="3">
        <v>46111</v>
      </c>
      <c r="F175" t="s">
        <v>143</v>
      </c>
      <c r="H175" t="s">
        <v>22</v>
      </c>
      <c r="I175" t="s">
        <v>188</v>
      </c>
      <c r="J175" t="s">
        <v>1490</v>
      </c>
      <c r="K175" t="s">
        <v>31</v>
      </c>
      <c r="L175" s="4">
        <v>70</v>
      </c>
      <c r="M175" t="s">
        <v>198</v>
      </c>
      <c r="N175" t="s">
        <v>26</v>
      </c>
      <c r="O175" s="4">
        <v>60</v>
      </c>
      <c r="P175">
        <v>0</v>
      </c>
      <c r="Q175" s="4">
        <v>60</v>
      </c>
      <c r="R175" s="12">
        <f t="shared" si="2"/>
        <v>4200</v>
      </c>
      <c r="T175" t="s">
        <v>145</v>
      </c>
      <c r="U175" t="s">
        <v>185</v>
      </c>
      <c r="V175" s="4">
        <v>70</v>
      </c>
      <c r="W175">
        <v>0</v>
      </c>
    </row>
    <row r="176" spans="1:23" hidden="1" x14ac:dyDescent="0.25">
      <c r="A176" s="2">
        <v>46003.387442129628</v>
      </c>
      <c r="B176">
        <v>4349</v>
      </c>
      <c r="C176" t="s">
        <v>183</v>
      </c>
      <c r="D176" s="3">
        <v>46002</v>
      </c>
      <c r="E176" s="3">
        <v>46275</v>
      </c>
      <c r="F176" t="s">
        <v>143</v>
      </c>
      <c r="G176" t="s">
        <v>1493</v>
      </c>
      <c r="H176" t="s">
        <v>22</v>
      </c>
      <c r="I176" t="s">
        <v>40</v>
      </c>
      <c r="J176" t="s">
        <v>1491</v>
      </c>
      <c r="K176" t="s">
        <v>24</v>
      </c>
      <c r="L176" s="4">
        <v>320</v>
      </c>
      <c r="M176" t="s">
        <v>199</v>
      </c>
      <c r="N176" t="s">
        <v>46</v>
      </c>
      <c r="O176" s="4">
        <v>56</v>
      </c>
      <c r="P176">
        <v>0</v>
      </c>
      <c r="Q176" s="4">
        <v>56</v>
      </c>
      <c r="R176" s="12">
        <f t="shared" si="2"/>
        <v>17920</v>
      </c>
      <c r="T176" t="s">
        <v>145</v>
      </c>
      <c r="U176" t="s">
        <v>185</v>
      </c>
      <c r="V176" s="4">
        <v>320</v>
      </c>
      <c r="W176">
        <v>0</v>
      </c>
    </row>
    <row r="177" spans="1:23" hidden="1" x14ac:dyDescent="0.25">
      <c r="A177" s="2">
        <v>46003.387442129628</v>
      </c>
      <c r="B177">
        <v>4349</v>
      </c>
      <c r="C177" t="s">
        <v>183</v>
      </c>
      <c r="D177" s="3">
        <v>46002</v>
      </c>
      <c r="E177" s="3">
        <v>46275</v>
      </c>
      <c r="F177" t="s">
        <v>143</v>
      </c>
      <c r="G177" t="s">
        <v>1493</v>
      </c>
      <c r="H177" t="s">
        <v>22</v>
      </c>
      <c r="I177" t="s">
        <v>41</v>
      </c>
      <c r="J177" t="s">
        <v>1491</v>
      </c>
      <c r="K177" t="s">
        <v>24</v>
      </c>
      <c r="L177" s="4">
        <v>330</v>
      </c>
      <c r="M177" t="s">
        <v>199</v>
      </c>
      <c r="N177" t="s">
        <v>46</v>
      </c>
      <c r="O177" s="4">
        <v>56</v>
      </c>
      <c r="P177">
        <v>0</v>
      </c>
      <c r="Q177" s="4">
        <v>56</v>
      </c>
      <c r="R177" s="12">
        <f t="shared" si="2"/>
        <v>18480</v>
      </c>
      <c r="T177" t="s">
        <v>145</v>
      </c>
      <c r="U177" t="s">
        <v>185</v>
      </c>
      <c r="V177" s="4">
        <v>330</v>
      </c>
      <c r="W177">
        <v>0</v>
      </c>
    </row>
    <row r="178" spans="1:23" hidden="1" x14ac:dyDescent="0.25">
      <c r="A178" s="2">
        <v>46003.387442129628</v>
      </c>
      <c r="B178">
        <v>4349</v>
      </c>
      <c r="C178" t="s">
        <v>183</v>
      </c>
      <c r="D178" s="3">
        <v>46002</v>
      </c>
      <c r="E178" s="3">
        <v>46275</v>
      </c>
      <c r="F178" t="s">
        <v>143</v>
      </c>
      <c r="G178" t="s">
        <v>1493</v>
      </c>
      <c r="H178" t="s">
        <v>22</v>
      </c>
      <c r="I178" t="s">
        <v>44</v>
      </c>
      <c r="J178" t="s">
        <v>1491</v>
      </c>
      <c r="K178" t="s">
        <v>31</v>
      </c>
      <c r="L178" s="4">
        <v>365</v>
      </c>
      <c r="M178" t="s">
        <v>199</v>
      </c>
      <c r="N178" t="s">
        <v>46</v>
      </c>
      <c r="O178" s="4">
        <v>56</v>
      </c>
      <c r="P178">
        <v>0</v>
      </c>
      <c r="Q178" s="4">
        <v>56</v>
      </c>
      <c r="R178" s="12">
        <f t="shared" si="2"/>
        <v>20440</v>
      </c>
      <c r="T178" t="s">
        <v>145</v>
      </c>
      <c r="U178" t="s">
        <v>185</v>
      </c>
      <c r="V178" s="4">
        <v>365</v>
      </c>
      <c r="W178">
        <v>0</v>
      </c>
    </row>
    <row r="179" spans="1:23" hidden="1" x14ac:dyDescent="0.25">
      <c r="A179" s="2">
        <v>46003.387442129628</v>
      </c>
      <c r="B179">
        <v>4349</v>
      </c>
      <c r="C179" t="s">
        <v>183</v>
      </c>
      <c r="D179" s="3">
        <v>46002</v>
      </c>
      <c r="E179" s="3">
        <v>46275</v>
      </c>
      <c r="F179" t="s">
        <v>143</v>
      </c>
      <c r="G179" t="s">
        <v>1493</v>
      </c>
      <c r="H179" t="s">
        <v>22</v>
      </c>
      <c r="I179" t="s">
        <v>38</v>
      </c>
      <c r="J179" t="s">
        <v>1491</v>
      </c>
      <c r="K179" t="s">
        <v>24</v>
      </c>
      <c r="L179" s="4">
        <v>47</v>
      </c>
      <c r="M179" t="s">
        <v>199</v>
      </c>
      <c r="N179" t="s">
        <v>46</v>
      </c>
      <c r="O179" s="4">
        <v>114</v>
      </c>
      <c r="P179">
        <v>0</v>
      </c>
      <c r="Q179" s="4">
        <v>114</v>
      </c>
      <c r="R179" s="12">
        <f t="shared" si="2"/>
        <v>5358</v>
      </c>
      <c r="T179" t="s">
        <v>145</v>
      </c>
      <c r="U179" t="s">
        <v>185</v>
      </c>
      <c r="V179" s="4">
        <v>47</v>
      </c>
      <c r="W179">
        <v>0</v>
      </c>
    </row>
    <row r="180" spans="1:23" hidden="1" x14ac:dyDescent="0.25">
      <c r="A180" s="2">
        <v>46003.387442129628</v>
      </c>
      <c r="B180">
        <v>4349</v>
      </c>
      <c r="C180" t="s">
        <v>183</v>
      </c>
      <c r="D180" s="3">
        <v>46002</v>
      </c>
      <c r="E180" s="3">
        <v>46275</v>
      </c>
      <c r="F180" t="s">
        <v>143</v>
      </c>
      <c r="H180" t="s">
        <v>22</v>
      </c>
      <c r="I180" t="s">
        <v>42</v>
      </c>
      <c r="J180" t="s">
        <v>1490</v>
      </c>
      <c r="K180" t="s">
        <v>24</v>
      </c>
      <c r="L180" s="4">
        <v>205</v>
      </c>
      <c r="M180" t="s">
        <v>199</v>
      </c>
      <c r="N180" t="s">
        <v>46</v>
      </c>
      <c r="O180" s="4">
        <v>115</v>
      </c>
      <c r="P180">
        <v>0</v>
      </c>
      <c r="Q180" s="4">
        <v>115</v>
      </c>
      <c r="R180" s="12">
        <f t="shared" si="2"/>
        <v>23575</v>
      </c>
      <c r="T180" t="s">
        <v>145</v>
      </c>
      <c r="U180" t="s">
        <v>185</v>
      </c>
      <c r="V180" s="4">
        <v>205</v>
      </c>
      <c r="W180">
        <v>0</v>
      </c>
    </row>
    <row r="181" spans="1:23" hidden="1" x14ac:dyDescent="0.25">
      <c r="A181" s="2">
        <v>46003.404062499998</v>
      </c>
      <c r="B181">
        <v>4350</v>
      </c>
      <c r="C181" t="s">
        <v>183</v>
      </c>
      <c r="D181" s="3">
        <v>46002</v>
      </c>
      <c r="E181" s="3">
        <v>46275</v>
      </c>
      <c r="F181" t="s">
        <v>143</v>
      </c>
      <c r="H181" t="s">
        <v>22</v>
      </c>
      <c r="I181" t="s">
        <v>29</v>
      </c>
      <c r="J181" t="s">
        <v>1490</v>
      </c>
      <c r="K181" t="s">
        <v>24</v>
      </c>
      <c r="L181" s="4">
        <v>125</v>
      </c>
      <c r="M181" t="s">
        <v>200</v>
      </c>
      <c r="N181" t="s">
        <v>46</v>
      </c>
      <c r="O181" s="4">
        <v>460</v>
      </c>
      <c r="P181">
        <v>0</v>
      </c>
      <c r="Q181" s="4">
        <v>460</v>
      </c>
      <c r="R181" s="12">
        <f t="shared" si="2"/>
        <v>57500</v>
      </c>
      <c r="T181" t="s">
        <v>145</v>
      </c>
      <c r="U181" t="s">
        <v>185</v>
      </c>
      <c r="V181" s="4">
        <v>125</v>
      </c>
      <c r="W181">
        <v>0</v>
      </c>
    </row>
    <row r="182" spans="1:23" hidden="1" x14ac:dyDescent="0.25">
      <c r="A182" s="2">
        <v>46003.404062499998</v>
      </c>
      <c r="B182">
        <v>4350</v>
      </c>
      <c r="C182" t="s">
        <v>183</v>
      </c>
      <c r="D182" s="3">
        <v>46002</v>
      </c>
      <c r="E182" s="3">
        <v>46275</v>
      </c>
      <c r="F182" t="s">
        <v>143</v>
      </c>
      <c r="H182" t="s">
        <v>22</v>
      </c>
      <c r="I182" t="s">
        <v>33</v>
      </c>
      <c r="J182" t="s">
        <v>1490</v>
      </c>
      <c r="K182" t="s">
        <v>31</v>
      </c>
      <c r="L182" s="4">
        <v>26</v>
      </c>
      <c r="M182" t="s">
        <v>200</v>
      </c>
      <c r="N182" t="s">
        <v>46</v>
      </c>
      <c r="O182" s="4">
        <v>1680</v>
      </c>
      <c r="P182">
        <v>0</v>
      </c>
      <c r="Q182" s="4">
        <v>1680</v>
      </c>
      <c r="R182" s="12">
        <f t="shared" si="2"/>
        <v>43680</v>
      </c>
      <c r="T182" t="s">
        <v>145</v>
      </c>
      <c r="U182" t="s">
        <v>185</v>
      </c>
      <c r="V182" s="4">
        <v>26</v>
      </c>
      <c r="W182">
        <v>0</v>
      </c>
    </row>
    <row r="183" spans="1:23" hidden="1" x14ac:dyDescent="0.25">
      <c r="A183" s="2">
        <v>46003.404062499998</v>
      </c>
      <c r="B183">
        <v>4350</v>
      </c>
      <c r="C183" t="s">
        <v>183</v>
      </c>
      <c r="D183" s="3">
        <v>46002</v>
      </c>
      <c r="E183" s="3">
        <v>46275</v>
      </c>
      <c r="F183" t="s">
        <v>143</v>
      </c>
      <c r="H183" t="s">
        <v>22</v>
      </c>
      <c r="I183" t="s">
        <v>30</v>
      </c>
      <c r="J183" t="s">
        <v>1490</v>
      </c>
      <c r="K183" t="s">
        <v>31</v>
      </c>
      <c r="L183" s="4">
        <v>21.5</v>
      </c>
      <c r="M183" t="s">
        <v>200</v>
      </c>
      <c r="N183" t="s">
        <v>46</v>
      </c>
      <c r="O183" s="4">
        <v>2240</v>
      </c>
      <c r="P183">
        <v>0</v>
      </c>
      <c r="Q183" s="4">
        <v>2240</v>
      </c>
      <c r="R183" s="12">
        <f t="shared" si="2"/>
        <v>48160</v>
      </c>
      <c r="T183" t="s">
        <v>145</v>
      </c>
      <c r="U183" t="s">
        <v>185</v>
      </c>
      <c r="V183" s="4">
        <v>21.5</v>
      </c>
      <c r="W183">
        <v>0</v>
      </c>
    </row>
    <row r="184" spans="1:23" hidden="1" x14ac:dyDescent="0.25">
      <c r="A184" s="2">
        <v>46003.404062499998</v>
      </c>
      <c r="B184">
        <v>4350</v>
      </c>
      <c r="C184" t="s">
        <v>183</v>
      </c>
      <c r="D184" s="3">
        <v>46002</v>
      </c>
      <c r="E184" s="3">
        <v>46275</v>
      </c>
      <c r="F184" t="s">
        <v>143</v>
      </c>
      <c r="H184" t="s">
        <v>22</v>
      </c>
      <c r="I184" t="s">
        <v>23</v>
      </c>
      <c r="J184" t="s">
        <v>1490</v>
      </c>
      <c r="K184" t="s">
        <v>24</v>
      </c>
      <c r="L184" s="4">
        <v>18</v>
      </c>
      <c r="M184" t="s">
        <v>200</v>
      </c>
      <c r="N184" t="s">
        <v>46</v>
      </c>
      <c r="O184" s="4">
        <v>1120</v>
      </c>
      <c r="P184">
        <v>0</v>
      </c>
      <c r="Q184" s="4">
        <v>1120</v>
      </c>
      <c r="R184" s="12">
        <f t="shared" si="2"/>
        <v>20160</v>
      </c>
      <c r="T184" t="s">
        <v>145</v>
      </c>
      <c r="U184" t="s">
        <v>185</v>
      </c>
      <c r="V184" s="4">
        <v>18</v>
      </c>
      <c r="W184">
        <v>0</v>
      </c>
    </row>
    <row r="185" spans="1:23" hidden="1" x14ac:dyDescent="0.25">
      <c r="A185" s="2">
        <v>46003.405243055553</v>
      </c>
      <c r="B185">
        <v>4351</v>
      </c>
      <c r="C185" t="s">
        <v>183</v>
      </c>
      <c r="D185" s="3">
        <v>46002</v>
      </c>
      <c r="E185" s="3">
        <v>46275</v>
      </c>
      <c r="F185" t="s">
        <v>143</v>
      </c>
      <c r="G185" t="s">
        <v>1493</v>
      </c>
      <c r="H185" t="s">
        <v>22</v>
      </c>
      <c r="I185" t="s">
        <v>201</v>
      </c>
      <c r="J185" t="s">
        <v>1491</v>
      </c>
      <c r="K185" t="s">
        <v>24</v>
      </c>
      <c r="L185" s="4">
        <v>70</v>
      </c>
      <c r="M185" t="s">
        <v>202</v>
      </c>
      <c r="N185" t="s">
        <v>46</v>
      </c>
      <c r="O185" s="4">
        <v>140</v>
      </c>
      <c r="P185">
        <v>0</v>
      </c>
      <c r="Q185" s="4">
        <v>140</v>
      </c>
      <c r="R185" s="12">
        <f t="shared" si="2"/>
        <v>9800</v>
      </c>
      <c r="T185" t="s">
        <v>145</v>
      </c>
      <c r="U185" t="s">
        <v>185</v>
      </c>
      <c r="V185" s="4">
        <v>70</v>
      </c>
      <c r="W185">
        <v>0</v>
      </c>
    </row>
    <row r="186" spans="1:23" hidden="1" x14ac:dyDescent="0.25">
      <c r="A186" s="2">
        <v>46003.405243055553</v>
      </c>
      <c r="B186">
        <v>4351</v>
      </c>
      <c r="C186" t="s">
        <v>183</v>
      </c>
      <c r="D186" s="3">
        <v>46002</v>
      </c>
      <c r="E186" s="3">
        <v>46275</v>
      </c>
      <c r="F186" t="s">
        <v>143</v>
      </c>
      <c r="H186" t="s">
        <v>22</v>
      </c>
      <c r="I186" t="s">
        <v>203</v>
      </c>
      <c r="J186" t="s">
        <v>1490</v>
      </c>
      <c r="K186" t="s">
        <v>24</v>
      </c>
      <c r="L186" s="4">
        <v>120</v>
      </c>
      <c r="M186" t="s">
        <v>202</v>
      </c>
      <c r="N186" t="s">
        <v>46</v>
      </c>
      <c r="O186" s="4">
        <v>40</v>
      </c>
      <c r="P186">
        <v>0</v>
      </c>
      <c r="Q186" s="4">
        <v>40</v>
      </c>
      <c r="R186" s="12">
        <f t="shared" si="2"/>
        <v>4800</v>
      </c>
      <c r="T186" t="s">
        <v>145</v>
      </c>
      <c r="U186" t="s">
        <v>185</v>
      </c>
      <c r="V186" s="4">
        <v>120</v>
      </c>
      <c r="W186">
        <v>0</v>
      </c>
    </row>
    <row r="187" spans="1:23" hidden="1" x14ac:dyDescent="0.25">
      <c r="A187" s="2">
        <v>46007.676666666666</v>
      </c>
      <c r="B187">
        <v>4364</v>
      </c>
      <c r="C187" t="s">
        <v>183</v>
      </c>
      <c r="D187" s="3">
        <v>46007</v>
      </c>
      <c r="E187" s="3">
        <v>46111</v>
      </c>
      <c r="F187" t="s">
        <v>143</v>
      </c>
      <c r="H187" t="s">
        <v>22</v>
      </c>
      <c r="I187" t="s">
        <v>34</v>
      </c>
      <c r="J187" t="s">
        <v>1490</v>
      </c>
      <c r="K187" t="s">
        <v>31</v>
      </c>
      <c r="L187" s="4">
        <v>25</v>
      </c>
      <c r="M187" t="s">
        <v>204</v>
      </c>
      <c r="N187" t="s">
        <v>26</v>
      </c>
      <c r="O187" s="4">
        <v>110</v>
      </c>
      <c r="P187">
        <v>0</v>
      </c>
      <c r="Q187" s="4">
        <v>110</v>
      </c>
      <c r="R187" s="12">
        <f t="shared" si="2"/>
        <v>2750</v>
      </c>
      <c r="T187" t="s">
        <v>145</v>
      </c>
      <c r="U187" t="s">
        <v>185</v>
      </c>
      <c r="V187" s="4">
        <v>25</v>
      </c>
      <c r="W187">
        <v>0</v>
      </c>
    </row>
    <row r="188" spans="1:23" hidden="1" x14ac:dyDescent="0.25">
      <c r="A188" s="2">
        <v>46027.441203703704</v>
      </c>
      <c r="B188">
        <v>4404</v>
      </c>
      <c r="C188" t="s">
        <v>183</v>
      </c>
      <c r="D188" s="3">
        <v>46027</v>
      </c>
      <c r="E188" s="3">
        <v>46264</v>
      </c>
      <c r="F188" t="s">
        <v>143</v>
      </c>
      <c r="H188" t="s">
        <v>22</v>
      </c>
      <c r="I188" t="s">
        <v>36</v>
      </c>
      <c r="J188" t="s">
        <v>1490</v>
      </c>
      <c r="K188" t="s">
        <v>24</v>
      </c>
      <c r="L188" s="4">
        <v>62</v>
      </c>
      <c r="M188" t="s">
        <v>205</v>
      </c>
      <c r="N188" t="s">
        <v>46</v>
      </c>
      <c r="O188" s="4">
        <v>60</v>
      </c>
      <c r="P188">
        <v>0</v>
      </c>
      <c r="Q188" s="4">
        <v>60</v>
      </c>
      <c r="R188" s="12">
        <f t="shared" si="2"/>
        <v>3720</v>
      </c>
      <c r="T188" t="s">
        <v>145</v>
      </c>
      <c r="U188" t="s">
        <v>185</v>
      </c>
      <c r="V188" s="4">
        <v>62</v>
      </c>
      <c r="W188">
        <v>0</v>
      </c>
    </row>
    <row r="189" spans="1:23" hidden="1" x14ac:dyDescent="0.25">
      <c r="A189" s="2">
        <v>46028.723576388889</v>
      </c>
      <c r="B189">
        <v>4411</v>
      </c>
      <c r="C189" t="s">
        <v>183</v>
      </c>
      <c r="D189" s="3">
        <v>46028</v>
      </c>
      <c r="E189" s="3">
        <v>46275</v>
      </c>
      <c r="F189" t="s">
        <v>143</v>
      </c>
      <c r="H189" t="s">
        <v>22</v>
      </c>
      <c r="I189" t="s">
        <v>35</v>
      </c>
      <c r="J189" t="s">
        <v>1490</v>
      </c>
      <c r="K189" t="s">
        <v>24</v>
      </c>
      <c r="L189" s="4">
        <v>60</v>
      </c>
      <c r="M189" t="s">
        <v>206</v>
      </c>
      <c r="N189" t="s">
        <v>46</v>
      </c>
      <c r="O189" s="4">
        <v>230</v>
      </c>
      <c r="P189">
        <v>0</v>
      </c>
      <c r="Q189" s="4">
        <v>230</v>
      </c>
      <c r="R189" s="12">
        <f t="shared" si="2"/>
        <v>13800</v>
      </c>
      <c r="T189" t="s">
        <v>145</v>
      </c>
      <c r="U189" t="s">
        <v>185</v>
      </c>
      <c r="V189" s="4">
        <v>60</v>
      </c>
      <c r="W189">
        <v>0</v>
      </c>
    </row>
    <row r="190" spans="1:23" hidden="1" x14ac:dyDescent="0.25">
      <c r="A190" s="2">
        <v>46035.548842592594</v>
      </c>
      <c r="B190">
        <v>4441</v>
      </c>
      <c r="C190" t="s">
        <v>183</v>
      </c>
      <c r="D190" s="3">
        <v>46030</v>
      </c>
      <c r="E190" s="3">
        <v>46275</v>
      </c>
      <c r="F190" t="s">
        <v>143</v>
      </c>
      <c r="H190" t="s">
        <v>22</v>
      </c>
      <c r="I190" t="s">
        <v>207</v>
      </c>
      <c r="K190" t="s">
        <v>24</v>
      </c>
      <c r="L190" s="4">
        <v>400</v>
      </c>
      <c r="M190" t="s">
        <v>208</v>
      </c>
      <c r="N190" t="s">
        <v>46</v>
      </c>
      <c r="O190" s="4">
        <v>7</v>
      </c>
      <c r="P190">
        <v>0</v>
      </c>
      <c r="Q190" s="4">
        <v>7</v>
      </c>
      <c r="R190" s="12">
        <f t="shared" si="2"/>
        <v>2800</v>
      </c>
      <c r="T190" t="s">
        <v>145</v>
      </c>
      <c r="U190" t="s">
        <v>185</v>
      </c>
      <c r="V190" s="4">
        <v>400</v>
      </c>
      <c r="W190">
        <v>0</v>
      </c>
    </row>
    <row r="191" spans="1:23" hidden="1" x14ac:dyDescent="0.25">
      <c r="A191" s="2">
        <v>46042.335046296299</v>
      </c>
      <c r="B191">
        <v>4464</v>
      </c>
      <c r="C191" t="s">
        <v>183</v>
      </c>
      <c r="D191" s="3">
        <v>46042</v>
      </c>
      <c r="E191" s="3">
        <v>46264</v>
      </c>
      <c r="F191" t="s">
        <v>143</v>
      </c>
      <c r="H191" t="s">
        <v>22</v>
      </c>
      <c r="I191" t="s">
        <v>131</v>
      </c>
      <c r="J191" t="s">
        <v>1490</v>
      </c>
      <c r="K191" t="s">
        <v>24</v>
      </c>
      <c r="L191" s="4">
        <v>190</v>
      </c>
      <c r="M191" t="s">
        <v>209</v>
      </c>
      <c r="N191" t="s">
        <v>46</v>
      </c>
      <c r="O191" s="4">
        <v>5</v>
      </c>
      <c r="P191">
        <v>0</v>
      </c>
      <c r="Q191" s="4">
        <v>5</v>
      </c>
      <c r="R191" s="12">
        <f t="shared" si="2"/>
        <v>950</v>
      </c>
      <c r="T191" t="s">
        <v>145</v>
      </c>
      <c r="U191" t="s">
        <v>185</v>
      </c>
      <c r="V191" s="4">
        <v>190</v>
      </c>
      <c r="W191">
        <v>0</v>
      </c>
    </row>
    <row r="192" spans="1:23" hidden="1" x14ac:dyDescent="0.25">
      <c r="A192" s="2">
        <v>46049.386724537035</v>
      </c>
      <c r="B192">
        <v>4493</v>
      </c>
      <c r="C192" t="s">
        <v>183</v>
      </c>
      <c r="D192" s="3">
        <v>46049</v>
      </c>
      <c r="E192" s="3">
        <v>46305</v>
      </c>
      <c r="F192" t="s">
        <v>143</v>
      </c>
      <c r="H192" t="s">
        <v>22</v>
      </c>
      <c r="I192" t="s">
        <v>36</v>
      </c>
      <c r="J192" t="s">
        <v>1490</v>
      </c>
      <c r="K192" t="s">
        <v>24</v>
      </c>
      <c r="L192" s="4">
        <v>60</v>
      </c>
      <c r="M192" t="s">
        <v>210</v>
      </c>
      <c r="N192" t="s">
        <v>46</v>
      </c>
      <c r="O192" s="4">
        <v>40</v>
      </c>
      <c r="P192">
        <v>0</v>
      </c>
      <c r="Q192" s="4">
        <v>40</v>
      </c>
      <c r="R192" s="12">
        <f t="shared" si="2"/>
        <v>2400</v>
      </c>
      <c r="T192" t="s">
        <v>145</v>
      </c>
      <c r="U192" t="s">
        <v>185</v>
      </c>
      <c r="V192" s="4">
        <v>60</v>
      </c>
      <c r="W192">
        <v>0</v>
      </c>
    </row>
    <row r="193" spans="1:23" hidden="1" x14ac:dyDescent="0.25">
      <c r="A193" s="2">
        <v>46070.368101851855</v>
      </c>
      <c r="B193">
        <v>4574</v>
      </c>
      <c r="C193" t="s">
        <v>183</v>
      </c>
      <c r="D193" s="3">
        <v>46070</v>
      </c>
      <c r="E193" s="3">
        <v>46264</v>
      </c>
      <c r="F193" t="s">
        <v>143</v>
      </c>
      <c r="H193" t="s">
        <v>22</v>
      </c>
      <c r="I193" t="s">
        <v>131</v>
      </c>
      <c r="J193" t="s">
        <v>1490</v>
      </c>
      <c r="K193" t="s">
        <v>24</v>
      </c>
      <c r="L193" s="4">
        <v>180</v>
      </c>
      <c r="M193" t="s">
        <v>211</v>
      </c>
      <c r="N193" t="s">
        <v>46</v>
      </c>
      <c r="O193" s="4">
        <v>2</v>
      </c>
      <c r="P193">
        <v>0</v>
      </c>
      <c r="Q193" s="4">
        <v>2</v>
      </c>
      <c r="R193" s="12">
        <f t="shared" si="2"/>
        <v>360</v>
      </c>
      <c r="T193" t="s">
        <v>145</v>
      </c>
      <c r="U193" t="s">
        <v>185</v>
      </c>
      <c r="V193" s="4">
        <v>180</v>
      </c>
      <c r="W193">
        <v>0</v>
      </c>
    </row>
    <row r="194" spans="1:23" hidden="1" x14ac:dyDescent="0.25">
      <c r="A194" s="2">
        <v>46087.592905092592</v>
      </c>
      <c r="B194">
        <v>4636</v>
      </c>
      <c r="C194" t="s">
        <v>183</v>
      </c>
      <c r="D194" s="3">
        <v>46087</v>
      </c>
      <c r="E194" s="3">
        <v>46275</v>
      </c>
      <c r="F194" t="s">
        <v>143</v>
      </c>
      <c r="H194" t="s">
        <v>22</v>
      </c>
      <c r="I194" t="s">
        <v>35</v>
      </c>
      <c r="J194" t="s">
        <v>1490</v>
      </c>
      <c r="K194" t="s">
        <v>24</v>
      </c>
      <c r="L194" s="4">
        <v>60</v>
      </c>
      <c r="M194" t="s">
        <v>212</v>
      </c>
      <c r="N194" t="s">
        <v>46</v>
      </c>
      <c r="O194" s="4">
        <v>100</v>
      </c>
      <c r="P194">
        <v>0</v>
      </c>
      <c r="Q194" s="4">
        <v>100</v>
      </c>
      <c r="R194" s="12">
        <f t="shared" si="2"/>
        <v>6000</v>
      </c>
      <c r="T194" t="s">
        <v>145</v>
      </c>
      <c r="U194" t="s">
        <v>185</v>
      </c>
      <c r="V194" s="4">
        <v>60</v>
      </c>
      <c r="W194">
        <v>0</v>
      </c>
    </row>
    <row r="195" spans="1:23" hidden="1" x14ac:dyDescent="0.25">
      <c r="A195" s="2">
        <v>46029.57675925926</v>
      </c>
      <c r="B195">
        <v>4414</v>
      </c>
      <c r="C195" t="s">
        <v>213</v>
      </c>
      <c r="D195" s="3">
        <v>46029</v>
      </c>
      <c r="E195" s="3">
        <v>46030</v>
      </c>
      <c r="F195" t="s">
        <v>79</v>
      </c>
      <c r="H195" t="s">
        <v>22</v>
      </c>
      <c r="I195" t="s">
        <v>80</v>
      </c>
      <c r="K195" t="s">
        <v>31</v>
      </c>
      <c r="L195" s="4">
        <v>46</v>
      </c>
      <c r="M195" t="s">
        <v>214</v>
      </c>
      <c r="N195" t="s">
        <v>46</v>
      </c>
      <c r="O195" s="4">
        <v>150</v>
      </c>
      <c r="P195">
        <v>0</v>
      </c>
      <c r="Q195" s="4">
        <v>150</v>
      </c>
      <c r="R195" s="12">
        <f t="shared" ref="R195:R258" si="3">Q195*L195</f>
        <v>6900</v>
      </c>
      <c r="T195" t="s">
        <v>117</v>
      </c>
      <c r="U195" t="s">
        <v>215</v>
      </c>
      <c r="V195" s="4">
        <v>46</v>
      </c>
      <c r="W195">
        <v>0</v>
      </c>
    </row>
    <row r="196" spans="1:23" hidden="1" x14ac:dyDescent="0.25">
      <c r="A196" s="2">
        <v>46039.434398148151</v>
      </c>
      <c r="B196">
        <v>4459</v>
      </c>
      <c r="C196" t="s">
        <v>216</v>
      </c>
      <c r="D196" s="3">
        <v>46037</v>
      </c>
      <c r="E196" s="3">
        <v>46264</v>
      </c>
      <c r="F196" t="s">
        <v>85</v>
      </c>
      <c r="H196" t="s">
        <v>22</v>
      </c>
      <c r="I196" t="s">
        <v>29</v>
      </c>
      <c r="J196" t="s">
        <v>1490</v>
      </c>
      <c r="K196" t="s">
        <v>24</v>
      </c>
      <c r="L196" s="4">
        <v>140</v>
      </c>
      <c r="M196" t="s">
        <v>217</v>
      </c>
      <c r="N196" t="s">
        <v>46</v>
      </c>
      <c r="O196" s="4">
        <v>360</v>
      </c>
      <c r="P196">
        <v>0</v>
      </c>
      <c r="Q196" s="4">
        <v>360</v>
      </c>
      <c r="R196" s="12">
        <f t="shared" si="3"/>
        <v>50400</v>
      </c>
      <c r="T196" t="s">
        <v>218</v>
      </c>
      <c r="U196" t="s">
        <v>219</v>
      </c>
      <c r="V196" s="4">
        <v>140</v>
      </c>
      <c r="W196">
        <v>0</v>
      </c>
    </row>
    <row r="197" spans="1:23" hidden="1" x14ac:dyDescent="0.25">
      <c r="A197" s="2">
        <v>46039.434398148151</v>
      </c>
      <c r="B197">
        <v>4459</v>
      </c>
      <c r="C197" t="s">
        <v>216</v>
      </c>
      <c r="D197" s="3">
        <v>46037</v>
      </c>
      <c r="E197" s="3">
        <v>46264</v>
      </c>
      <c r="F197" t="s">
        <v>85</v>
      </c>
      <c r="H197" t="s">
        <v>22</v>
      </c>
      <c r="I197" t="s">
        <v>32</v>
      </c>
      <c r="J197" t="s">
        <v>1490</v>
      </c>
      <c r="K197" t="s">
        <v>24</v>
      </c>
      <c r="L197" s="4">
        <v>20</v>
      </c>
      <c r="M197" t="s">
        <v>217</v>
      </c>
      <c r="N197" t="s">
        <v>46</v>
      </c>
      <c r="O197" s="4">
        <v>1100</v>
      </c>
      <c r="P197" s="4">
        <v>500</v>
      </c>
      <c r="Q197" s="4">
        <v>600</v>
      </c>
      <c r="R197" s="12">
        <f t="shared" si="3"/>
        <v>12000</v>
      </c>
      <c r="T197" t="s">
        <v>218</v>
      </c>
      <c r="U197" t="s">
        <v>219</v>
      </c>
      <c r="V197" s="4">
        <v>20</v>
      </c>
      <c r="W197">
        <v>0</v>
      </c>
    </row>
    <row r="198" spans="1:23" hidden="1" x14ac:dyDescent="0.25">
      <c r="A198" s="2">
        <v>46039.434398148151</v>
      </c>
      <c r="B198">
        <v>4459</v>
      </c>
      <c r="C198" t="s">
        <v>216</v>
      </c>
      <c r="D198" s="3">
        <v>46037</v>
      </c>
      <c r="E198" s="3">
        <v>46264</v>
      </c>
      <c r="F198" t="s">
        <v>85</v>
      </c>
      <c r="H198" t="s">
        <v>22</v>
      </c>
      <c r="I198" t="s">
        <v>33</v>
      </c>
      <c r="J198" t="s">
        <v>1490</v>
      </c>
      <c r="K198" t="s">
        <v>31</v>
      </c>
      <c r="L198" s="4">
        <v>24</v>
      </c>
      <c r="M198" t="s">
        <v>217</v>
      </c>
      <c r="N198" t="s">
        <v>46</v>
      </c>
      <c r="O198" s="4">
        <v>800</v>
      </c>
      <c r="P198">
        <v>0</v>
      </c>
      <c r="Q198" s="4">
        <v>800</v>
      </c>
      <c r="R198" s="12">
        <f t="shared" si="3"/>
        <v>19200</v>
      </c>
      <c r="T198" t="s">
        <v>218</v>
      </c>
      <c r="U198" t="s">
        <v>219</v>
      </c>
      <c r="V198" s="4">
        <v>24</v>
      </c>
      <c r="W198">
        <v>0</v>
      </c>
    </row>
    <row r="199" spans="1:23" hidden="1" x14ac:dyDescent="0.25">
      <c r="A199" s="2">
        <v>46039.434398148151</v>
      </c>
      <c r="B199">
        <v>4459</v>
      </c>
      <c r="C199" t="s">
        <v>216</v>
      </c>
      <c r="D199" s="3">
        <v>46037</v>
      </c>
      <c r="E199" s="3">
        <v>46264</v>
      </c>
      <c r="F199" t="s">
        <v>85</v>
      </c>
      <c r="H199" t="s">
        <v>22</v>
      </c>
      <c r="I199" t="s">
        <v>30</v>
      </c>
      <c r="J199" t="s">
        <v>1490</v>
      </c>
      <c r="K199" t="s">
        <v>31</v>
      </c>
      <c r="L199" s="4">
        <v>20</v>
      </c>
      <c r="M199" t="s">
        <v>217</v>
      </c>
      <c r="N199" t="s">
        <v>46</v>
      </c>
      <c r="O199" s="4">
        <v>1600</v>
      </c>
      <c r="P199">
        <v>0</v>
      </c>
      <c r="Q199" s="4">
        <v>1600</v>
      </c>
      <c r="R199" s="12">
        <f t="shared" si="3"/>
        <v>32000</v>
      </c>
      <c r="T199" t="s">
        <v>218</v>
      </c>
      <c r="U199" t="s">
        <v>219</v>
      </c>
      <c r="V199" s="4">
        <v>20</v>
      </c>
      <c r="W199">
        <v>0</v>
      </c>
    </row>
    <row r="200" spans="1:23" hidden="1" x14ac:dyDescent="0.25">
      <c r="A200" s="2">
        <v>46039.435937499999</v>
      </c>
      <c r="B200">
        <v>4460</v>
      </c>
      <c r="C200" t="s">
        <v>216</v>
      </c>
      <c r="D200" s="3">
        <v>46037</v>
      </c>
      <c r="E200" s="3">
        <v>46264</v>
      </c>
      <c r="F200" t="s">
        <v>85</v>
      </c>
      <c r="H200" t="s">
        <v>22</v>
      </c>
      <c r="I200" t="s">
        <v>33</v>
      </c>
      <c r="J200" t="s">
        <v>1490</v>
      </c>
      <c r="K200" t="s">
        <v>31</v>
      </c>
      <c r="L200" s="4">
        <v>24</v>
      </c>
      <c r="M200" t="s">
        <v>220</v>
      </c>
      <c r="N200" t="s">
        <v>46</v>
      </c>
      <c r="O200" s="4">
        <v>500</v>
      </c>
      <c r="P200">
        <v>0</v>
      </c>
      <c r="Q200" s="4">
        <v>500</v>
      </c>
      <c r="R200" s="12">
        <f t="shared" si="3"/>
        <v>12000</v>
      </c>
      <c r="T200" t="s">
        <v>151</v>
      </c>
      <c r="U200" t="s">
        <v>219</v>
      </c>
      <c r="V200" s="4">
        <v>24</v>
      </c>
      <c r="W200">
        <v>0</v>
      </c>
    </row>
    <row r="201" spans="1:23" hidden="1" x14ac:dyDescent="0.25">
      <c r="A201" s="2">
        <v>46039.435937499999</v>
      </c>
      <c r="B201">
        <v>4460</v>
      </c>
      <c r="C201" t="s">
        <v>216</v>
      </c>
      <c r="D201" s="3">
        <v>46037</v>
      </c>
      <c r="E201" s="3">
        <v>46264</v>
      </c>
      <c r="F201" t="s">
        <v>85</v>
      </c>
      <c r="H201" t="s">
        <v>22</v>
      </c>
      <c r="I201" t="s">
        <v>32</v>
      </c>
      <c r="J201" t="s">
        <v>1490</v>
      </c>
      <c r="K201" t="s">
        <v>24</v>
      </c>
      <c r="L201" s="4">
        <v>20</v>
      </c>
      <c r="M201" t="s">
        <v>220</v>
      </c>
      <c r="N201" t="s">
        <v>46</v>
      </c>
      <c r="O201" s="4">
        <v>520</v>
      </c>
      <c r="P201">
        <v>0</v>
      </c>
      <c r="Q201" s="4">
        <v>520</v>
      </c>
      <c r="R201" s="12">
        <f t="shared" si="3"/>
        <v>10400</v>
      </c>
      <c r="T201" t="s">
        <v>151</v>
      </c>
      <c r="U201" t="s">
        <v>219</v>
      </c>
      <c r="V201" s="4">
        <v>20</v>
      </c>
      <c r="W201">
        <v>0</v>
      </c>
    </row>
    <row r="202" spans="1:23" hidden="1" x14ac:dyDescent="0.25">
      <c r="A202" s="2">
        <v>46039.435937499999</v>
      </c>
      <c r="B202">
        <v>4460</v>
      </c>
      <c r="C202" t="s">
        <v>216</v>
      </c>
      <c r="D202" s="3">
        <v>46037</v>
      </c>
      <c r="E202" s="3">
        <v>46264</v>
      </c>
      <c r="F202" t="s">
        <v>85</v>
      </c>
      <c r="H202" t="s">
        <v>22</v>
      </c>
      <c r="I202" t="s">
        <v>29</v>
      </c>
      <c r="J202" t="s">
        <v>1490</v>
      </c>
      <c r="K202" t="s">
        <v>24</v>
      </c>
      <c r="L202" s="4">
        <v>140</v>
      </c>
      <c r="M202" t="s">
        <v>220</v>
      </c>
      <c r="N202" t="s">
        <v>46</v>
      </c>
      <c r="O202" s="4">
        <v>240</v>
      </c>
      <c r="P202">
        <v>0</v>
      </c>
      <c r="Q202" s="4">
        <v>240</v>
      </c>
      <c r="R202" s="12">
        <f t="shared" si="3"/>
        <v>33600</v>
      </c>
      <c r="T202" t="s">
        <v>151</v>
      </c>
      <c r="U202" t="s">
        <v>219</v>
      </c>
      <c r="V202" s="4">
        <v>140</v>
      </c>
      <c r="W202">
        <v>0</v>
      </c>
    </row>
    <row r="203" spans="1:23" hidden="1" x14ac:dyDescent="0.25">
      <c r="A203" s="2">
        <v>46039.435937499999</v>
      </c>
      <c r="B203">
        <v>4460</v>
      </c>
      <c r="C203" t="s">
        <v>216</v>
      </c>
      <c r="D203" s="3">
        <v>46037</v>
      </c>
      <c r="E203" s="3">
        <v>46264</v>
      </c>
      <c r="F203" t="s">
        <v>85</v>
      </c>
      <c r="H203" t="s">
        <v>22</v>
      </c>
      <c r="I203" t="s">
        <v>30</v>
      </c>
      <c r="J203" t="s">
        <v>1490</v>
      </c>
      <c r="K203" t="s">
        <v>31</v>
      </c>
      <c r="L203" s="4">
        <v>20</v>
      </c>
      <c r="M203" t="s">
        <v>220</v>
      </c>
      <c r="N203" t="s">
        <v>46</v>
      </c>
      <c r="O203" s="4">
        <v>1500</v>
      </c>
      <c r="P203">
        <v>0</v>
      </c>
      <c r="Q203" s="4">
        <v>1500</v>
      </c>
      <c r="R203" s="12">
        <f t="shared" si="3"/>
        <v>30000</v>
      </c>
      <c r="T203" t="s">
        <v>151</v>
      </c>
      <c r="U203" t="s">
        <v>219</v>
      </c>
      <c r="V203" s="4">
        <v>20</v>
      </c>
      <c r="W203">
        <v>0</v>
      </c>
    </row>
    <row r="204" spans="1:23" hidden="1" x14ac:dyDescent="0.25">
      <c r="A204" s="2">
        <v>46042.679571759261</v>
      </c>
      <c r="B204">
        <v>4467</v>
      </c>
      <c r="C204" t="s">
        <v>216</v>
      </c>
      <c r="D204" s="3">
        <v>46042</v>
      </c>
      <c r="E204" s="3">
        <v>46264</v>
      </c>
      <c r="F204" t="s">
        <v>85</v>
      </c>
      <c r="H204" t="s">
        <v>22</v>
      </c>
      <c r="I204" t="s">
        <v>37</v>
      </c>
      <c r="J204" t="s">
        <v>1490</v>
      </c>
      <c r="K204" t="s">
        <v>31</v>
      </c>
      <c r="L204" s="4">
        <v>80</v>
      </c>
      <c r="M204" t="s">
        <v>221</v>
      </c>
      <c r="N204" t="s">
        <v>46</v>
      </c>
      <c r="O204" s="4">
        <v>96</v>
      </c>
      <c r="P204">
        <v>0</v>
      </c>
      <c r="Q204" s="4">
        <v>96</v>
      </c>
      <c r="R204" s="12">
        <f t="shared" si="3"/>
        <v>7680</v>
      </c>
      <c r="T204" t="s">
        <v>218</v>
      </c>
      <c r="U204" t="s">
        <v>219</v>
      </c>
      <c r="V204" s="4">
        <v>80</v>
      </c>
      <c r="W204">
        <v>0</v>
      </c>
    </row>
    <row r="205" spans="1:23" hidden="1" x14ac:dyDescent="0.25">
      <c r="A205" s="2">
        <v>46042.680266203701</v>
      </c>
      <c r="B205">
        <v>4468</v>
      </c>
      <c r="C205" t="s">
        <v>216</v>
      </c>
      <c r="D205" s="3">
        <v>46042</v>
      </c>
      <c r="E205" s="3">
        <v>46264</v>
      </c>
      <c r="F205" t="s">
        <v>85</v>
      </c>
      <c r="H205" t="s">
        <v>22</v>
      </c>
      <c r="I205" t="s">
        <v>37</v>
      </c>
      <c r="J205" t="s">
        <v>1490</v>
      </c>
      <c r="K205" t="s">
        <v>31</v>
      </c>
      <c r="L205" s="4">
        <v>80</v>
      </c>
      <c r="M205" t="s">
        <v>222</v>
      </c>
      <c r="N205" t="s">
        <v>46</v>
      </c>
      <c r="O205" s="4">
        <v>75</v>
      </c>
      <c r="P205">
        <v>0</v>
      </c>
      <c r="Q205" s="4">
        <v>75</v>
      </c>
      <c r="R205" s="12">
        <f t="shared" si="3"/>
        <v>6000</v>
      </c>
      <c r="T205" t="s">
        <v>151</v>
      </c>
      <c r="U205" t="s">
        <v>219</v>
      </c>
      <c r="V205" s="4">
        <v>80</v>
      </c>
      <c r="W205">
        <v>0</v>
      </c>
    </row>
    <row r="206" spans="1:23" hidden="1" x14ac:dyDescent="0.25">
      <c r="A206" s="2">
        <v>46020.364444444444</v>
      </c>
      <c r="B206">
        <v>4383</v>
      </c>
      <c r="C206" t="s">
        <v>223</v>
      </c>
      <c r="D206" s="3">
        <v>46015</v>
      </c>
      <c r="E206" s="3">
        <v>46172</v>
      </c>
      <c r="F206" t="s">
        <v>98</v>
      </c>
      <c r="G206" t="s">
        <v>1493</v>
      </c>
      <c r="H206" t="s">
        <v>22</v>
      </c>
      <c r="I206" t="s">
        <v>41</v>
      </c>
      <c r="J206" t="s">
        <v>1491</v>
      </c>
      <c r="K206" t="s">
        <v>24</v>
      </c>
      <c r="L206" s="4">
        <v>341</v>
      </c>
      <c r="M206" t="s">
        <v>224</v>
      </c>
      <c r="N206" t="s">
        <v>46</v>
      </c>
      <c r="O206" s="4">
        <v>33</v>
      </c>
      <c r="P206">
        <v>0</v>
      </c>
      <c r="Q206" s="4">
        <v>33</v>
      </c>
      <c r="R206" s="12">
        <f t="shared" si="3"/>
        <v>11253</v>
      </c>
      <c r="T206" t="s">
        <v>225</v>
      </c>
      <c r="U206" t="s">
        <v>226</v>
      </c>
      <c r="V206" s="4">
        <v>341</v>
      </c>
      <c r="W206">
        <v>0</v>
      </c>
    </row>
    <row r="207" spans="1:23" hidden="1" x14ac:dyDescent="0.25">
      <c r="A207" s="2">
        <v>46020.364444444444</v>
      </c>
      <c r="B207">
        <v>4383</v>
      </c>
      <c r="C207" t="s">
        <v>223</v>
      </c>
      <c r="D207" s="3">
        <v>46015</v>
      </c>
      <c r="E207" s="3">
        <v>46172</v>
      </c>
      <c r="F207" t="s">
        <v>98</v>
      </c>
      <c r="H207" t="s">
        <v>22</v>
      </c>
      <c r="I207" t="s">
        <v>42</v>
      </c>
      <c r="J207" t="s">
        <v>1490</v>
      </c>
      <c r="K207" t="s">
        <v>24</v>
      </c>
      <c r="L207" s="4">
        <v>238</v>
      </c>
      <c r="M207" t="s">
        <v>224</v>
      </c>
      <c r="N207" t="s">
        <v>46</v>
      </c>
      <c r="O207" s="4">
        <v>60</v>
      </c>
      <c r="P207">
        <v>0</v>
      </c>
      <c r="Q207" s="4">
        <v>60</v>
      </c>
      <c r="R207" s="12">
        <f t="shared" si="3"/>
        <v>14280</v>
      </c>
      <c r="T207" t="s">
        <v>225</v>
      </c>
      <c r="U207" t="s">
        <v>226</v>
      </c>
      <c r="V207" s="4">
        <v>238</v>
      </c>
      <c r="W207">
        <v>0</v>
      </c>
    </row>
    <row r="208" spans="1:23" hidden="1" x14ac:dyDescent="0.25">
      <c r="A208" s="2">
        <v>46020.364444444444</v>
      </c>
      <c r="B208">
        <v>4383</v>
      </c>
      <c r="C208" t="s">
        <v>223</v>
      </c>
      <c r="D208" s="3">
        <v>46015</v>
      </c>
      <c r="E208" s="3">
        <v>46172</v>
      </c>
      <c r="F208" t="s">
        <v>98</v>
      </c>
      <c r="G208" t="s">
        <v>1493</v>
      </c>
      <c r="H208" t="s">
        <v>22</v>
      </c>
      <c r="I208" t="s">
        <v>40</v>
      </c>
      <c r="J208" t="s">
        <v>1491</v>
      </c>
      <c r="K208" t="s">
        <v>24</v>
      </c>
      <c r="L208" s="4">
        <v>341</v>
      </c>
      <c r="M208" t="s">
        <v>224</v>
      </c>
      <c r="N208" t="s">
        <v>46</v>
      </c>
      <c r="O208" s="4">
        <v>33</v>
      </c>
      <c r="P208">
        <v>0</v>
      </c>
      <c r="Q208" s="4">
        <v>33</v>
      </c>
      <c r="R208" s="12">
        <f t="shared" si="3"/>
        <v>11253</v>
      </c>
      <c r="T208" t="s">
        <v>225</v>
      </c>
      <c r="U208" t="s">
        <v>226</v>
      </c>
      <c r="V208" s="4">
        <v>341</v>
      </c>
      <c r="W208">
        <v>0</v>
      </c>
    </row>
    <row r="209" spans="1:23" hidden="1" x14ac:dyDescent="0.25">
      <c r="A209" s="2">
        <v>46048.476087962961</v>
      </c>
      <c r="B209">
        <v>4486</v>
      </c>
      <c r="C209" t="s">
        <v>223</v>
      </c>
      <c r="D209" s="3">
        <v>46045</v>
      </c>
      <c r="E209" s="3">
        <v>46172</v>
      </c>
      <c r="F209" t="s">
        <v>98</v>
      </c>
      <c r="G209" t="s">
        <v>1493</v>
      </c>
      <c r="H209" t="s">
        <v>22</v>
      </c>
      <c r="I209" t="s">
        <v>41</v>
      </c>
      <c r="J209" t="s">
        <v>1491</v>
      </c>
      <c r="K209" t="s">
        <v>24</v>
      </c>
      <c r="L209" s="4">
        <v>341</v>
      </c>
      <c r="M209" t="s">
        <v>227</v>
      </c>
      <c r="N209" t="s">
        <v>46</v>
      </c>
      <c r="O209" s="4">
        <v>6</v>
      </c>
      <c r="P209">
        <v>0</v>
      </c>
      <c r="Q209" s="4">
        <v>6</v>
      </c>
      <c r="R209" s="12">
        <f t="shared" si="3"/>
        <v>2046</v>
      </c>
      <c r="T209" t="s">
        <v>225</v>
      </c>
      <c r="U209" t="s">
        <v>226</v>
      </c>
      <c r="V209" s="4">
        <v>341</v>
      </c>
      <c r="W209">
        <v>0</v>
      </c>
    </row>
    <row r="210" spans="1:23" hidden="1" x14ac:dyDescent="0.25">
      <c r="A210" s="2">
        <v>46048.476087962961</v>
      </c>
      <c r="B210">
        <v>4486</v>
      </c>
      <c r="C210" t="s">
        <v>223</v>
      </c>
      <c r="D210" s="3">
        <v>46045</v>
      </c>
      <c r="E210" s="3">
        <v>46172</v>
      </c>
      <c r="F210" t="s">
        <v>98</v>
      </c>
      <c r="G210" t="s">
        <v>1493</v>
      </c>
      <c r="H210" t="s">
        <v>22</v>
      </c>
      <c r="I210" t="s">
        <v>40</v>
      </c>
      <c r="J210" t="s">
        <v>1491</v>
      </c>
      <c r="K210" t="s">
        <v>24</v>
      </c>
      <c r="L210" s="4">
        <v>341</v>
      </c>
      <c r="M210" t="s">
        <v>227</v>
      </c>
      <c r="N210" t="s">
        <v>46</v>
      </c>
      <c r="O210" s="4">
        <v>6</v>
      </c>
      <c r="P210">
        <v>0</v>
      </c>
      <c r="Q210" s="4">
        <v>6</v>
      </c>
      <c r="R210" s="12">
        <f t="shared" si="3"/>
        <v>2046</v>
      </c>
      <c r="T210" t="s">
        <v>225</v>
      </c>
      <c r="U210" t="s">
        <v>226</v>
      </c>
      <c r="V210" s="4">
        <v>341</v>
      </c>
      <c r="W210">
        <v>0</v>
      </c>
    </row>
    <row r="211" spans="1:23" hidden="1" x14ac:dyDescent="0.25">
      <c r="A211" s="2">
        <v>46048.476087962961</v>
      </c>
      <c r="B211">
        <v>4486</v>
      </c>
      <c r="C211" t="s">
        <v>223</v>
      </c>
      <c r="D211" s="3">
        <v>46045</v>
      </c>
      <c r="E211" s="3">
        <v>46172</v>
      </c>
      <c r="F211" t="s">
        <v>98</v>
      </c>
      <c r="H211" t="s">
        <v>22</v>
      </c>
      <c r="I211" t="s">
        <v>42</v>
      </c>
      <c r="J211" t="s">
        <v>1490</v>
      </c>
      <c r="K211" t="s">
        <v>24</v>
      </c>
      <c r="L211" s="4">
        <v>238</v>
      </c>
      <c r="M211" t="s">
        <v>227</v>
      </c>
      <c r="N211" t="s">
        <v>46</v>
      </c>
      <c r="O211" s="4">
        <v>5</v>
      </c>
      <c r="P211">
        <v>0</v>
      </c>
      <c r="Q211" s="4">
        <v>5</v>
      </c>
      <c r="R211" s="12">
        <f t="shared" si="3"/>
        <v>1190</v>
      </c>
      <c r="T211" t="s">
        <v>225</v>
      </c>
      <c r="U211" t="s">
        <v>226</v>
      </c>
      <c r="V211" s="4">
        <v>238</v>
      </c>
      <c r="W211">
        <v>0</v>
      </c>
    </row>
    <row r="212" spans="1:23" hidden="1" x14ac:dyDescent="0.25">
      <c r="A212" s="2">
        <v>46048.476087962961</v>
      </c>
      <c r="B212">
        <v>4486</v>
      </c>
      <c r="C212" t="s">
        <v>223</v>
      </c>
      <c r="D212" s="3">
        <v>46045</v>
      </c>
      <c r="E212" s="3">
        <v>46172</v>
      </c>
      <c r="F212" t="s">
        <v>98</v>
      </c>
      <c r="G212" t="s">
        <v>1493</v>
      </c>
      <c r="H212" t="s">
        <v>22</v>
      </c>
      <c r="I212" t="s">
        <v>63</v>
      </c>
      <c r="J212" t="s">
        <v>1491</v>
      </c>
      <c r="K212" t="s">
        <v>31</v>
      </c>
      <c r="L212" s="4">
        <v>185</v>
      </c>
      <c r="M212" t="s">
        <v>227</v>
      </c>
      <c r="N212" t="s">
        <v>46</v>
      </c>
      <c r="O212" s="4">
        <v>76</v>
      </c>
      <c r="P212">
        <v>0</v>
      </c>
      <c r="Q212" s="4">
        <v>76</v>
      </c>
      <c r="R212" s="12">
        <f t="shared" si="3"/>
        <v>14060</v>
      </c>
      <c r="T212" t="s">
        <v>225</v>
      </c>
      <c r="U212" t="s">
        <v>226</v>
      </c>
      <c r="V212" s="4">
        <v>185</v>
      </c>
      <c r="W212">
        <v>0</v>
      </c>
    </row>
    <row r="213" spans="1:23" hidden="1" x14ac:dyDescent="0.25">
      <c r="A213" s="2">
        <v>46024.360405092593</v>
      </c>
      <c r="B213">
        <v>4400</v>
      </c>
      <c r="C213" t="s">
        <v>228</v>
      </c>
      <c r="D213" s="3">
        <v>46024</v>
      </c>
      <c r="E213" s="3">
        <v>46025</v>
      </c>
      <c r="F213" t="s">
        <v>85</v>
      </c>
      <c r="H213" t="s">
        <v>22</v>
      </c>
      <c r="I213" t="s">
        <v>34</v>
      </c>
      <c r="J213" t="s">
        <v>1490</v>
      </c>
      <c r="K213" t="s">
        <v>31</v>
      </c>
      <c r="L213" s="4">
        <v>23.5</v>
      </c>
      <c r="M213" t="s">
        <v>229</v>
      </c>
      <c r="N213" t="s">
        <v>26</v>
      </c>
      <c r="O213" s="4">
        <v>230</v>
      </c>
      <c r="P213">
        <v>0</v>
      </c>
      <c r="Q213" s="4">
        <v>230</v>
      </c>
      <c r="R213" s="12">
        <f t="shared" si="3"/>
        <v>5405</v>
      </c>
      <c r="T213" t="s">
        <v>230</v>
      </c>
      <c r="U213" t="s">
        <v>231</v>
      </c>
      <c r="V213" s="4">
        <v>23.5</v>
      </c>
      <c r="W213">
        <v>0</v>
      </c>
    </row>
    <row r="214" spans="1:23" hidden="1" x14ac:dyDescent="0.25">
      <c r="A214" s="2">
        <v>46057.680497685185</v>
      </c>
      <c r="B214">
        <v>4526</v>
      </c>
      <c r="C214" t="s">
        <v>232</v>
      </c>
      <c r="D214" s="3">
        <v>46057</v>
      </c>
      <c r="E214" s="3">
        <v>46264</v>
      </c>
      <c r="F214" t="s">
        <v>85</v>
      </c>
      <c r="H214" t="s">
        <v>22</v>
      </c>
      <c r="I214" t="s">
        <v>233</v>
      </c>
      <c r="K214" t="s">
        <v>31</v>
      </c>
      <c r="L214" s="4">
        <v>440</v>
      </c>
      <c r="M214" t="s">
        <v>234</v>
      </c>
      <c r="N214" t="s">
        <v>46</v>
      </c>
      <c r="O214" s="4">
        <v>10</v>
      </c>
      <c r="P214">
        <v>0</v>
      </c>
      <c r="Q214" s="4">
        <v>10</v>
      </c>
      <c r="R214" s="12">
        <f t="shared" si="3"/>
        <v>4400</v>
      </c>
      <c r="T214" t="s">
        <v>27</v>
      </c>
      <c r="U214" t="s">
        <v>235</v>
      </c>
      <c r="V214" s="4">
        <v>440</v>
      </c>
      <c r="W214">
        <v>0</v>
      </c>
    </row>
    <row r="215" spans="1:23" hidden="1" x14ac:dyDescent="0.25">
      <c r="A215" s="2">
        <v>45888.637013888889</v>
      </c>
      <c r="B215">
        <v>3983</v>
      </c>
      <c r="C215" t="s">
        <v>236</v>
      </c>
      <c r="D215" s="3">
        <v>45888</v>
      </c>
      <c r="E215" s="3">
        <v>46111</v>
      </c>
      <c r="F215" t="s">
        <v>21</v>
      </c>
      <c r="G215" t="s">
        <v>1493</v>
      </c>
      <c r="H215" t="s">
        <v>22</v>
      </c>
      <c r="I215" t="s">
        <v>40</v>
      </c>
      <c r="J215" t="s">
        <v>1491</v>
      </c>
      <c r="K215" t="s">
        <v>24</v>
      </c>
      <c r="L215" s="4">
        <v>300</v>
      </c>
      <c r="M215" t="s">
        <v>237</v>
      </c>
      <c r="N215" t="s">
        <v>26</v>
      </c>
      <c r="O215" s="4">
        <v>40</v>
      </c>
      <c r="P215">
        <v>0</v>
      </c>
      <c r="Q215" s="4">
        <v>40</v>
      </c>
      <c r="R215" s="12">
        <f t="shared" si="3"/>
        <v>12000</v>
      </c>
      <c r="T215" t="s">
        <v>27</v>
      </c>
      <c r="U215" t="s">
        <v>238</v>
      </c>
      <c r="V215" s="4">
        <v>300</v>
      </c>
      <c r="W215">
        <v>0</v>
      </c>
    </row>
    <row r="216" spans="1:23" hidden="1" x14ac:dyDescent="0.25">
      <c r="A216" s="2">
        <v>45888.637013888889</v>
      </c>
      <c r="B216">
        <v>3983</v>
      </c>
      <c r="C216" t="s">
        <v>236</v>
      </c>
      <c r="D216" s="3">
        <v>45888</v>
      </c>
      <c r="E216" s="3">
        <v>46111</v>
      </c>
      <c r="F216" t="s">
        <v>21</v>
      </c>
      <c r="G216" t="s">
        <v>1493</v>
      </c>
      <c r="H216" t="s">
        <v>22</v>
      </c>
      <c r="I216" t="s">
        <v>41</v>
      </c>
      <c r="J216" t="s">
        <v>1491</v>
      </c>
      <c r="K216" t="s">
        <v>24</v>
      </c>
      <c r="L216" s="4">
        <v>300</v>
      </c>
      <c r="M216" t="s">
        <v>237</v>
      </c>
      <c r="N216" t="s">
        <v>26</v>
      </c>
      <c r="O216" s="4">
        <v>180</v>
      </c>
      <c r="P216">
        <v>0</v>
      </c>
      <c r="Q216" s="4">
        <v>180</v>
      </c>
      <c r="R216" s="12">
        <f t="shared" si="3"/>
        <v>54000</v>
      </c>
      <c r="T216" t="s">
        <v>27</v>
      </c>
      <c r="U216" t="s">
        <v>238</v>
      </c>
      <c r="V216" s="4">
        <v>300</v>
      </c>
      <c r="W216">
        <v>0</v>
      </c>
    </row>
    <row r="217" spans="1:23" hidden="1" x14ac:dyDescent="0.25">
      <c r="A217" s="2">
        <v>45888.637013888889</v>
      </c>
      <c r="B217">
        <v>3983</v>
      </c>
      <c r="C217" t="s">
        <v>236</v>
      </c>
      <c r="D217" s="3">
        <v>45888</v>
      </c>
      <c r="E217" s="3">
        <v>46111</v>
      </c>
      <c r="F217" t="s">
        <v>21</v>
      </c>
      <c r="G217" t="s">
        <v>1493</v>
      </c>
      <c r="H217" t="s">
        <v>22</v>
      </c>
      <c r="I217" t="s">
        <v>43</v>
      </c>
      <c r="J217" t="s">
        <v>1491</v>
      </c>
      <c r="K217" t="s">
        <v>24</v>
      </c>
      <c r="L217" s="4">
        <v>42.5</v>
      </c>
      <c r="M217" t="s">
        <v>237</v>
      </c>
      <c r="N217" t="s">
        <v>26</v>
      </c>
      <c r="O217" s="4">
        <v>150</v>
      </c>
      <c r="P217">
        <v>0</v>
      </c>
      <c r="Q217" s="4">
        <v>150</v>
      </c>
      <c r="R217" s="12">
        <f t="shared" si="3"/>
        <v>6375</v>
      </c>
      <c r="T217" t="s">
        <v>27</v>
      </c>
      <c r="U217" t="s">
        <v>238</v>
      </c>
      <c r="V217" s="4">
        <v>42.5</v>
      </c>
      <c r="W217">
        <v>0</v>
      </c>
    </row>
    <row r="218" spans="1:23" hidden="1" x14ac:dyDescent="0.25">
      <c r="A218" s="2">
        <v>45888.637013888889</v>
      </c>
      <c r="B218">
        <v>3983</v>
      </c>
      <c r="C218" t="s">
        <v>236</v>
      </c>
      <c r="D218" s="3">
        <v>45888</v>
      </c>
      <c r="E218" s="3">
        <v>46111</v>
      </c>
      <c r="F218" t="s">
        <v>21</v>
      </c>
      <c r="G218" t="s">
        <v>1493</v>
      </c>
      <c r="H218" t="s">
        <v>22</v>
      </c>
      <c r="I218" t="s">
        <v>38</v>
      </c>
      <c r="J218" t="s">
        <v>1491</v>
      </c>
      <c r="K218" t="s">
        <v>24</v>
      </c>
      <c r="L218" s="4">
        <v>44</v>
      </c>
      <c r="M218" t="s">
        <v>237</v>
      </c>
      <c r="N218" t="s">
        <v>26</v>
      </c>
      <c r="O218" s="4">
        <v>201</v>
      </c>
      <c r="P218">
        <v>0</v>
      </c>
      <c r="Q218" s="4">
        <v>201</v>
      </c>
      <c r="R218" s="12">
        <f t="shared" si="3"/>
        <v>8844</v>
      </c>
      <c r="T218" t="s">
        <v>27</v>
      </c>
      <c r="U218" t="s">
        <v>238</v>
      </c>
      <c r="V218" s="4">
        <v>44</v>
      </c>
      <c r="W218">
        <v>0</v>
      </c>
    </row>
    <row r="219" spans="1:23" hidden="1" x14ac:dyDescent="0.25">
      <c r="A219" s="2">
        <v>45888.637013888889</v>
      </c>
      <c r="B219">
        <v>3983</v>
      </c>
      <c r="C219" t="s">
        <v>236</v>
      </c>
      <c r="D219" s="3">
        <v>45888</v>
      </c>
      <c r="E219" s="3">
        <v>46111</v>
      </c>
      <c r="F219" t="s">
        <v>21</v>
      </c>
      <c r="G219" t="s">
        <v>1493</v>
      </c>
      <c r="H219" t="s">
        <v>22</v>
      </c>
      <c r="I219" t="s">
        <v>101</v>
      </c>
      <c r="J219" t="s">
        <v>1491</v>
      </c>
      <c r="K219" t="s">
        <v>31</v>
      </c>
      <c r="L219" s="4">
        <v>560.5</v>
      </c>
      <c r="M219" t="s">
        <v>237</v>
      </c>
      <c r="N219" t="s">
        <v>26</v>
      </c>
      <c r="O219" s="4">
        <v>80</v>
      </c>
      <c r="P219">
        <v>0</v>
      </c>
      <c r="Q219" s="4">
        <v>80</v>
      </c>
      <c r="R219" s="12">
        <f t="shared" si="3"/>
        <v>44840</v>
      </c>
      <c r="T219" t="s">
        <v>27</v>
      </c>
      <c r="U219" t="s">
        <v>238</v>
      </c>
      <c r="V219" s="4">
        <v>560.5</v>
      </c>
      <c r="W219">
        <v>0</v>
      </c>
    </row>
    <row r="220" spans="1:23" hidden="1" x14ac:dyDescent="0.25">
      <c r="A220" s="2">
        <v>45888.637013888889</v>
      </c>
      <c r="B220">
        <v>3983</v>
      </c>
      <c r="C220" t="s">
        <v>236</v>
      </c>
      <c r="D220" s="3">
        <v>45888</v>
      </c>
      <c r="E220" s="3">
        <v>46111</v>
      </c>
      <c r="F220" t="s">
        <v>21</v>
      </c>
      <c r="G220" t="s">
        <v>1493</v>
      </c>
      <c r="H220" t="s">
        <v>22</v>
      </c>
      <c r="I220" t="s">
        <v>44</v>
      </c>
      <c r="J220" t="s">
        <v>1491</v>
      </c>
      <c r="K220" t="s">
        <v>31</v>
      </c>
      <c r="L220" s="4">
        <v>365.75</v>
      </c>
      <c r="M220" t="s">
        <v>237</v>
      </c>
      <c r="N220" t="s">
        <v>26</v>
      </c>
      <c r="O220" s="4">
        <v>100</v>
      </c>
      <c r="P220">
        <v>0</v>
      </c>
      <c r="Q220" s="4">
        <v>100</v>
      </c>
      <c r="R220" s="12">
        <f t="shared" si="3"/>
        <v>36575</v>
      </c>
      <c r="T220" t="s">
        <v>27</v>
      </c>
      <c r="U220" t="s">
        <v>238</v>
      </c>
      <c r="V220" s="4">
        <v>365.75</v>
      </c>
      <c r="W220">
        <v>0</v>
      </c>
    </row>
    <row r="221" spans="1:23" hidden="1" x14ac:dyDescent="0.25">
      <c r="A221" s="2">
        <v>45888.637013888889</v>
      </c>
      <c r="B221">
        <v>3983</v>
      </c>
      <c r="C221" t="s">
        <v>236</v>
      </c>
      <c r="D221" s="3">
        <v>45888</v>
      </c>
      <c r="E221" s="3">
        <v>46111</v>
      </c>
      <c r="F221" t="s">
        <v>21</v>
      </c>
      <c r="G221" t="s">
        <v>1493</v>
      </c>
      <c r="H221" t="s">
        <v>22</v>
      </c>
      <c r="I221" t="s">
        <v>59</v>
      </c>
      <c r="J221" t="s">
        <v>1491</v>
      </c>
      <c r="K221" t="s">
        <v>24</v>
      </c>
      <c r="L221" s="4">
        <v>42.75</v>
      </c>
      <c r="M221" t="s">
        <v>237</v>
      </c>
      <c r="N221" t="s">
        <v>26</v>
      </c>
      <c r="O221" s="4">
        <v>150</v>
      </c>
      <c r="P221">
        <v>0</v>
      </c>
      <c r="Q221" s="4">
        <v>150</v>
      </c>
      <c r="R221" s="12">
        <f t="shared" si="3"/>
        <v>6412.5</v>
      </c>
      <c r="T221" t="s">
        <v>27</v>
      </c>
      <c r="U221" t="s">
        <v>238</v>
      </c>
      <c r="V221" s="4">
        <v>42.75</v>
      </c>
      <c r="W221">
        <v>0</v>
      </c>
    </row>
    <row r="222" spans="1:23" hidden="1" x14ac:dyDescent="0.25">
      <c r="A222" s="2">
        <v>45888.639178240737</v>
      </c>
      <c r="B222">
        <v>3984</v>
      </c>
      <c r="C222" t="s">
        <v>236</v>
      </c>
      <c r="D222" s="3">
        <v>45888</v>
      </c>
      <c r="E222" s="3">
        <v>46264</v>
      </c>
      <c r="F222" t="s">
        <v>21</v>
      </c>
      <c r="G222" t="s">
        <v>1493</v>
      </c>
      <c r="H222" t="s">
        <v>22</v>
      </c>
      <c r="I222" t="s">
        <v>44</v>
      </c>
      <c r="J222" t="s">
        <v>1491</v>
      </c>
      <c r="K222" t="s">
        <v>31</v>
      </c>
      <c r="L222" s="4">
        <v>365.75</v>
      </c>
      <c r="M222" t="s">
        <v>239</v>
      </c>
      <c r="N222" t="s">
        <v>46</v>
      </c>
      <c r="O222" s="4">
        <v>100</v>
      </c>
      <c r="P222">
        <v>0</v>
      </c>
      <c r="Q222" s="4">
        <v>100</v>
      </c>
      <c r="R222" s="12">
        <f t="shared" si="3"/>
        <v>36575</v>
      </c>
      <c r="T222" t="s">
        <v>27</v>
      </c>
      <c r="U222" t="s">
        <v>238</v>
      </c>
      <c r="V222" s="4">
        <v>365.75</v>
      </c>
      <c r="W222">
        <v>0</v>
      </c>
    </row>
    <row r="223" spans="1:23" hidden="1" x14ac:dyDescent="0.25">
      <c r="A223" s="2">
        <v>45888.639178240737</v>
      </c>
      <c r="B223">
        <v>3984</v>
      </c>
      <c r="C223" t="s">
        <v>236</v>
      </c>
      <c r="D223" s="3">
        <v>45888</v>
      </c>
      <c r="E223" s="3">
        <v>46264</v>
      </c>
      <c r="F223" t="s">
        <v>21</v>
      </c>
      <c r="G223" t="s">
        <v>1493</v>
      </c>
      <c r="H223" t="s">
        <v>22</v>
      </c>
      <c r="I223" t="s">
        <v>38</v>
      </c>
      <c r="J223" t="s">
        <v>1491</v>
      </c>
      <c r="K223" t="s">
        <v>24</v>
      </c>
      <c r="L223" s="4">
        <v>44</v>
      </c>
      <c r="M223" t="s">
        <v>239</v>
      </c>
      <c r="N223" t="s">
        <v>46</v>
      </c>
      <c r="O223" s="4">
        <v>201</v>
      </c>
      <c r="P223">
        <v>0</v>
      </c>
      <c r="Q223" s="4">
        <v>201</v>
      </c>
      <c r="R223" s="12">
        <f t="shared" si="3"/>
        <v>8844</v>
      </c>
      <c r="T223" t="s">
        <v>27</v>
      </c>
      <c r="U223" t="s">
        <v>238</v>
      </c>
      <c r="V223" s="4">
        <v>44</v>
      </c>
      <c r="W223">
        <v>0</v>
      </c>
    </row>
    <row r="224" spans="1:23" hidden="1" x14ac:dyDescent="0.25">
      <c r="A224" s="2">
        <v>45888.639178240737</v>
      </c>
      <c r="B224">
        <v>3984</v>
      </c>
      <c r="C224" t="s">
        <v>236</v>
      </c>
      <c r="D224" s="3">
        <v>45888</v>
      </c>
      <c r="E224" s="3">
        <v>46264</v>
      </c>
      <c r="F224" t="s">
        <v>21</v>
      </c>
      <c r="G224" t="s">
        <v>1493</v>
      </c>
      <c r="H224" t="s">
        <v>22</v>
      </c>
      <c r="I224" t="s">
        <v>41</v>
      </c>
      <c r="J224" t="s">
        <v>1491</v>
      </c>
      <c r="K224" t="s">
        <v>24</v>
      </c>
      <c r="L224" s="4">
        <v>300</v>
      </c>
      <c r="M224" t="s">
        <v>239</v>
      </c>
      <c r="N224" t="s">
        <v>46</v>
      </c>
      <c r="O224" s="4">
        <v>40</v>
      </c>
      <c r="P224">
        <v>0</v>
      </c>
      <c r="Q224" s="4">
        <v>40</v>
      </c>
      <c r="R224" s="12">
        <f t="shared" si="3"/>
        <v>12000</v>
      </c>
      <c r="T224" t="s">
        <v>27</v>
      </c>
      <c r="U224" t="s">
        <v>238</v>
      </c>
      <c r="V224" s="4">
        <v>300</v>
      </c>
      <c r="W224">
        <v>0</v>
      </c>
    </row>
    <row r="225" spans="1:23" hidden="1" x14ac:dyDescent="0.25">
      <c r="A225" s="2">
        <v>45888.639178240737</v>
      </c>
      <c r="B225">
        <v>3984</v>
      </c>
      <c r="C225" t="s">
        <v>236</v>
      </c>
      <c r="D225" s="3">
        <v>45888</v>
      </c>
      <c r="E225" s="3">
        <v>46264</v>
      </c>
      <c r="F225" t="s">
        <v>21</v>
      </c>
      <c r="G225" t="s">
        <v>1493</v>
      </c>
      <c r="H225" t="s">
        <v>22</v>
      </c>
      <c r="I225" t="s">
        <v>40</v>
      </c>
      <c r="J225" t="s">
        <v>1491</v>
      </c>
      <c r="K225" t="s">
        <v>24</v>
      </c>
      <c r="L225" s="4">
        <v>300</v>
      </c>
      <c r="M225" t="s">
        <v>239</v>
      </c>
      <c r="N225" t="s">
        <v>46</v>
      </c>
      <c r="O225" s="4">
        <v>40</v>
      </c>
      <c r="P225">
        <v>0</v>
      </c>
      <c r="Q225" s="4">
        <v>40</v>
      </c>
      <c r="R225" s="12">
        <f t="shared" si="3"/>
        <v>12000</v>
      </c>
      <c r="T225" t="s">
        <v>27</v>
      </c>
      <c r="U225" t="s">
        <v>238</v>
      </c>
      <c r="V225" s="4">
        <v>300</v>
      </c>
      <c r="W225">
        <v>0</v>
      </c>
    </row>
    <row r="226" spans="1:23" hidden="1" x14ac:dyDescent="0.25">
      <c r="A226" s="2">
        <v>45951.357847222222</v>
      </c>
      <c r="B226">
        <v>4190</v>
      </c>
      <c r="C226" t="s">
        <v>236</v>
      </c>
      <c r="D226" s="3">
        <v>45951</v>
      </c>
      <c r="E226" s="3">
        <v>46111</v>
      </c>
      <c r="F226" t="s">
        <v>21</v>
      </c>
      <c r="G226" t="s">
        <v>1493</v>
      </c>
      <c r="H226" t="s">
        <v>22</v>
      </c>
      <c r="I226" t="s">
        <v>43</v>
      </c>
      <c r="J226" t="s">
        <v>1491</v>
      </c>
      <c r="K226" t="s">
        <v>24</v>
      </c>
      <c r="L226" s="4">
        <v>42.5</v>
      </c>
      <c r="M226" t="s">
        <v>240</v>
      </c>
      <c r="N226" t="s">
        <v>26</v>
      </c>
      <c r="O226" s="4">
        <v>6</v>
      </c>
      <c r="P226">
        <v>0</v>
      </c>
      <c r="Q226" s="4">
        <v>6</v>
      </c>
      <c r="R226" s="12">
        <f t="shared" si="3"/>
        <v>255</v>
      </c>
      <c r="T226" t="s">
        <v>27</v>
      </c>
      <c r="U226" t="s">
        <v>238</v>
      </c>
      <c r="V226" s="4">
        <v>42.5</v>
      </c>
      <c r="W226">
        <v>0</v>
      </c>
    </row>
    <row r="227" spans="1:23" hidden="1" x14ac:dyDescent="0.25">
      <c r="A227" s="2">
        <v>45951.357847222222</v>
      </c>
      <c r="B227">
        <v>4190</v>
      </c>
      <c r="C227" t="s">
        <v>236</v>
      </c>
      <c r="D227" s="3">
        <v>45951</v>
      </c>
      <c r="E227" s="3">
        <v>46111</v>
      </c>
      <c r="F227" t="s">
        <v>21</v>
      </c>
      <c r="G227" t="s">
        <v>1493</v>
      </c>
      <c r="H227" t="s">
        <v>22</v>
      </c>
      <c r="I227" t="s">
        <v>44</v>
      </c>
      <c r="J227" t="s">
        <v>1491</v>
      </c>
      <c r="K227" t="s">
        <v>31</v>
      </c>
      <c r="L227" s="4">
        <v>365.75</v>
      </c>
      <c r="M227" t="s">
        <v>240</v>
      </c>
      <c r="N227" t="s">
        <v>26</v>
      </c>
      <c r="O227" s="4">
        <v>15</v>
      </c>
      <c r="P227">
        <v>0</v>
      </c>
      <c r="Q227" s="4">
        <v>15</v>
      </c>
      <c r="R227" s="12">
        <f t="shared" si="3"/>
        <v>5486.25</v>
      </c>
      <c r="T227" t="s">
        <v>27</v>
      </c>
      <c r="U227" t="s">
        <v>238</v>
      </c>
      <c r="V227" s="4">
        <v>365.75</v>
      </c>
      <c r="W227">
        <v>0</v>
      </c>
    </row>
    <row r="228" spans="1:23" hidden="1" x14ac:dyDescent="0.25">
      <c r="A228" s="2">
        <v>45951.357847222222</v>
      </c>
      <c r="B228">
        <v>4190</v>
      </c>
      <c r="C228" t="s">
        <v>236</v>
      </c>
      <c r="D228" s="3">
        <v>45951</v>
      </c>
      <c r="E228" s="3">
        <v>46111</v>
      </c>
      <c r="F228" t="s">
        <v>21</v>
      </c>
      <c r="G228" t="s">
        <v>1493</v>
      </c>
      <c r="H228" t="s">
        <v>22</v>
      </c>
      <c r="I228" t="s">
        <v>101</v>
      </c>
      <c r="J228" t="s">
        <v>1491</v>
      </c>
      <c r="K228" t="s">
        <v>31</v>
      </c>
      <c r="L228" s="4">
        <v>560.5</v>
      </c>
      <c r="M228" t="s">
        <v>240</v>
      </c>
      <c r="N228" t="s">
        <v>26</v>
      </c>
      <c r="O228" s="4">
        <v>5</v>
      </c>
      <c r="P228">
        <v>0</v>
      </c>
      <c r="Q228" s="4">
        <v>5</v>
      </c>
      <c r="R228" s="12">
        <f t="shared" si="3"/>
        <v>2802.5</v>
      </c>
      <c r="T228" t="s">
        <v>27</v>
      </c>
      <c r="U228" t="s">
        <v>238</v>
      </c>
      <c r="V228" s="4">
        <v>560.5</v>
      </c>
      <c r="W228">
        <v>0</v>
      </c>
    </row>
    <row r="229" spans="1:23" hidden="1" x14ac:dyDescent="0.25">
      <c r="A229" s="2">
        <v>45951.357847222222</v>
      </c>
      <c r="B229">
        <v>4190</v>
      </c>
      <c r="C229" t="s">
        <v>236</v>
      </c>
      <c r="D229" s="3">
        <v>45951</v>
      </c>
      <c r="E229" s="3">
        <v>46111</v>
      </c>
      <c r="F229" t="s">
        <v>21</v>
      </c>
      <c r="G229" t="s">
        <v>1493</v>
      </c>
      <c r="H229" t="s">
        <v>22</v>
      </c>
      <c r="I229" t="s">
        <v>59</v>
      </c>
      <c r="J229" t="s">
        <v>1491</v>
      </c>
      <c r="K229" t="s">
        <v>24</v>
      </c>
      <c r="L229" s="4">
        <v>42.75</v>
      </c>
      <c r="M229" t="s">
        <v>240</v>
      </c>
      <c r="N229" t="s">
        <v>26</v>
      </c>
      <c r="O229" s="4">
        <v>6</v>
      </c>
      <c r="P229">
        <v>0</v>
      </c>
      <c r="Q229" s="4">
        <v>6</v>
      </c>
      <c r="R229" s="12">
        <f t="shared" si="3"/>
        <v>256.5</v>
      </c>
      <c r="T229" t="s">
        <v>27</v>
      </c>
      <c r="U229" t="s">
        <v>238</v>
      </c>
      <c r="V229" s="4">
        <v>42.75</v>
      </c>
      <c r="W229">
        <v>0</v>
      </c>
    </row>
    <row r="230" spans="1:23" hidden="1" x14ac:dyDescent="0.25">
      <c r="A230" s="2">
        <v>45995.352534722224</v>
      </c>
      <c r="B230">
        <v>4323</v>
      </c>
      <c r="C230" t="s">
        <v>236</v>
      </c>
      <c r="D230" s="3">
        <v>45995</v>
      </c>
      <c r="E230" s="3">
        <v>46111</v>
      </c>
      <c r="F230" t="s">
        <v>21</v>
      </c>
      <c r="H230" t="s">
        <v>22</v>
      </c>
      <c r="I230" t="s">
        <v>171</v>
      </c>
      <c r="K230" t="s">
        <v>24</v>
      </c>
      <c r="L230" s="4">
        <v>33</v>
      </c>
      <c r="M230" t="s">
        <v>241</v>
      </c>
      <c r="N230" t="s">
        <v>26</v>
      </c>
      <c r="O230" s="4">
        <v>252</v>
      </c>
      <c r="P230">
        <v>0</v>
      </c>
      <c r="Q230" s="4">
        <v>252</v>
      </c>
      <c r="R230" s="12">
        <f t="shared" si="3"/>
        <v>8316</v>
      </c>
      <c r="T230" t="s">
        <v>27</v>
      </c>
      <c r="U230" t="s">
        <v>238</v>
      </c>
      <c r="V230" s="4">
        <v>33</v>
      </c>
      <c r="W230">
        <v>0</v>
      </c>
    </row>
    <row r="231" spans="1:23" hidden="1" x14ac:dyDescent="0.25">
      <c r="A231" s="2">
        <v>45777.351006944446</v>
      </c>
      <c r="B231">
        <v>3823</v>
      </c>
      <c r="C231" t="s">
        <v>242</v>
      </c>
      <c r="D231" s="3">
        <v>45777</v>
      </c>
      <c r="E231" s="3">
        <v>45899</v>
      </c>
      <c r="F231" t="s">
        <v>112</v>
      </c>
      <c r="G231" t="s">
        <v>1493</v>
      </c>
      <c r="H231" t="s">
        <v>22</v>
      </c>
      <c r="I231" t="s">
        <v>63</v>
      </c>
      <c r="J231" t="s">
        <v>1491</v>
      </c>
      <c r="K231" t="s">
        <v>31</v>
      </c>
      <c r="L231" s="4">
        <v>220</v>
      </c>
      <c r="M231" t="s">
        <v>243</v>
      </c>
      <c r="N231" t="s">
        <v>26</v>
      </c>
      <c r="O231" s="4">
        <v>30</v>
      </c>
      <c r="P231">
        <v>0</v>
      </c>
      <c r="Q231" s="4">
        <v>30</v>
      </c>
      <c r="R231" s="12">
        <f t="shared" si="3"/>
        <v>6600</v>
      </c>
      <c r="T231" t="s">
        <v>68</v>
      </c>
      <c r="U231" t="s">
        <v>244</v>
      </c>
      <c r="V231" s="4">
        <v>220</v>
      </c>
      <c r="W231">
        <v>0</v>
      </c>
    </row>
    <row r="232" spans="1:23" hidden="1" x14ac:dyDescent="0.25">
      <c r="A232" s="2">
        <v>45777.351006944446</v>
      </c>
      <c r="B232">
        <v>3823</v>
      </c>
      <c r="C232" t="s">
        <v>242</v>
      </c>
      <c r="D232" s="3">
        <v>45777</v>
      </c>
      <c r="E232" s="3">
        <v>45899</v>
      </c>
      <c r="F232" t="s">
        <v>112</v>
      </c>
      <c r="G232" t="s">
        <v>1493</v>
      </c>
      <c r="H232" t="s">
        <v>22</v>
      </c>
      <c r="I232" t="s">
        <v>40</v>
      </c>
      <c r="J232" t="s">
        <v>1491</v>
      </c>
      <c r="K232" t="s">
        <v>24</v>
      </c>
      <c r="L232" s="4">
        <v>360</v>
      </c>
      <c r="M232" t="s">
        <v>243</v>
      </c>
      <c r="N232" t="s">
        <v>26</v>
      </c>
      <c r="O232" s="4">
        <v>4</v>
      </c>
      <c r="P232">
        <v>0</v>
      </c>
      <c r="Q232" s="4">
        <v>4</v>
      </c>
      <c r="R232" s="12">
        <f t="shared" si="3"/>
        <v>1440</v>
      </c>
      <c r="T232" t="s">
        <v>68</v>
      </c>
      <c r="U232" t="s">
        <v>244</v>
      </c>
      <c r="V232" s="4">
        <v>360</v>
      </c>
      <c r="W232">
        <v>0</v>
      </c>
    </row>
    <row r="233" spans="1:23" hidden="1" x14ac:dyDescent="0.25">
      <c r="A233" s="2">
        <v>45777.351006944446</v>
      </c>
      <c r="B233">
        <v>3823</v>
      </c>
      <c r="C233" t="s">
        <v>242</v>
      </c>
      <c r="D233" s="3">
        <v>45777</v>
      </c>
      <c r="E233" s="3">
        <v>45899</v>
      </c>
      <c r="F233" t="s">
        <v>112</v>
      </c>
      <c r="G233" t="s">
        <v>1493</v>
      </c>
      <c r="H233" t="s">
        <v>22</v>
      </c>
      <c r="I233" t="s">
        <v>41</v>
      </c>
      <c r="J233" t="s">
        <v>1491</v>
      </c>
      <c r="K233" t="s">
        <v>24</v>
      </c>
      <c r="L233" s="4">
        <v>375</v>
      </c>
      <c r="M233" t="s">
        <v>243</v>
      </c>
      <c r="N233" t="s">
        <v>26</v>
      </c>
      <c r="O233" s="4">
        <v>4</v>
      </c>
      <c r="P233">
        <v>0</v>
      </c>
      <c r="Q233" s="4">
        <v>4</v>
      </c>
      <c r="R233" s="12">
        <f t="shared" si="3"/>
        <v>1500</v>
      </c>
      <c r="T233" t="s">
        <v>68</v>
      </c>
      <c r="U233" t="s">
        <v>244</v>
      </c>
      <c r="V233" s="4">
        <v>375</v>
      </c>
      <c r="W233">
        <v>0</v>
      </c>
    </row>
    <row r="234" spans="1:23" hidden="1" x14ac:dyDescent="0.25">
      <c r="A234" s="2">
        <v>45777.351006944446</v>
      </c>
      <c r="B234">
        <v>3823</v>
      </c>
      <c r="C234" t="s">
        <v>242</v>
      </c>
      <c r="D234" s="3">
        <v>45777</v>
      </c>
      <c r="E234" s="3">
        <v>45899</v>
      </c>
      <c r="F234" t="s">
        <v>112</v>
      </c>
      <c r="G234" t="s">
        <v>1493</v>
      </c>
      <c r="H234" t="s">
        <v>22</v>
      </c>
      <c r="I234" t="s">
        <v>38</v>
      </c>
      <c r="J234" t="s">
        <v>1491</v>
      </c>
      <c r="K234" t="s">
        <v>24</v>
      </c>
      <c r="L234" s="4">
        <v>58</v>
      </c>
      <c r="M234" t="s">
        <v>243</v>
      </c>
      <c r="N234" t="s">
        <v>26</v>
      </c>
      <c r="O234" s="4">
        <v>30</v>
      </c>
      <c r="P234">
        <v>0</v>
      </c>
      <c r="Q234" s="4">
        <v>30</v>
      </c>
      <c r="R234" s="12">
        <f t="shared" si="3"/>
        <v>1740</v>
      </c>
      <c r="T234" t="s">
        <v>68</v>
      </c>
      <c r="U234" t="s">
        <v>244</v>
      </c>
      <c r="V234" s="4">
        <v>58</v>
      </c>
      <c r="W234">
        <v>0</v>
      </c>
    </row>
    <row r="235" spans="1:23" hidden="1" x14ac:dyDescent="0.25">
      <c r="A235" s="2">
        <v>45862.345312500001</v>
      </c>
      <c r="B235">
        <v>3944</v>
      </c>
      <c r="C235" t="s">
        <v>242</v>
      </c>
      <c r="D235" s="3">
        <v>45862</v>
      </c>
      <c r="E235" s="3">
        <v>45899</v>
      </c>
      <c r="F235" t="s">
        <v>112</v>
      </c>
      <c r="G235" t="s">
        <v>1493</v>
      </c>
      <c r="H235" t="s">
        <v>22</v>
      </c>
      <c r="I235" t="s">
        <v>38</v>
      </c>
      <c r="J235" t="s">
        <v>1491</v>
      </c>
      <c r="K235" t="s">
        <v>24</v>
      </c>
      <c r="L235" s="4">
        <v>58</v>
      </c>
      <c r="M235" t="s">
        <v>245</v>
      </c>
      <c r="N235" t="s">
        <v>26</v>
      </c>
      <c r="O235" s="4">
        <v>15</v>
      </c>
      <c r="P235">
        <v>0</v>
      </c>
      <c r="Q235" s="4">
        <v>15</v>
      </c>
      <c r="R235" s="12">
        <f t="shared" si="3"/>
        <v>870</v>
      </c>
      <c r="T235" t="s">
        <v>68</v>
      </c>
      <c r="U235" t="s">
        <v>244</v>
      </c>
      <c r="V235" s="4">
        <v>58</v>
      </c>
      <c r="W235">
        <v>0</v>
      </c>
    </row>
    <row r="236" spans="1:23" hidden="1" x14ac:dyDescent="0.25">
      <c r="A236" s="2">
        <v>45862.345312500001</v>
      </c>
      <c r="B236">
        <v>3944</v>
      </c>
      <c r="C236" t="s">
        <v>242</v>
      </c>
      <c r="D236" s="3">
        <v>45862</v>
      </c>
      <c r="E236" s="3">
        <v>45899</v>
      </c>
      <c r="F236" t="s">
        <v>112</v>
      </c>
      <c r="G236" t="s">
        <v>1493</v>
      </c>
      <c r="H236" t="s">
        <v>22</v>
      </c>
      <c r="I236" t="s">
        <v>63</v>
      </c>
      <c r="J236" t="s">
        <v>1491</v>
      </c>
      <c r="K236" t="s">
        <v>31</v>
      </c>
      <c r="L236" s="4">
        <v>220</v>
      </c>
      <c r="M236" t="s">
        <v>245</v>
      </c>
      <c r="N236" t="s">
        <v>26</v>
      </c>
      <c r="O236" s="4">
        <v>15</v>
      </c>
      <c r="P236">
        <v>0</v>
      </c>
      <c r="Q236" s="4">
        <v>15</v>
      </c>
      <c r="R236" s="12">
        <f t="shared" si="3"/>
        <v>3300</v>
      </c>
      <c r="T236" t="s">
        <v>68</v>
      </c>
      <c r="U236" t="s">
        <v>244</v>
      </c>
      <c r="V236" s="4">
        <v>220</v>
      </c>
      <c r="W236">
        <v>0</v>
      </c>
    </row>
    <row r="237" spans="1:23" hidden="1" x14ac:dyDescent="0.25">
      <c r="A237" s="2">
        <v>45954.430219907408</v>
      </c>
      <c r="B237">
        <v>4204</v>
      </c>
      <c r="C237" t="s">
        <v>246</v>
      </c>
      <c r="D237" s="3">
        <v>45954</v>
      </c>
      <c r="E237" s="3">
        <v>46111</v>
      </c>
      <c r="F237" t="s">
        <v>247</v>
      </c>
      <c r="H237" t="s">
        <v>22</v>
      </c>
      <c r="I237" t="s">
        <v>248</v>
      </c>
      <c r="K237" t="s">
        <v>24</v>
      </c>
      <c r="L237" s="4">
        <v>110</v>
      </c>
      <c r="M237" t="s">
        <v>249</v>
      </c>
      <c r="N237" t="s">
        <v>26</v>
      </c>
      <c r="O237" s="4">
        <v>5</v>
      </c>
      <c r="P237">
        <v>0</v>
      </c>
      <c r="Q237" s="4">
        <v>5</v>
      </c>
      <c r="R237" s="12">
        <f t="shared" si="3"/>
        <v>550</v>
      </c>
      <c r="T237" t="s">
        <v>218</v>
      </c>
      <c r="U237" t="s">
        <v>250</v>
      </c>
      <c r="V237" s="4">
        <v>110</v>
      </c>
      <c r="W237">
        <v>0</v>
      </c>
    </row>
    <row r="238" spans="1:23" hidden="1" x14ac:dyDescent="0.25">
      <c r="A238" s="2">
        <v>45873.675092592595</v>
      </c>
      <c r="B238">
        <v>3964</v>
      </c>
      <c r="C238" t="s">
        <v>251</v>
      </c>
      <c r="D238" s="3">
        <v>45873</v>
      </c>
      <c r="E238" s="3">
        <v>46111</v>
      </c>
      <c r="F238" t="s">
        <v>21</v>
      </c>
      <c r="H238" t="s">
        <v>22</v>
      </c>
      <c r="I238" t="s">
        <v>37</v>
      </c>
      <c r="J238" t="s">
        <v>1490</v>
      </c>
      <c r="K238" t="s">
        <v>31</v>
      </c>
      <c r="L238" s="4">
        <v>95</v>
      </c>
      <c r="M238" t="s">
        <v>252</v>
      </c>
      <c r="N238" t="s">
        <v>26</v>
      </c>
      <c r="O238" s="4">
        <v>36</v>
      </c>
      <c r="P238">
        <v>0</v>
      </c>
      <c r="Q238" s="4">
        <v>36</v>
      </c>
      <c r="R238" s="12">
        <f t="shared" si="3"/>
        <v>3420</v>
      </c>
      <c r="T238" t="s">
        <v>27</v>
      </c>
      <c r="U238" t="s">
        <v>253</v>
      </c>
      <c r="V238" s="4">
        <v>95</v>
      </c>
      <c r="W238">
        <v>0</v>
      </c>
    </row>
    <row r="239" spans="1:23" hidden="1" x14ac:dyDescent="0.25">
      <c r="A239" s="2">
        <v>45873.675092592595</v>
      </c>
      <c r="B239">
        <v>3964</v>
      </c>
      <c r="C239" t="s">
        <v>251</v>
      </c>
      <c r="D239" s="3">
        <v>45873</v>
      </c>
      <c r="E239" s="3">
        <v>46111</v>
      </c>
      <c r="F239" t="s">
        <v>21</v>
      </c>
      <c r="H239" t="s">
        <v>22</v>
      </c>
      <c r="I239" t="s">
        <v>29</v>
      </c>
      <c r="J239" t="s">
        <v>1490</v>
      </c>
      <c r="K239" t="s">
        <v>24</v>
      </c>
      <c r="L239" s="4">
        <v>170</v>
      </c>
      <c r="M239" t="s">
        <v>252</v>
      </c>
      <c r="N239" t="s">
        <v>26</v>
      </c>
      <c r="O239" s="4">
        <v>80</v>
      </c>
      <c r="P239">
        <v>0</v>
      </c>
      <c r="Q239" s="4">
        <v>80</v>
      </c>
      <c r="R239" s="12">
        <f t="shared" si="3"/>
        <v>13600</v>
      </c>
      <c r="T239" t="s">
        <v>27</v>
      </c>
      <c r="U239" t="s">
        <v>253</v>
      </c>
      <c r="V239" s="4">
        <v>170</v>
      </c>
      <c r="W239">
        <v>0</v>
      </c>
    </row>
    <row r="240" spans="1:23" hidden="1" x14ac:dyDescent="0.25">
      <c r="A240" s="2">
        <v>45873.675092592595</v>
      </c>
      <c r="B240">
        <v>3964</v>
      </c>
      <c r="C240" t="s">
        <v>251</v>
      </c>
      <c r="D240" s="3">
        <v>45873</v>
      </c>
      <c r="E240" s="3">
        <v>46111</v>
      </c>
      <c r="F240" t="s">
        <v>21</v>
      </c>
      <c r="H240" t="s">
        <v>22</v>
      </c>
      <c r="I240" t="s">
        <v>30</v>
      </c>
      <c r="J240" t="s">
        <v>1490</v>
      </c>
      <c r="K240" t="s">
        <v>31</v>
      </c>
      <c r="L240" s="4">
        <v>25</v>
      </c>
      <c r="M240" t="s">
        <v>252</v>
      </c>
      <c r="N240" t="s">
        <v>26</v>
      </c>
      <c r="O240" s="4">
        <v>700</v>
      </c>
      <c r="P240">
        <v>0</v>
      </c>
      <c r="Q240" s="4">
        <v>700</v>
      </c>
      <c r="R240" s="12">
        <f t="shared" si="3"/>
        <v>17500</v>
      </c>
      <c r="T240" t="s">
        <v>27</v>
      </c>
      <c r="U240" t="s">
        <v>253</v>
      </c>
      <c r="V240" s="4">
        <v>25</v>
      </c>
      <c r="W240">
        <v>0</v>
      </c>
    </row>
    <row r="241" spans="1:23" hidden="1" x14ac:dyDescent="0.25">
      <c r="A241" s="2">
        <v>45873.675092592595</v>
      </c>
      <c r="B241">
        <v>3964</v>
      </c>
      <c r="C241" t="s">
        <v>251</v>
      </c>
      <c r="D241" s="3">
        <v>45873</v>
      </c>
      <c r="E241" s="3">
        <v>46111</v>
      </c>
      <c r="F241" t="s">
        <v>21</v>
      </c>
      <c r="H241" t="s">
        <v>22</v>
      </c>
      <c r="I241" t="s">
        <v>32</v>
      </c>
      <c r="J241" t="s">
        <v>1490</v>
      </c>
      <c r="K241" t="s">
        <v>24</v>
      </c>
      <c r="L241" s="4">
        <v>25</v>
      </c>
      <c r="M241" t="s">
        <v>252</v>
      </c>
      <c r="N241" t="s">
        <v>26</v>
      </c>
      <c r="O241" s="4">
        <v>360</v>
      </c>
      <c r="P241">
        <v>0</v>
      </c>
      <c r="Q241" s="4">
        <v>360</v>
      </c>
      <c r="R241" s="12">
        <f t="shared" si="3"/>
        <v>9000</v>
      </c>
      <c r="T241" t="s">
        <v>27</v>
      </c>
      <c r="U241" t="s">
        <v>253</v>
      </c>
      <c r="V241" s="4">
        <v>25</v>
      </c>
      <c r="W241">
        <v>0</v>
      </c>
    </row>
    <row r="242" spans="1:23" hidden="1" x14ac:dyDescent="0.25">
      <c r="A242" s="2">
        <v>45873.675092592595</v>
      </c>
      <c r="B242">
        <v>3964</v>
      </c>
      <c r="C242" t="s">
        <v>251</v>
      </c>
      <c r="D242" s="3">
        <v>45873</v>
      </c>
      <c r="E242" s="3">
        <v>46111</v>
      </c>
      <c r="F242" t="s">
        <v>21</v>
      </c>
      <c r="H242" t="s">
        <v>22</v>
      </c>
      <c r="I242" t="s">
        <v>23</v>
      </c>
      <c r="J242" t="s">
        <v>1490</v>
      </c>
      <c r="K242" t="s">
        <v>24</v>
      </c>
      <c r="L242" s="4">
        <v>18</v>
      </c>
      <c r="M242" t="s">
        <v>252</v>
      </c>
      <c r="N242" t="s">
        <v>26</v>
      </c>
      <c r="O242" s="4">
        <v>360</v>
      </c>
      <c r="P242">
        <v>0</v>
      </c>
      <c r="Q242" s="4">
        <v>360</v>
      </c>
      <c r="R242" s="12">
        <f t="shared" si="3"/>
        <v>6480</v>
      </c>
      <c r="T242" t="s">
        <v>27</v>
      </c>
      <c r="U242" t="s">
        <v>253</v>
      </c>
      <c r="V242" s="4">
        <v>18</v>
      </c>
      <c r="W242">
        <v>0</v>
      </c>
    </row>
    <row r="243" spans="1:23" hidden="1" x14ac:dyDescent="0.25">
      <c r="A243" s="2">
        <v>45873.675092592595</v>
      </c>
      <c r="B243">
        <v>3964</v>
      </c>
      <c r="C243" t="s">
        <v>251</v>
      </c>
      <c r="D243" s="3">
        <v>45873</v>
      </c>
      <c r="E243" s="3">
        <v>46111</v>
      </c>
      <c r="F243" t="s">
        <v>21</v>
      </c>
      <c r="H243" t="s">
        <v>22</v>
      </c>
      <c r="I243" t="s">
        <v>181</v>
      </c>
      <c r="J243" t="s">
        <v>1490</v>
      </c>
      <c r="K243" t="s">
        <v>24</v>
      </c>
      <c r="L243" s="4">
        <v>87</v>
      </c>
      <c r="M243" t="s">
        <v>252</v>
      </c>
      <c r="N243" t="s">
        <v>26</v>
      </c>
      <c r="O243" s="4">
        <v>360</v>
      </c>
      <c r="P243">
        <v>0</v>
      </c>
      <c r="Q243" s="4">
        <v>360</v>
      </c>
      <c r="R243" s="12">
        <f t="shared" si="3"/>
        <v>31320</v>
      </c>
      <c r="T243" t="s">
        <v>27</v>
      </c>
      <c r="U243" t="s">
        <v>253</v>
      </c>
      <c r="V243" s="4">
        <v>87</v>
      </c>
      <c r="W243">
        <v>0</v>
      </c>
    </row>
    <row r="244" spans="1:23" hidden="1" x14ac:dyDescent="0.25">
      <c r="A244" s="2">
        <v>45873.675092592595</v>
      </c>
      <c r="B244">
        <v>3964</v>
      </c>
      <c r="C244" t="s">
        <v>251</v>
      </c>
      <c r="D244" s="3">
        <v>45873</v>
      </c>
      <c r="E244" s="3">
        <v>46111</v>
      </c>
      <c r="F244" t="s">
        <v>21</v>
      </c>
      <c r="H244" t="s">
        <v>22</v>
      </c>
      <c r="I244" t="s">
        <v>34</v>
      </c>
      <c r="J244" t="s">
        <v>1490</v>
      </c>
      <c r="K244" t="s">
        <v>31</v>
      </c>
      <c r="L244" s="4">
        <v>27</v>
      </c>
      <c r="M244" t="s">
        <v>252</v>
      </c>
      <c r="N244" t="s">
        <v>26</v>
      </c>
      <c r="O244" s="4">
        <v>350</v>
      </c>
      <c r="P244">
        <v>0</v>
      </c>
      <c r="Q244" s="4">
        <v>350</v>
      </c>
      <c r="R244" s="12">
        <f t="shared" si="3"/>
        <v>9450</v>
      </c>
      <c r="T244" t="s">
        <v>27</v>
      </c>
      <c r="U244" t="s">
        <v>253</v>
      </c>
      <c r="V244" s="4">
        <v>27</v>
      </c>
      <c r="W244">
        <v>0</v>
      </c>
    </row>
    <row r="245" spans="1:23" hidden="1" x14ac:dyDescent="0.25">
      <c r="A245" s="2">
        <v>45873.675092592595</v>
      </c>
      <c r="B245">
        <v>3964</v>
      </c>
      <c r="C245" t="s">
        <v>251</v>
      </c>
      <c r="D245" s="3">
        <v>45873</v>
      </c>
      <c r="E245" s="3">
        <v>46111</v>
      </c>
      <c r="F245" t="s">
        <v>21</v>
      </c>
      <c r="H245" t="s">
        <v>22</v>
      </c>
      <c r="I245" t="s">
        <v>35</v>
      </c>
      <c r="J245" t="s">
        <v>1490</v>
      </c>
      <c r="K245" t="s">
        <v>24</v>
      </c>
      <c r="L245" s="4">
        <v>73</v>
      </c>
      <c r="M245" t="s">
        <v>252</v>
      </c>
      <c r="N245" t="s">
        <v>26</v>
      </c>
      <c r="O245" s="4">
        <v>90</v>
      </c>
      <c r="P245">
        <v>0</v>
      </c>
      <c r="Q245" s="4">
        <v>90</v>
      </c>
      <c r="R245" s="12">
        <f t="shared" si="3"/>
        <v>6570</v>
      </c>
      <c r="T245" t="s">
        <v>27</v>
      </c>
      <c r="U245" t="s">
        <v>253</v>
      </c>
      <c r="V245" s="4">
        <v>73</v>
      </c>
      <c r="W245">
        <v>0</v>
      </c>
    </row>
    <row r="246" spans="1:23" hidden="1" x14ac:dyDescent="0.25">
      <c r="A246" s="2">
        <v>45873.675092592595</v>
      </c>
      <c r="B246">
        <v>3964</v>
      </c>
      <c r="C246" t="s">
        <v>251</v>
      </c>
      <c r="D246" s="3">
        <v>45873</v>
      </c>
      <c r="E246" s="3">
        <v>46111</v>
      </c>
      <c r="F246" t="s">
        <v>21</v>
      </c>
      <c r="H246" t="s">
        <v>22</v>
      </c>
      <c r="I246" t="s">
        <v>36</v>
      </c>
      <c r="J246" t="s">
        <v>1490</v>
      </c>
      <c r="K246" t="s">
        <v>24</v>
      </c>
      <c r="L246" s="4">
        <v>73</v>
      </c>
      <c r="M246" t="s">
        <v>252</v>
      </c>
      <c r="N246" t="s">
        <v>26</v>
      </c>
      <c r="O246" s="4">
        <v>55</v>
      </c>
      <c r="P246">
        <v>0</v>
      </c>
      <c r="Q246" s="4">
        <v>55</v>
      </c>
      <c r="R246" s="12">
        <f t="shared" si="3"/>
        <v>4015</v>
      </c>
      <c r="T246" t="s">
        <v>27</v>
      </c>
      <c r="U246" t="s">
        <v>253</v>
      </c>
      <c r="V246" s="4">
        <v>73</v>
      </c>
      <c r="W246">
        <v>0</v>
      </c>
    </row>
    <row r="247" spans="1:23" hidden="1" x14ac:dyDescent="0.25">
      <c r="A247" s="2">
        <v>45873.675092592595</v>
      </c>
      <c r="B247">
        <v>3964</v>
      </c>
      <c r="C247" t="s">
        <v>251</v>
      </c>
      <c r="D247" s="3">
        <v>45873</v>
      </c>
      <c r="E247" s="3">
        <v>46111</v>
      </c>
      <c r="F247" t="s">
        <v>21</v>
      </c>
      <c r="H247" t="s">
        <v>22</v>
      </c>
      <c r="I247" t="s">
        <v>33</v>
      </c>
      <c r="J247" t="s">
        <v>1490</v>
      </c>
      <c r="K247" t="s">
        <v>31</v>
      </c>
      <c r="L247" s="4">
        <v>28</v>
      </c>
      <c r="M247" t="s">
        <v>252</v>
      </c>
      <c r="N247" t="s">
        <v>26</v>
      </c>
      <c r="O247" s="4">
        <v>530</v>
      </c>
      <c r="P247">
        <v>0</v>
      </c>
      <c r="Q247" s="4">
        <v>530</v>
      </c>
      <c r="R247" s="12">
        <f t="shared" si="3"/>
        <v>14840</v>
      </c>
      <c r="T247" t="s">
        <v>27</v>
      </c>
      <c r="U247" t="s">
        <v>253</v>
      </c>
      <c r="V247" s="4">
        <v>28</v>
      </c>
      <c r="W247">
        <v>0</v>
      </c>
    </row>
    <row r="248" spans="1:23" hidden="1" x14ac:dyDescent="0.25">
      <c r="A248" s="2">
        <v>45873.67728009259</v>
      </c>
      <c r="B248">
        <v>3965</v>
      </c>
      <c r="C248" t="s">
        <v>251</v>
      </c>
      <c r="D248" s="3">
        <v>45873</v>
      </c>
      <c r="E248" s="3">
        <v>46111</v>
      </c>
      <c r="F248" t="s">
        <v>21</v>
      </c>
      <c r="G248" t="s">
        <v>1493</v>
      </c>
      <c r="H248" t="s">
        <v>22</v>
      </c>
      <c r="I248" t="s">
        <v>40</v>
      </c>
      <c r="J248" t="s">
        <v>1491</v>
      </c>
      <c r="K248" t="s">
        <v>24</v>
      </c>
      <c r="L248" s="4">
        <v>345</v>
      </c>
      <c r="M248" t="s">
        <v>254</v>
      </c>
      <c r="N248" t="s">
        <v>26</v>
      </c>
      <c r="O248" s="4">
        <v>18</v>
      </c>
      <c r="P248">
        <v>0</v>
      </c>
      <c r="Q248" s="4">
        <v>18</v>
      </c>
      <c r="R248" s="12">
        <f t="shared" si="3"/>
        <v>6210</v>
      </c>
      <c r="T248" t="s">
        <v>27</v>
      </c>
      <c r="U248" t="s">
        <v>253</v>
      </c>
      <c r="V248" s="4">
        <v>345</v>
      </c>
      <c r="W248">
        <v>0</v>
      </c>
    </row>
    <row r="249" spans="1:23" hidden="1" x14ac:dyDescent="0.25">
      <c r="A249" s="2">
        <v>45873.67728009259</v>
      </c>
      <c r="B249">
        <v>3965</v>
      </c>
      <c r="C249" t="s">
        <v>251</v>
      </c>
      <c r="D249" s="3">
        <v>45873</v>
      </c>
      <c r="E249" s="3">
        <v>46111</v>
      </c>
      <c r="F249" t="s">
        <v>21</v>
      </c>
      <c r="G249" t="s">
        <v>1493</v>
      </c>
      <c r="H249" t="s">
        <v>22</v>
      </c>
      <c r="I249" t="s">
        <v>38</v>
      </c>
      <c r="J249" t="s">
        <v>1491</v>
      </c>
      <c r="K249" t="s">
        <v>24</v>
      </c>
      <c r="L249" s="4">
        <v>52</v>
      </c>
      <c r="M249" t="s">
        <v>254</v>
      </c>
      <c r="N249" t="s">
        <v>26</v>
      </c>
      <c r="O249" s="4">
        <v>36</v>
      </c>
      <c r="P249">
        <v>0</v>
      </c>
      <c r="Q249" s="4">
        <v>36</v>
      </c>
      <c r="R249" s="12">
        <f t="shared" si="3"/>
        <v>1872</v>
      </c>
      <c r="T249" t="s">
        <v>27</v>
      </c>
      <c r="U249" t="s">
        <v>253</v>
      </c>
      <c r="V249" s="4">
        <v>52</v>
      </c>
      <c r="W249">
        <v>0</v>
      </c>
    </row>
    <row r="250" spans="1:23" hidden="1" x14ac:dyDescent="0.25">
      <c r="A250" s="2">
        <v>45873.67728009259</v>
      </c>
      <c r="B250">
        <v>3965</v>
      </c>
      <c r="C250" t="s">
        <v>251</v>
      </c>
      <c r="D250" s="3">
        <v>45873</v>
      </c>
      <c r="E250" s="3">
        <v>46111</v>
      </c>
      <c r="F250" t="s">
        <v>21</v>
      </c>
      <c r="G250" t="s">
        <v>1493</v>
      </c>
      <c r="H250" t="s">
        <v>22</v>
      </c>
      <c r="I250" t="s">
        <v>41</v>
      </c>
      <c r="J250" t="s">
        <v>1491</v>
      </c>
      <c r="K250" t="s">
        <v>24</v>
      </c>
      <c r="L250" s="4">
        <v>345</v>
      </c>
      <c r="M250" t="s">
        <v>254</v>
      </c>
      <c r="N250" t="s">
        <v>26</v>
      </c>
      <c r="O250" s="4">
        <v>18</v>
      </c>
      <c r="P250">
        <v>0</v>
      </c>
      <c r="Q250" s="4">
        <v>18</v>
      </c>
      <c r="R250" s="12">
        <f t="shared" si="3"/>
        <v>6210</v>
      </c>
      <c r="T250" t="s">
        <v>27</v>
      </c>
      <c r="U250" t="s">
        <v>253</v>
      </c>
      <c r="V250" s="4">
        <v>345</v>
      </c>
      <c r="W250">
        <v>0</v>
      </c>
    </row>
    <row r="251" spans="1:23" hidden="1" x14ac:dyDescent="0.25">
      <c r="A251" s="2">
        <v>45873.67728009259</v>
      </c>
      <c r="B251">
        <v>3965</v>
      </c>
      <c r="C251" t="s">
        <v>251</v>
      </c>
      <c r="D251" s="3">
        <v>45873</v>
      </c>
      <c r="E251" s="3">
        <v>46111</v>
      </c>
      <c r="F251" t="s">
        <v>21</v>
      </c>
      <c r="H251" t="s">
        <v>22</v>
      </c>
      <c r="I251" t="s">
        <v>42</v>
      </c>
      <c r="J251" t="s">
        <v>1490</v>
      </c>
      <c r="K251" t="s">
        <v>24</v>
      </c>
      <c r="L251" s="4">
        <v>245</v>
      </c>
      <c r="M251" t="s">
        <v>254</v>
      </c>
      <c r="N251" t="s">
        <v>26</v>
      </c>
      <c r="O251" s="4">
        <v>35</v>
      </c>
      <c r="P251">
        <v>0</v>
      </c>
      <c r="Q251" s="4">
        <v>35</v>
      </c>
      <c r="R251" s="12">
        <f t="shared" si="3"/>
        <v>8575</v>
      </c>
      <c r="T251" t="s">
        <v>27</v>
      </c>
      <c r="U251" t="s">
        <v>253</v>
      </c>
      <c r="V251" s="4">
        <v>245</v>
      </c>
      <c r="W251">
        <v>0</v>
      </c>
    </row>
    <row r="252" spans="1:23" hidden="1" x14ac:dyDescent="0.25">
      <c r="A252" s="2">
        <v>45873.67728009259</v>
      </c>
      <c r="B252">
        <v>3965</v>
      </c>
      <c r="C252" t="s">
        <v>251</v>
      </c>
      <c r="D252" s="3">
        <v>45873</v>
      </c>
      <c r="E252" s="3">
        <v>46111</v>
      </c>
      <c r="F252" t="s">
        <v>21</v>
      </c>
      <c r="G252" t="s">
        <v>1493</v>
      </c>
      <c r="H252" t="s">
        <v>22</v>
      </c>
      <c r="I252" t="s">
        <v>63</v>
      </c>
      <c r="J252" t="s">
        <v>1491</v>
      </c>
      <c r="K252" t="s">
        <v>31</v>
      </c>
      <c r="L252" s="4">
        <v>205</v>
      </c>
      <c r="M252" t="s">
        <v>254</v>
      </c>
      <c r="N252" t="s">
        <v>26</v>
      </c>
      <c r="O252" s="4">
        <v>35</v>
      </c>
      <c r="P252">
        <v>0</v>
      </c>
      <c r="Q252" s="4">
        <v>35</v>
      </c>
      <c r="R252" s="12">
        <f t="shared" si="3"/>
        <v>7175</v>
      </c>
      <c r="T252" t="s">
        <v>27</v>
      </c>
      <c r="U252" t="s">
        <v>253</v>
      </c>
      <c r="V252" s="4">
        <v>205</v>
      </c>
      <c r="W252">
        <v>0</v>
      </c>
    </row>
    <row r="253" spans="1:23" hidden="1" x14ac:dyDescent="0.25">
      <c r="A253" s="2">
        <v>45873.67728009259</v>
      </c>
      <c r="B253">
        <v>3965</v>
      </c>
      <c r="C253" t="s">
        <v>251</v>
      </c>
      <c r="D253" s="3">
        <v>45873</v>
      </c>
      <c r="E253" s="3">
        <v>46111</v>
      </c>
      <c r="F253" t="s">
        <v>21</v>
      </c>
      <c r="G253" t="s">
        <v>1493</v>
      </c>
      <c r="H253" t="s">
        <v>22</v>
      </c>
      <c r="I253" t="s">
        <v>43</v>
      </c>
      <c r="J253" t="s">
        <v>1491</v>
      </c>
      <c r="K253" t="s">
        <v>24</v>
      </c>
      <c r="L253" s="4">
        <v>48</v>
      </c>
      <c r="M253" t="s">
        <v>254</v>
      </c>
      <c r="N253" t="s">
        <v>26</v>
      </c>
      <c r="O253" s="4">
        <v>54</v>
      </c>
      <c r="P253">
        <v>0</v>
      </c>
      <c r="Q253" s="4">
        <v>54</v>
      </c>
      <c r="R253" s="12">
        <f t="shared" si="3"/>
        <v>2592</v>
      </c>
      <c r="T253" t="s">
        <v>27</v>
      </c>
      <c r="U253" t="s">
        <v>253</v>
      </c>
      <c r="V253" s="4">
        <v>48</v>
      </c>
      <c r="W253">
        <v>0</v>
      </c>
    </row>
    <row r="254" spans="1:23" hidden="1" x14ac:dyDescent="0.25">
      <c r="A254" s="2">
        <v>45873.681087962963</v>
      </c>
      <c r="B254">
        <v>3966</v>
      </c>
      <c r="C254" t="s">
        <v>251</v>
      </c>
      <c r="D254" s="3">
        <v>45873</v>
      </c>
      <c r="E254" s="3">
        <v>46264</v>
      </c>
      <c r="F254" t="s">
        <v>21</v>
      </c>
      <c r="G254" t="s">
        <v>1493</v>
      </c>
      <c r="H254" t="s">
        <v>22</v>
      </c>
      <c r="I254" t="s">
        <v>40</v>
      </c>
      <c r="J254" t="s">
        <v>1491</v>
      </c>
      <c r="K254" t="s">
        <v>24</v>
      </c>
      <c r="L254" s="4">
        <v>345</v>
      </c>
      <c r="M254" t="s">
        <v>255</v>
      </c>
      <c r="N254" t="s">
        <v>46</v>
      </c>
      <c r="O254" s="4">
        <v>7</v>
      </c>
      <c r="P254">
        <v>0</v>
      </c>
      <c r="Q254" s="4">
        <v>7</v>
      </c>
      <c r="R254" s="12">
        <f t="shared" si="3"/>
        <v>2415</v>
      </c>
      <c r="T254" t="s">
        <v>27</v>
      </c>
      <c r="U254" t="s">
        <v>253</v>
      </c>
      <c r="V254" s="4">
        <v>345</v>
      </c>
      <c r="W254">
        <v>0</v>
      </c>
    </row>
    <row r="255" spans="1:23" hidden="1" x14ac:dyDescent="0.25">
      <c r="A255" s="2">
        <v>45873.681087962963</v>
      </c>
      <c r="B255">
        <v>3966</v>
      </c>
      <c r="C255" t="s">
        <v>251</v>
      </c>
      <c r="D255" s="3">
        <v>45873</v>
      </c>
      <c r="E255" s="3">
        <v>46264</v>
      </c>
      <c r="F255" t="s">
        <v>21</v>
      </c>
      <c r="H255" t="s">
        <v>22</v>
      </c>
      <c r="I255" t="s">
        <v>30</v>
      </c>
      <c r="J255" t="s">
        <v>1490</v>
      </c>
      <c r="K255" t="s">
        <v>31</v>
      </c>
      <c r="L255" s="4">
        <v>25</v>
      </c>
      <c r="M255" t="s">
        <v>255</v>
      </c>
      <c r="N255" t="s">
        <v>46</v>
      </c>
      <c r="O255" s="4">
        <v>700</v>
      </c>
      <c r="P255">
        <v>0</v>
      </c>
      <c r="Q255" s="4">
        <v>700</v>
      </c>
      <c r="R255" s="12">
        <f t="shared" si="3"/>
        <v>17500</v>
      </c>
      <c r="T255" t="s">
        <v>27</v>
      </c>
      <c r="U255" t="s">
        <v>253</v>
      </c>
      <c r="V255" s="4">
        <v>25</v>
      </c>
      <c r="W255">
        <v>0</v>
      </c>
    </row>
    <row r="256" spans="1:23" hidden="1" x14ac:dyDescent="0.25">
      <c r="A256" s="2">
        <v>45873.681087962963</v>
      </c>
      <c r="B256">
        <v>3966</v>
      </c>
      <c r="C256" t="s">
        <v>251</v>
      </c>
      <c r="D256" s="3">
        <v>45873</v>
      </c>
      <c r="E256" s="3">
        <v>46264</v>
      </c>
      <c r="F256" t="s">
        <v>21</v>
      </c>
      <c r="H256" t="s">
        <v>22</v>
      </c>
      <c r="I256" t="s">
        <v>32</v>
      </c>
      <c r="J256" t="s">
        <v>1490</v>
      </c>
      <c r="K256" t="s">
        <v>24</v>
      </c>
      <c r="L256" s="4">
        <v>25</v>
      </c>
      <c r="M256" t="s">
        <v>255</v>
      </c>
      <c r="N256" t="s">
        <v>46</v>
      </c>
      <c r="O256" s="4">
        <v>360</v>
      </c>
      <c r="P256">
        <v>0</v>
      </c>
      <c r="Q256" s="4">
        <v>360</v>
      </c>
      <c r="R256" s="12">
        <f t="shared" si="3"/>
        <v>9000</v>
      </c>
      <c r="T256" t="s">
        <v>27</v>
      </c>
      <c r="U256" t="s">
        <v>253</v>
      </c>
      <c r="V256" s="4">
        <v>25</v>
      </c>
      <c r="W256">
        <v>0</v>
      </c>
    </row>
    <row r="257" spans="1:23" hidden="1" x14ac:dyDescent="0.25">
      <c r="A257" s="2">
        <v>45873.681087962963</v>
      </c>
      <c r="B257">
        <v>3966</v>
      </c>
      <c r="C257" t="s">
        <v>251</v>
      </c>
      <c r="D257" s="3">
        <v>45873</v>
      </c>
      <c r="E257" s="3">
        <v>46264</v>
      </c>
      <c r="F257" t="s">
        <v>21</v>
      </c>
      <c r="H257" t="s">
        <v>22</v>
      </c>
      <c r="I257" t="s">
        <v>33</v>
      </c>
      <c r="J257" t="s">
        <v>1490</v>
      </c>
      <c r="K257" t="s">
        <v>31</v>
      </c>
      <c r="L257" s="4">
        <v>28</v>
      </c>
      <c r="M257" t="s">
        <v>255</v>
      </c>
      <c r="N257" t="s">
        <v>46</v>
      </c>
      <c r="O257" s="4">
        <v>530</v>
      </c>
      <c r="P257">
        <v>0</v>
      </c>
      <c r="Q257" s="4">
        <v>530</v>
      </c>
      <c r="R257" s="12">
        <f t="shared" si="3"/>
        <v>14840</v>
      </c>
      <c r="T257" t="s">
        <v>27</v>
      </c>
      <c r="U257" t="s">
        <v>253</v>
      </c>
      <c r="V257" s="4">
        <v>28</v>
      </c>
      <c r="W257">
        <v>0</v>
      </c>
    </row>
    <row r="258" spans="1:23" hidden="1" x14ac:dyDescent="0.25">
      <c r="A258" s="2">
        <v>45873.681087962963</v>
      </c>
      <c r="B258">
        <v>3966</v>
      </c>
      <c r="C258" t="s">
        <v>251</v>
      </c>
      <c r="D258" s="3">
        <v>45873</v>
      </c>
      <c r="E258" s="3">
        <v>46264</v>
      </c>
      <c r="F258" t="s">
        <v>21</v>
      </c>
      <c r="H258" t="s">
        <v>22</v>
      </c>
      <c r="I258" t="s">
        <v>23</v>
      </c>
      <c r="J258" t="s">
        <v>1490</v>
      </c>
      <c r="K258" t="s">
        <v>24</v>
      </c>
      <c r="L258" s="4">
        <v>18</v>
      </c>
      <c r="M258" t="s">
        <v>255</v>
      </c>
      <c r="N258" t="s">
        <v>46</v>
      </c>
      <c r="O258" s="4">
        <v>520</v>
      </c>
      <c r="P258">
        <v>0</v>
      </c>
      <c r="Q258" s="4">
        <v>520</v>
      </c>
      <c r="R258" s="12">
        <f t="shared" si="3"/>
        <v>9360</v>
      </c>
      <c r="T258" t="s">
        <v>27</v>
      </c>
      <c r="U258" t="s">
        <v>253</v>
      </c>
      <c r="V258" s="4">
        <v>18</v>
      </c>
      <c r="W258">
        <v>0</v>
      </c>
    </row>
    <row r="259" spans="1:23" hidden="1" x14ac:dyDescent="0.25">
      <c r="A259" s="2">
        <v>45873.681087962963</v>
      </c>
      <c r="B259">
        <v>3966</v>
      </c>
      <c r="C259" t="s">
        <v>251</v>
      </c>
      <c r="D259" s="3">
        <v>45873</v>
      </c>
      <c r="E259" s="3">
        <v>46264</v>
      </c>
      <c r="F259" t="s">
        <v>21</v>
      </c>
      <c r="G259" t="s">
        <v>1493</v>
      </c>
      <c r="H259" t="s">
        <v>22</v>
      </c>
      <c r="I259" t="s">
        <v>63</v>
      </c>
      <c r="J259" t="s">
        <v>1491</v>
      </c>
      <c r="K259" t="s">
        <v>31</v>
      </c>
      <c r="L259" s="4">
        <v>205</v>
      </c>
      <c r="M259" t="s">
        <v>255</v>
      </c>
      <c r="N259" t="s">
        <v>46</v>
      </c>
      <c r="O259" s="4">
        <v>28</v>
      </c>
      <c r="P259">
        <v>0</v>
      </c>
      <c r="Q259" s="4">
        <v>28</v>
      </c>
      <c r="R259" s="12">
        <f t="shared" ref="R259:R322" si="4">Q259*L259</f>
        <v>5740</v>
      </c>
      <c r="T259" t="s">
        <v>27</v>
      </c>
      <c r="U259" t="s">
        <v>253</v>
      </c>
      <c r="V259" s="4">
        <v>205</v>
      </c>
      <c r="W259">
        <v>0</v>
      </c>
    </row>
    <row r="260" spans="1:23" hidden="1" x14ac:dyDescent="0.25">
      <c r="A260" s="2">
        <v>45873.681087962963</v>
      </c>
      <c r="B260">
        <v>3966</v>
      </c>
      <c r="C260" t="s">
        <v>251</v>
      </c>
      <c r="D260" s="3">
        <v>45873</v>
      </c>
      <c r="E260" s="3">
        <v>46264</v>
      </c>
      <c r="F260" t="s">
        <v>21</v>
      </c>
      <c r="G260" t="s">
        <v>1493</v>
      </c>
      <c r="H260" t="s">
        <v>22</v>
      </c>
      <c r="I260" t="s">
        <v>41</v>
      </c>
      <c r="J260" t="s">
        <v>1491</v>
      </c>
      <c r="K260" t="s">
        <v>24</v>
      </c>
      <c r="L260" s="4">
        <v>345</v>
      </c>
      <c r="M260" t="s">
        <v>255</v>
      </c>
      <c r="N260" t="s">
        <v>46</v>
      </c>
      <c r="O260" s="4">
        <v>7</v>
      </c>
      <c r="P260">
        <v>0</v>
      </c>
      <c r="Q260" s="4">
        <v>7</v>
      </c>
      <c r="R260" s="12">
        <f t="shared" si="4"/>
        <v>2415</v>
      </c>
      <c r="T260" t="s">
        <v>27</v>
      </c>
      <c r="U260" t="s">
        <v>253</v>
      </c>
      <c r="V260" s="4">
        <v>345</v>
      </c>
      <c r="W260">
        <v>0</v>
      </c>
    </row>
    <row r="261" spans="1:23" hidden="1" x14ac:dyDescent="0.25">
      <c r="A261" s="2">
        <v>45873.681087962963</v>
      </c>
      <c r="B261">
        <v>3966</v>
      </c>
      <c r="C261" t="s">
        <v>251</v>
      </c>
      <c r="D261" s="3">
        <v>45873</v>
      </c>
      <c r="E261" s="3">
        <v>46264</v>
      </c>
      <c r="F261" t="s">
        <v>21</v>
      </c>
      <c r="G261" t="s">
        <v>1493</v>
      </c>
      <c r="H261" t="s">
        <v>22</v>
      </c>
      <c r="I261" t="s">
        <v>38</v>
      </c>
      <c r="J261" t="s">
        <v>1491</v>
      </c>
      <c r="K261" t="s">
        <v>24</v>
      </c>
      <c r="L261" s="4">
        <v>52</v>
      </c>
      <c r="M261" t="s">
        <v>255</v>
      </c>
      <c r="N261" t="s">
        <v>46</v>
      </c>
      <c r="O261" s="4">
        <v>36</v>
      </c>
      <c r="P261">
        <v>0</v>
      </c>
      <c r="Q261" s="4">
        <v>36</v>
      </c>
      <c r="R261" s="12">
        <f t="shared" si="4"/>
        <v>1872</v>
      </c>
      <c r="T261" t="s">
        <v>27</v>
      </c>
      <c r="U261" t="s">
        <v>253</v>
      </c>
      <c r="V261" s="4">
        <v>52</v>
      </c>
      <c r="W261">
        <v>0</v>
      </c>
    </row>
    <row r="262" spans="1:23" hidden="1" x14ac:dyDescent="0.25">
      <c r="A262" s="2">
        <v>45873.681087962963</v>
      </c>
      <c r="B262">
        <v>3966</v>
      </c>
      <c r="C262" t="s">
        <v>251</v>
      </c>
      <c r="D262" s="3">
        <v>45873</v>
      </c>
      <c r="E262" s="3">
        <v>46264</v>
      </c>
      <c r="F262" t="s">
        <v>21</v>
      </c>
      <c r="H262" t="s">
        <v>22</v>
      </c>
      <c r="I262" t="s">
        <v>42</v>
      </c>
      <c r="J262" t="s">
        <v>1490</v>
      </c>
      <c r="K262" t="s">
        <v>24</v>
      </c>
      <c r="L262" s="4">
        <v>245</v>
      </c>
      <c r="M262" t="s">
        <v>255</v>
      </c>
      <c r="N262" t="s">
        <v>46</v>
      </c>
      <c r="O262" s="4">
        <v>35</v>
      </c>
      <c r="P262">
        <v>0</v>
      </c>
      <c r="Q262" s="4">
        <v>35</v>
      </c>
      <c r="R262" s="12">
        <f t="shared" si="4"/>
        <v>8575</v>
      </c>
      <c r="T262" t="s">
        <v>27</v>
      </c>
      <c r="U262" t="s">
        <v>253</v>
      </c>
      <c r="V262" s="4">
        <v>245</v>
      </c>
      <c r="W262">
        <v>0</v>
      </c>
    </row>
    <row r="263" spans="1:23" hidden="1" x14ac:dyDescent="0.25">
      <c r="A263" s="2">
        <v>45873.681087962963</v>
      </c>
      <c r="B263">
        <v>3966</v>
      </c>
      <c r="C263" t="s">
        <v>251</v>
      </c>
      <c r="D263" s="3">
        <v>45873</v>
      </c>
      <c r="E263" s="3">
        <v>46264</v>
      </c>
      <c r="F263" t="s">
        <v>21</v>
      </c>
      <c r="H263" t="s">
        <v>22</v>
      </c>
      <c r="I263" t="s">
        <v>35</v>
      </c>
      <c r="J263" t="s">
        <v>1490</v>
      </c>
      <c r="K263" t="s">
        <v>24</v>
      </c>
      <c r="L263" s="4">
        <v>73</v>
      </c>
      <c r="M263" t="s">
        <v>255</v>
      </c>
      <c r="N263" t="s">
        <v>46</v>
      </c>
      <c r="O263" s="4">
        <v>70</v>
      </c>
      <c r="P263">
        <v>0</v>
      </c>
      <c r="Q263" s="4">
        <v>70</v>
      </c>
      <c r="R263" s="12">
        <f t="shared" si="4"/>
        <v>5110</v>
      </c>
      <c r="T263" t="s">
        <v>27</v>
      </c>
      <c r="U263" t="s">
        <v>253</v>
      </c>
      <c r="V263" s="4">
        <v>73</v>
      </c>
      <c r="W263">
        <v>0</v>
      </c>
    </row>
    <row r="264" spans="1:23" hidden="1" x14ac:dyDescent="0.25">
      <c r="A264" s="2">
        <v>45873.681087962963</v>
      </c>
      <c r="B264">
        <v>3966</v>
      </c>
      <c r="C264" t="s">
        <v>251</v>
      </c>
      <c r="D264" s="3">
        <v>45873</v>
      </c>
      <c r="E264" s="3">
        <v>46264</v>
      </c>
      <c r="F264" t="s">
        <v>21</v>
      </c>
      <c r="H264" t="s">
        <v>22</v>
      </c>
      <c r="I264" t="s">
        <v>36</v>
      </c>
      <c r="J264" t="s">
        <v>1490</v>
      </c>
      <c r="K264" t="s">
        <v>24</v>
      </c>
      <c r="L264" s="4">
        <v>73</v>
      </c>
      <c r="M264" t="s">
        <v>255</v>
      </c>
      <c r="N264" t="s">
        <v>46</v>
      </c>
      <c r="O264" s="4">
        <v>35</v>
      </c>
      <c r="P264">
        <v>0</v>
      </c>
      <c r="Q264" s="4">
        <v>35</v>
      </c>
      <c r="R264" s="12">
        <f t="shared" si="4"/>
        <v>2555</v>
      </c>
      <c r="T264" t="s">
        <v>27</v>
      </c>
      <c r="U264" t="s">
        <v>253</v>
      </c>
      <c r="V264" s="4">
        <v>73</v>
      </c>
      <c r="W264">
        <v>0</v>
      </c>
    </row>
    <row r="265" spans="1:23" hidden="1" x14ac:dyDescent="0.25">
      <c r="A265" s="2">
        <v>45873.681087962963</v>
      </c>
      <c r="B265">
        <v>3966</v>
      </c>
      <c r="C265" t="s">
        <v>251</v>
      </c>
      <c r="D265" s="3">
        <v>45873</v>
      </c>
      <c r="E265" s="3">
        <v>46264</v>
      </c>
      <c r="F265" t="s">
        <v>21</v>
      </c>
      <c r="H265" t="s">
        <v>22</v>
      </c>
      <c r="I265" t="s">
        <v>29</v>
      </c>
      <c r="J265" t="s">
        <v>1490</v>
      </c>
      <c r="K265" t="s">
        <v>24</v>
      </c>
      <c r="L265" s="4">
        <v>170</v>
      </c>
      <c r="M265" t="s">
        <v>255</v>
      </c>
      <c r="N265" t="s">
        <v>46</v>
      </c>
      <c r="O265" s="4">
        <v>40</v>
      </c>
      <c r="P265">
        <v>0</v>
      </c>
      <c r="Q265" s="4">
        <v>40</v>
      </c>
      <c r="R265" s="12">
        <f t="shared" si="4"/>
        <v>6800</v>
      </c>
      <c r="T265" t="s">
        <v>27</v>
      </c>
      <c r="U265" t="s">
        <v>253</v>
      </c>
      <c r="V265" s="4">
        <v>170</v>
      </c>
      <c r="W265">
        <v>0</v>
      </c>
    </row>
    <row r="266" spans="1:23" hidden="1" x14ac:dyDescent="0.25">
      <c r="A266" s="2">
        <v>45975.358032407406</v>
      </c>
      <c r="B266">
        <v>4268</v>
      </c>
      <c r="C266" t="s">
        <v>251</v>
      </c>
      <c r="D266" s="3">
        <v>45975</v>
      </c>
      <c r="E266" s="3">
        <v>46111</v>
      </c>
      <c r="F266" t="s">
        <v>21</v>
      </c>
      <c r="H266" t="s">
        <v>22</v>
      </c>
      <c r="I266" t="s">
        <v>192</v>
      </c>
      <c r="J266" t="s">
        <v>1490</v>
      </c>
      <c r="K266" t="s">
        <v>24</v>
      </c>
      <c r="L266" s="4">
        <v>17.5</v>
      </c>
      <c r="M266" t="s">
        <v>256</v>
      </c>
      <c r="N266" t="s">
        <v>26</v>
      </c>
      <c r="O266" s="4">
        <v>200</v>
      </c>
      <c r="P266">
        <v>0</v>
      </c>
      <c r="Q266" s="4">
        <v>200</v>
      </c>
      <c r="R266" s="12">
        <f t="shared" si="4"/>
        <v>3500</v>
      </c>
      <c r="T266" t="s">
        <v>27</v>
      </c>
      <c r="U266" t="s">
        <v>253</v>
      </c>
      <c r="V266" s="4">
        <v>17.5</v>
      </c>
      <c r="W266">
        <v>0</v>
      </c>
    </row>
    <row r="267" spans="1:23" hidden="1" x14ac:dyDescent="0.25">
      <c r="A267" s="2">
        <v>46031.389421296299</v>
      </c>
      <c r="B267">
        <v>4418</v>
      </c>
      <c r="C267" t="s">
        <v>251</v>
      </c>
      <c r="D267" s="3">
        <v>46031</v>
      </c>
      <c r="E267" s="3">
        <v>46264</v>
      </c>
      <c r="F267" t="s">
        <v>21</v>
      </c>
      <c r="G267" t="s">
        <v>1493</v>
      </c>
      <c r="H267" t="s">
        <v>22</v>
      </c>
      <c r="I267" t="s">
        <v>92</v>
      </c>
      <c r="J267" t="s">
        <v>1491</v>
      </c>
      <c r="K267" t="s">
        <v>31</v>
      </c>
      <c r="L267" s="4">
        <v>350</v>
      </c>
      <c r="M267" t="s">
        <v>257</v>
      </c>
      <c r="N267" t="s">
        <v>46</v>
      </c>
      <c r="O267" s="4">
        <v>8</v>
      </c>
      <c r="P267">
        <v>0</v>
      </c>
      <c r="Q267" s="4">
        <v>8</v>
      </c>
      <c r="R267" s="12">
        <f t="shared" si="4"/>
        <v>2800</v>
      </c>
      <c r="T267" t="s">
        <v>27</v>
      </c>
      <c r="U267" t="s">
        <v>253</v>
      </c>
      <c r="V267" s="4">
        <v>350</v>
      </c>
      <c r="W267">
        <v>0</v>
      </c>
    </row>
    <row r="268" spans="1:23" hidden="1" x14ac:dyDescent="0.25">
      <c r="A268" s="2">
        <v>46072.445231481484</v>
      </c>
      <c r="B268">
        <v>4585</v>
      </c>
      <c r="C268" t="s">
        <v>251</v>
      </c>
      <c r="D268" s="3">
        <v>46072</v>
      </c>
      <c r="E268" s="3">
        <v>46264</v>
      </c>
      <c r="F268" t="s">
        <v>21</v>
      </c>
      <c r="H268" t="s">
        <v>22</v>
      </c>
      <c r="I268" t="s">
        <v>258</v>
      </c>
      <c r="J268" t="s">
        <v>1490</v>
      </c>
      <c r="K268" t="s">
        <v>24</v>
      </c>
      <c r="L268" s="4">
        <v>18.5</v>
      </c>
      <c r="M268" t="s">
        <v>259</v>
      </c>
      <c r="N268" t="s">
        <v>46</v>
      </c>
      <c r="O268" s="4">
        <v>2000</v>
      </c>
      <c r="P268">
        <v>0</v>
      </c>
      <c r="Q268" s="4">
        <v>2000</v>
      </c>
      <c r="R268" s="12">
        <f t="shared" si="4"/>
        <v>37000</v>
      </c>
      <c r="T268" t="s">
        <v>27</v>
      </c>
      <c r="U268" t="s">
        <v>253</v>
      </c>
      <c r="V268" s="4">
        <v>18.5</v>
      </c>
      <c r="W268">
        <v>0</v>
      </c>
    </row>
    <row r="269" spans="1:23" hidden="1" x14ac:dyDescent="0.25">
      <c r="A269" s="2">
        <v>46085.563634259262</v>
      </c>
      <c r="B269">
        <v>4627</v>
      </c>
      <c r="C269" t="s">
        <v>251</v>
      </c>
      <c r="D269" s="3">
        <v>46085</v>
      </c>
      <c r="E269" s="3">
        <v>46264</v>
      </c>
      <c r="F269" t="s">
        <v>21</v>
      </c>
      <c r="H269" t="s">
        <v>22</v>
      </c>
      <c r="I269" t="s">
        <v>33</v>
      </c>
      <c r="J269" t="s">
        <v>1490</v>
      </c>
      <c r="K269" t="s">
        <v>31</v>
      </c>
      <c r="L269" s="4">
        <v>26</v>
      </c>
      <c r="M269" t="s">
        <v>260</v>
      </c>
      <c r="N269" t="s">
        <v>46</v>
      </c>
      <c r="O269" s="4">
        <v>150</v>
      </c>
      <c r="P269">
        <v>0</v>
      </c>
      <c r="Q269" s="4">
        <v>150</v>
      </c>
      <c r="R269" s="12">
        <f t="shared" si="4"/>
        <v>3900</v>
      </c>
      <c r="T269" t="s">
        <v>27</v>
      </c>
      <c r="U269" t="s">
        <v>253</v>
      </c>
      <c r="V269" s="4">
        <v>26</v>
      </c>
      <c r="W269">
        <v>0</v>
      </c>
    </row>
    <row r="270" spans="1:23" hidden="1" x14ac:dyDescent="0.25">
      <c r="A270" s="2">
        <v>45890.569884259261</v>
      </c>
      <c r="B270">
        <v>274</v>
      </c>
      <c r="C270" t="s">
        <v>261</v>
      </c>
      <c r="D270" s="3">
        <v>45890</v>
      </c>
      <c r="E270" s="3">
        <v>46142</v>
      </c>
      <c r="F270" t="s">
        <v>66</v>
      </c>
      <c r="G270" t="s">
        <v>1494</v>
      </c>
      <c r="H270" t="s">
        <v>22</v>
      </c>
      <c r="I270" t="s">
        <v>63</v>
      </c>
      <c r="J270" t="s">
        <v>1491</v>
      </c>
      <c r="K270" t="s">
        <v>31</v>
      </c>
      <c r="L270" s="4">
        <v>217</v>
      </c>
      <c r="M270" t="s">
        <v>262</v>
      </c>
      <c r="N270" t="s">
        <v>26</v>
      </c>
      <c r="O270" s="4">
        <v>110</v>
      </c>
      <c r="P270">
        <v>0</v>
      </c>
      <c r="Q270" s="4">
        <v>110</v>
      </c>
      <c r="R270" s="12">
        <f t="shared" si="4"/>
        <v>23870</v>
      </c>
      <c r="T270" t="s">
        <v>263</v>
      </c>
      <c r="U270" t="s">
        <v>264</v>
      </c>
      <c r="V270" s="4">
        <v>217</v>
      </c>
      <c r="W270">
        <v>0</v>
      </c>
    </row>
    <row r="271" spans="1:23" hidden="1" x14ac:dyDescent="0.25">
      <c r="A271" s="2">
        <v>45926.645960648151</v>
      </c>
      <c r="B271">
        <v>317</v>
      </c>
      <c r="C271" t="s">
        <v>261</v>
      </c>
      <c r="D271" s="3">
        <v>45926</v>
      </c>
      <c r="E271" s="3">
        <v>46142</v>
      </c>
      <c r="F271" t="s">
        <v>66</v>
      </c>
      <c r="G271" t="s">
        <v>1494</v>
      </c>
      <c r="H271" t="s">
        <v>22</v>
      </c>
      <c r="I271" t="s">
        <v>38</v>
      </c>
      <c r="J271" t="s">
        <v>1491</v>
      </c>
      <c r="K271" t="s">
        <v>24</v>
      </c>
      <c r="L271" s="4">
        <v>44</v>
      </c>
      <c r="M271" t="s">
        <v>265</v>
      </c>
      <c r="N271" t="s">
        <v>26</v>
      </c>
      <c r="O271" s="4">
        <v>51</v>
      </c>
      <c r="P271">
        <v>0</v>
      </c>
      <c r="Q271" s="4">
        <v>51</v>
      </c>
      <c r="R271" s="12">
        <f t="shared" si="4"/>
        <v>2244</v>
      </c>
      <c r="T271" t="s">
        <v>263</v>
      </c>
      <c r="U271" t="s">
        <v>264</v>
      </c>
      <c r="V271" s="4">
        <v>44</v>
      </c>
      <c r="W271">
        <v>0</v>
      </c>
    </row>
    <row r="272" spans="1:23" hidden="1" x14ac:dyDescent="0.25">
      <c r="A272" s="2">
        <v>45926.645960648151</v>
      </c>
      <c r="B272">
        <v>317</v>
      </c>
      <c r="C272" t="s">
        <v>261</v>
      </c>
      <c r="D272" s="3">
        <v>45926</v>
      </c>
      <c r="E272" s="3">
        <v>46142</v>
      </c>
      <c r="F272" t="s">
        <v>66</v>
      </c>
      <c r="G272" t="s">
        <v>1494</v>
      </c>
      <c r="H272" t="s">
        <v>22</v>
      </c>
      <c r="I272" t="s">
        <v>41</v>
      </c>
      <c r="J272" t="s">
        <v>1491</v>
      </c>
      <c r="K272" t="s">
        <v>24</v>
      </c>
      <c r="L272" s="4">
        <v>300</v>
      </c>
      <c r="M272" t="s">
        <v>265</v>
      </c>
      <c r="N272" t="s">
        <v>26</v>
      </c>
      <c r="O272" s="4">
        <v>30</v>
      </c>
      <c r="P272">
        <v>0</v>
      </c>
      <c r="Q272" s="4">
        <v>30</v>
      </c>
      <c r="R272" s="12">
        <f t="shared" si="4"/>
        <v>9000</v>
      </c>
      <c r="T272" t="s">
        <v>263</v>
      </c>
      <c r="U272" t="s">
        <v>264</v>
      </c>
      <c r="V272" s="4">
        <v>300</v>
      </c>
      <c r="W272">
        <v>0</v>
      </c>
    </row>
    <row r="273" spans="1:23" hidden="1" x14ac:dyDescent="0.25">
      <c r="A273" s="2">
        <v>45926.645960648151</v>
      </c>
      <c r="B273">
        <v>317</v>
      </c>
      <c r="C273" t="s">
        <v>261</v>
      </c>
      <c r="D273" s="3">
        <v>45926</v>
      </c>
      <c r="E273" s="3">
        <v>46142</v>
      </c>
      <c r="F273" t="s">
        <v>66</v>
      </c>
      <c r="G273" t="s">
        <v>1494</v>
      </c>
      <c r="H273" t="s">
        <v>22</v>
      </c>
      <c r="I273" t="s">
        <v>40</v>
      </c>
      <c r="J273" t="s">
        <v>1491</v>
      </c>
      <c r="K273" t="s">
        <v>24</v>
      </c>
      <c r="L273" s="4">
        <v>300</v>
      </c>
      <c r="M273" t="s">
        <v>265</v>
      </c>
      <c r="N273" t="s">
        <v>26</v>
      </c>
      <c r="O273" s="4">
        <v>30</v>
      </c>
      <c r="P273">
        <v>0</v>
      </c>
      <c r="Q273" s="4">
        <v>30</v>
      </c>
      <c r="R273" s="12">
        <f t="shared" si="4"/>
        <v>9000</v>
      </c>
      <c r="T273" t="s">
        <v>263</v>
      </c>
      <c r="U273" t="s">
        <v>264</v>
      </c>
      <c r="V273" s="4">
        <v>300</v>
      </c>
      <c r="W273">
        <v>0</v>
      </c>
    </row>
    <row r="274" spans="1:23" hidden="1" x14ac:dyDescent="0.25">
      <c r="A274" s="2">
        <v>45926.645960648151</v>
      </c>
      <c r="B274">
        <v>317</v>
      </c>
      <c r="C274" t="s">
        <v>261</v>
      </c>
      <c r="D274" s="3">
        <v>45926</v>
      </c>
      <c r="E274" s="3">
        <v>46142</v>
      </c>
      <c r="F274" t="s">
        <v>66</v>
      </c>
      <c r="G274" t="s">
        <v>1494</v>
      </c>
      <c r="H274" t="s">
        <v>22</v>
      </c>
      <c r="I274" t="s">
        <v>43</v>
      </c>
      <c r="J274" t="s">
        <v>1491</v>
      </c>
      <c r="K274" t="s">
        <v>24</v>
      </c>
      <c r="L274" s="4">
        <v>44</v>
      </c>
      <c r="M274" t="s">
        <v>265</v>
      </c>
      <c r="N274" t="s">
        <v>26</v>
      </c>
      <c r="O274" s="4">
        <v>150</v>
      </c>
      <c r="P274">
        <v>0</v>
      </c>
      <c r="Q274" s="4">
        <v>150</v>
      </c>
      <c r="R274" s="12">
        <f t="shared" si="4"/>
        <v>6600</v>
      </c>
      <c r="T274" t="s">
        <v>263</v>
      </c>
      <c r="U274" t="s">
        <v>264</v>
      </c>
      <c r="V274" s="4">
        <v>44</v>
      </c>
      <c r="W274">
        <v>0</v>
      </c>
    </row>
    <row r="275" spans="1:23" hidden="1" x14ac:dyDescent="0.25">
      <c r="A275" s="2">
        <v>45944.38958333333</v>
      </c>
      <c r="B275">
        <v>349</v>
      </c>
      <c r="C275" t="s">
        <v>261</v>
      </c>
      <c r="D275" s="3">
        <v>45944</v>
      </c>
      <c r="E275" s="3">
        <v>46142</v>
      </c>
      <c r="F275" t="s">
        <v>66</v>
      </c>
      <c r="G275" t="s">
        <v>1494</v>
      </c>
      <c r="H275" t="s">
        <v>22</v>
      </c>
      <c r="I275" t="s">
        <v>41</v>
      </c>
      <c r="J275" t="s">
        <v>1491</v>
      </c>
      <c r="K275" t="s">
        <v>24</v>
      </c>
      <c r="L275" s="4">
        <v>300</v>
      </c>
      <c r="M275" t="s">
        <v>266</v>
      </c>
      <c r="N275" t="s">
        <v>26</v>
      </c>
      <c r="O275" s="4">
        <v>9</v>
      </c>
      <c r="P275">
        <v>0</v>
      </c>
      <c r="Q275" s="4">
        <v>9</v>
      </c>
      <c r="R275" s="12">
        <f t="shared" si="4"/>
        <v>2700</v>
      </c>
      <c r="T275" t="s">
        <v>263</v>
      </c>
      <c r="U275" t="s">
        <v>264</v>
      </c>
      <c r="V275" s="4">
        <v>300</v>
      </c>
      <c r="W275">
        <v>0</v>
      </c>
    </row>
    <row r="276" spans="1:23" hidden="1" x14ac:dyDescent="0.25">
      <c r="A276" s="2">
        <v>45944.38958333333</v>
      </c>
      <c r="B276">
        <v>349</v>
      </c>
      <c r="C276" t="s">
        <v>261</v>
      </c>
      <c r="D276" s="3">
        <v>45944</v>
      </c>
      <c r="E276" s="3">
        <v>46142</v>
      </c>
      <c r="F276" t="s">
        <v>66</v>
      </c>
      <c r="G276" t="s">
        <v>1494</v>
      </c>
      <c r="H276" t="s">
        <v>22</v>
      </c>
      <c r="I276" t="s">
        <v>40</v>
      </c>
      <c r="J276" t="s">
        <v>1491</v>
      </c>
      <c r="K276" t="s">
        <v>24</v>
      </c>
      <c r="L276" s="4">
        <v>300</v>
      </c>
      <c r="M276" t="s">
        <v>266</v>
      </c>
      <c r="N276" t="s">
        <v>26</v>
      </c>
      <c r="O276" s="4">
        <v>9</v>
      </c>
      <c r="P276">
        <v>0</v>
      </c>
      <c r="Q276" s="4">
        <v>9</v>
      </c>
      <c r="R276" s="12">
        <f t="shared" si="4"/>
        <v>2700</v>
      </c>
      <c r="T276" t="s">
        <v>263</v>
      </c>
      <c r="U276" t="s">
        <v>264</v>
      </c>
      <c r="V276" s="4">
        <v>300</v>
      </c>
      <c r="W276">
        <v>0</v>
      </c>
    </row>
    <row r="277" spans="1:23" hidden="1" x14ac:dyDescent="0.25">
      <c r="A277" s="2">
        <v>45944.38958333333</v>
      </c>
      <c r="B277">
        <v>349</v>
      </c>
      <c r="C277" t="s">
        <v>261</v>
      </c>
      <c r="D277" s="3">
        <v>45944</v>
      </c>
      <c r="E277" s="3">
        <v>46142</v>
      </c>
      <c r="F277" t="s">
        <v>66</v>
      </c>
      <c r="G277" t="s">
        <v>1494</v>
      </c>
      <c r="H277" t="s">
        <v>22</v>
      </c>
      <c r="I277" t="s">
        <v>43</v>
      </c>
      <c r="J277" t="s">
        <v>1491</v>
      </c>
      <c r="K277" t="s">
        <v>24</v>
      </c>
      <c r="L277" s="4">
        <v>44</v>
      </c>
      <c r="M277" t="s">
        <v>266</v>
      </c>
      <c r="N277" t="s">
        <v>26</v>
      </c>
      <c r="O277" s="4">
        <v>84</v>
      </c>
      <c r="P277">
        <v>0</v>
      </c>
      <c r="Q277" s="4">
        <v>84</v>
      </c>
      <c r="R277" s="12">
        <f t="shared" si="4"/>
        <v>3696</v>
      </c>
      <c r="T277" t="s">
        <v>263</v>
      </c>
      <c r="U277" t="s">
        <v>264</v>
      </c>
      <c r="V277" s="4">
        <v>44</v>
      </c>
      <c r="W277">
        <v>0</v>
      </c>
    </row>
    <row r="278" spans="1:23" hidden="1" x14ac:dyDescent="0.25">
      <c r="A278" s="2">
        <v>45944.38958333333</v>
      </c>
      <c r="B278">
        <v>349</v>
      </c>
      <c r="C278" t="s">
        <v>261</v>
      </c>
      <c r="D278" s="3">
        <v>45944</v>
      </c>
      <c r="E278" s="3">
        <v>46142</v>
      </c>
      <c r="F278" t="s">
        <v>66</v>
      </c>
      <c r="G278" t="s">
        <v>1494</v>
      </c>
      <c r="H278" t="s">
        <v>22</v>
      </c>
      <c r="I278" t="s">
        <v>63</v>
      </c>
      <c r="J278" t="s">
        <v>1491</v>
      </c>
      <c r="K278" t="s">
        <v>31</v>
      </c>
      <c r="L278" s="4">
        <v>217</v>
      </c>
      <c r="M278" t="s">
        <v>266</v>
      </c>
      <c r="N278" t="s">
        <v>26</v>
      </c>
      <c r="O278" s="4">
        <v>10</v>
      </c>
      <c r="P278">
        <v>0</v>
      </c>
      <c r="Q278" s="4">
        <v>10</v>
      </c>
      <c r="R278" s="12">
        <f t="shared" si="4"/>
        <v>2170</v>
      </c>
      <c r="T278" t="s">
        <v>263</v>
      </c>
      <c r="U278" t="s">
        <v>264</v>
      </c>
      <c r="V278" s="4">
        <v>217</v>
      </c>
      <c r="W278">
        <v>0</v>
      </c>
    </row>
    <row r="279" spans="1:23" hidden="1" x14ac:dyDescent="0.25">
      <c r="A279" s="2">
        <v>45948.4997337963</v>
      </c>
      <c r="B279">
        <v>367</v>
      </c>
      <c r="C279" t="s">
        <v>261</v>
      </c>
      <c r="D279" s="3">
        <v>45948</v>
      </c>
      <c r="E279" s="3">
        <v>46142</v>
      </c>
      <c r="F279" t="s">
        <v>66</v>
      </c>
      <c r="G279" t="s">
        <v>1494</v>
      </c>
      <c r="H279" t="s">
        <v>22</v>
      </c>
      <c r="I279" t="s">
        <v>43</v>
      </c>
      <c r="J279" t="s">
        <v>1491</v>
      </c>
      <c r="K279" t="s">
        <v>24</v>
      </c>
      <c r="L279" s="4">
        <v>44</v>
      </c>
      <c r="M279" t="s">
        <v>267</v>
      </c>
      <c r="N279" t="s">
        <v>26</v>
      </c>
      <c r="O279" s="4">
        <v>36</v>
      </c>
      <c r="P279">
        <v>0</v>
      </c>
      <c r="Q279" s="4">
        <v>36</v>
      </c>
      <c r="R279" s="12">
        <f t="shared" si="4"/>
        <v>1584</v>
      </c>
      <c r="T279" t="s">
        <v>263</v>
      </c>
      <c r="U279" t="s">
        <v>264</v>
      </c>
      <c r="V279" s="4">
        <v>44</v>
      </c>
      <c r="W279">
        <v>0</v>
      </c>
    </row>
    <row r="280" spans="1:23" hidden="1" x14ac:dyDescent="0.25">
      <c r="A280" s="2">
        <v>45948.4997337963</v>
      </c>
      <c r="B280">
        <v>367</v>
      </c>
      <c r="C280" t="s">
        <v>261</v>
      </c>
      <c r="D280" s="3">
        <v>45948</v>
      </c>
      <c r="E280" s="3">
        <v>46142</v>
      </c>
      <c r="F280" t="s">
        <v>66</v>
      </c>
      <c r="G280" t="s">
        <v>1494</v>
      </c>
      <c r="H280" t="s">
        <v>22</v>
      </c>
      <c r="I280" t="s">
        <v>41</v>
      </c>
      <c r="J280" t="s">
        <v>1491</v>
      </c>
      <c r="K280" t="s">
        <v>24</v>
      </c>
      <c r="L280" s="4">
        <v>300</v>
      </c>
      <c r="M280" t="s">
        <v>267</v>
      </c>
      <c r="N280" t="s">
        <v>26</v>
      </c>
      <c r="O280" s="4">
        <v>2</v>
      </c>
      <c r="P280">
        <v>0</v>
      </c>
      <c r="Q280" s="4">
        <v>2</v>
      </c>
      <c r="R280" s="12">
        <f t="shared" si="4"/>
        <v>600</v>
      </c>
      <c r="T280" t="s">
        <v>263</v>
      </c>
      <c r="U280" t="s">
        <v>264</v>
      </c>
      <c r="V280" s="4">
        <v>300</v>
      </c>
      <c r="W280">
        <v>0</v>
      </c>
    </row>
    <row r="281" spans="1:23" hidden="1" x14ac:dyDescent="0.25">
      <c r="A281" s="2">
        <v>45948.4997337963</v>
      </c>
      <c r="B281">
        <v>367</v>
      </c>
      <c r="C281" t="s">
        <v>261</v>
      </c>
      <c r="D281" s="3">
        <v>45948</v>
      </c>
      <c r="E281" s="3">
        <v>46142</v>
      </c>
      <c r="F281" t="s">
        <v>66</v>
      </c>
      <c r="G281" t="s">
        <v>1494</v>
      </c>
      <c r="H281" t="s">
        <v>22</v>
      </c>
      <c r="I281" t="s">
        <v>40</v>
      </c>
      <c r="J281" t="s">
        <v>1491</v>
      </c>
      <c r="K281" t="s">
        <v>24</v>
      </c>
      <c r="L281" s="4">
        <v>300</v>
      </c>
      <c r="M281" t="s">
        <v>267</v>
      </c>
      <c r="N281" t="s">
        <v>26</v>
      </c>
      <c r="O281" s="4">
        <v>2</v>
      </c>
      <c r="P281">
        <v>0</v>
      </c>
      <c r="Q281" s="4">
        <v>2</v>
      </c>
      <c r="R281" s="12">
        <f t="shared" si="4"/>
        <v>600</v>
      </c>
      <c r="T281" t="s">
        <v>263</v>
      </c>
      <c r="U281" t="s">
        <v>264</v>
      </c>
      <c r="V281" s="4">
        <v>300</v>
      </c>
      <c r="W281">
        <v>0</v>
      </c>
    </row>
    <row r="282" spans="1:23" hidden="1" x14ac:dyDescent="0.25">
      <c r="A282" s="2">
        <v>45948.4997337963</v>
      </c>
      <c r="B282">
        <v>367</v>
      </c>
      <c r="C282" t="s">
        <v>261</v>
      </c>
      <c r="D282" s="3">
        <v>45948</v>
      </c>
      <c r="E282" s="3">
        <v>46142</v>
      </c>
      <c r="F282" t="s">
        <v>66</v>
      </c>
      <c r="G282" t="s">
        <v>1494</v>
      </c>
      <c r="H282" t="s">
        <v>22</v>
      </c>
      <c r="I282" t="s">
        <v>38</v>
      </c>
      <c r="J282" t="s">
        <v>1491</v>
      </c>
      <c r="K282" t="s">
        <v>24</v>
      </c>
      <c r="L282" s="4">
        <v>44</v>
      </c>
      <c r="M282" t="s">
        <v>267</v>
      </c>
      <c r="N282" t="s">
        <v>26</v>
      </c>
      <c r="O282" s="4">
        <v>12</v>
      </c>
      <c r="P282">
        <v>0</v>
      </c>
      <c r="Q282" s="4">
        <v>12</v>
      </c>
      <c r="R282" s="12">
        <f t="shared" si="4"/>
        <v>528</v>
      </c>
      <c r="T282" t="s">
        <v>263</v>
      </c>
      <c r="U282" t="s">
        <v>264</v>
      </c>
      <c r="V282" s="4">
        <v>44</v>
      </c>
      <c r="W282">
        <v>0</v>
      </c>
    </row>
    <row r="283" spans="1:23" hidden="1" x14ac:dyDescent="0.25">
      <c r="A283" s="2">
        <v>45988.421400462961</v>
      </c>
      <c r="B283">
        <v>429</v>
      </c>
      <c r="C283" t="s">
        <v>261</v>
      </c>
      <c r="D283" s="3">
        <v>45988</v>
      </c>
      <c r="E283" s="3">
        <v>46295</v>
      </c>
      <c r="F283" t="s">
        <v>66</v>
      </c>
      <c r="H283" t="s">
        <v>22</v>
      </c>
      <c r="I283" t="s">
        <v>268</v>
      </c>
      <c r="K283" t="s">
        <v>24</v>
      </c>
      <c r="L283" s="4">
        <v>107.14</v>
      </c>
      <c r="M283" t="s">
        <v>269</v>
      </c>
      <c r="N283" t="s">
        <v>46</v>
      </c>
      <c r="O283" s="4">
        <v>140</v>
      </c>
      <c r="P283">
        <v>0</v>
      </c>
      <c r="Q283" s="4">
        <v>140</v>
      </c>
      <c r="R283" s="12">
        <f t="shared" si="4"/>
        <v>14999.6</v>
      </c>
      <c r="T283" t="s">
        <v>263</v>
      </c>
      <c r="U283" t="s">
        <v>264</v>
      </c>
      <c r="V283" s="4">
        <v>107.14</v>
      </c>
      <c r="W283">
        <v>0</v>
      </c>
    </row>
    <row r="284" spans="1:23" hidden="1" x14ac:dyDescent="0.25">
      <c r="A284" s="2">
        <v>46064.355717592596</v>
      </c>
      <c r="B284">
        <v>542</v>
      </c>
      <c r="C284" t="s">
        <v>261</v>
      </c>
      <c r="D284" s="3">
        <v>46064</v>
      </c>
      <c r="E284" s="3">
        <v>46264</v>
      </c>
      <c r="F284" t="s">
        <v>66</v>
      </c>
      <c r="G284" t="s">
        <v>1494</v>
      </c>
      <c r="H284" t="s">
        <v>22</v>
      </c>
      <c r="I284" t="s">
        <v>75</v>
      </c>
      <c r="J284" t="s">
        <v>1491</v>
      </c>
      <c r="K284" t="s">
        <v>24</v>
      </c>
      <c r="L284" s="4">
        <v>50</v>
      </c>
      <c r="M284" t="s">
        <v>270</v>
      </c>
      <c r="N284" t="s">
        <v>46</v>
      </c>
      <c r="O284" s="4">
        <v>300</v>
      </c>
      <c r="P284">
        <v>0</v>
      </c>
      <c r="Q284" s="4">
        <v>300</v>
      </c>
      <c r="R284" s="12">
        <f t="shared" si="4"/>
        <v>15000</v>
      </c>
      <c r="T284" t="s">
        <v>263</v>
      </c>
      <c r="U284" t="s">
        <v>264</v>
      </c>
      <c r="V284" s="4">
        <v>50</v>
      </c>
      <c r="W284">
        <v>0</v>
      </c>
    </row>
    <row r="285" spans="1:23" hidden="1" x14ac:dyDescent="0.25">
      <c r="A285" s="2">
        <v>45751.639664351853</v>
      </c>
      <c r="B285">
        <v>168</v>
      </c>
      <c r="C285" t="s">
        <v>271</v>
      </c>
      <c r="D285" s="3">
        <v>45751</v>
      </c>
      <c r="E285" s="3">
        <v>45930</v>
      </c>
      <c r="F285" t="s">
        <v>52</v>
      </c>
      <c r="H285" t="s">
        <v>22</v>
      </c>
      <c r="I285" t="s">
        <v>272</v>
      </c>
      <c r="K285" t="s">
        <v>31</v>
      </c>
      <c r="L285" s="4">
        <v>22.605395999999999</v>
      </c>
      <c r="M285" t="s">
        <v>273</v>
      </c>
      <c r="N285" t="s">
        <v>26</v>
      </c>
      <c r="O285" s="4">
        <v>240</v>
      </c>
      <c r="P285">
        <v>0</v>
      </c>
      <c r="Q285" s="4">
        <v>240</v>
      </c>
      <c r="R285" s="12">
        <f t="shared" si="4"/>
        <v>5425.29504</v>
      </c>
      <c r="T285" t="s">
        <v>274</v>
      </c>
      <c r="U285" t="s">
        <v>275</v>
      </c>
      <c r="V285" s="4">
        <v>22.605395999999999</v>
      </c>
      <c r="W285">
        <v>0</v>
      </c>
    </row>
    <row r="286" spans="1:23" hidden="1" x14ac:dyDescent="0.25">
      <c r="A286" s="2">
        <v>45751.639664351853</v>
      </c>
      <c r="B286">
        <v>168</v>
      </c>
      <c r="C286" t="s">
        <v>271</v>
      </c>
      <c r="D286" s="3">
        <v>45751</v>
      </c>
      <c r="E286" s="3">
        <v>45930</v>
      </c>
      <c r="F286" t="s">
        <v>52</v>
      </c>
      <c r="H286" t="s">
        <v>22</v>
      </c>
      <c r="I286" t="s">
        <v>276</v>
      </c>
      <c r="K286" t="s">
        <v>31</v>
      </c>
      <c r="L286" s="4">
        <v>22.605395999999999</v>
      </c>
      <c r="M286" t="s">
        <v>273</v>
      </c>
      <c r="N286" t="s">
        <v>26</v>
      </c>
      <c r="O286" s="4">
        <v>1010</v>
      </c>
      <c r="P286">
        <v>0</v>
      </c>
      <c r="Q286" s="4">
        <v>1010</v>
      </c>
      <c r="R286" s="12">
        <f t="shared" si="4"/>
        <v>22831.449959999998</v>
      </c>
      <c r="T286" t="s">
        <v>274</v>
      </c>
      <c r="U286" t="s">
        <v>275</v>
      </c>
      <c r="V286" s="4">
        <v>22.605395999999999</v>
      </c>
      <c r="W286">
        <v>0</v>
      </c>
    </row>
    <row r="287" spans="1:23" hidden="1" x14ac:dyDescent="0.25">
      <c r="A287" s="2">
        <v>45751.639664351853</v>
      </c>
      <c r="B287">
        <v>168</v>
      </c>
      <c r="C287" t="s">
        <v>271</v>
      </c>
      <c r="D287" s="3">
        <v>45751</v>
      </c>
      <c r="E287" s="3">
        <v>45930</v>
      </c>
      <c r="F287" t="s">
        <v>52</v>
      </c>
      <c r="H287" t="s">
        <v>22</v>
      </c>
      <c r="I287" t="s">
        <v>277</v>
      </c>
      <c r="K287" t="s">
        <v>31</v>
      </c>
      <c r="L287" s="4">
        <v>230.66730200000001</v>
      </c>
      <c r="M287" t="s">
        <v>273</v>
      </c>
      <c r="N287" t="s">
        <v>26</v>
      </c>
      <c r="O287" s="4">
        <v>81</v>
      </c>
      <c r="P287">
        <v>0</v>
      </c>
      <c r="Q287" s="4">
        <v>81</v>
      </c>
      <c r="R287" s="12">
        <f t="shared" si="4"/>
        <v>18684.051461999999</v>
      </c>
      <c r="T287" t="s">
        <v>274</v>
      </c>
      <c r="U287" t="s">
        <v>275</v>
      </c>
      <c r="V287" s="4">
        <v>230.66730200000001</v>
      </c>
      <c r="W287">
        <v>0</v>
      </c>
    </row>
    <row r="288" spans="1:23" hidden="1" x14ac:dyDescent="0.25">
      <c r="A288" s="2">
        <v>45751.639664351853</v>
      </c>
      <c r="B288">
        <v>168</v>
      </c>
      <c r="C288" t="s">
        <v>271</v>
      </c>
      <c r="D288" s="3">
        <v>45751</v>
      </c>
      <c r="E288" s="3">
        <v>45930</v>
      </c>
      <c r="F288" t="s">
        <v>52</v>
      </c>
      <c r="H288" t="s">
        <v>22</v>
      </c>
      <c r="I288" t="s">
        <v>278</v>
      </c>
      <c r="K288" t="s">
        <v>24</v>
      </c>
      <c r="L288" s="4">
        <v>21.682725999999999</v>
      </c>
      <c r="M288" t="s">
        <v>273</v>
      </c>
      <c r="N288" t="s">
        <v>26</v>
      </c>
      <c r="O288" s="4">
        <v>820</v>
      </c>
      <c r="P288">
        <v>0</v>
      </c>
      <c r="Q288" s="4">
        <v>820</v>
      </c>
      <c r="R288" s="12">
        <f t="shared" si="4"/>
        <v>17779.835319999998</v>
      </c>
      <c r="T288" t="s">
        <v>274</v>
      </c>
      <c r="U288" t="s">
        <v>275</v>
      </c>
      <c r="V288" s="4">
        <v>21.682725999999999</v>
      </c>
      <c r="W288">
        <v>0</v>
      </c>
    </row>
    <row r="289" spans="1:23" hidden="1" x14ac:dyDescent="0.25">
      <c r="A289" s="2">
        <v>45751.639664351853</v>
      </c>
      <c r="B289">
        <v>168</v>
      </c>
      <c r="C289" t="s">
        <v>271</v>
      </c>
      <c r="D289" s="3">
        <v>45751</v>
      </c>
      <c r="E289" s="3">
        <v>45930</v>
      </c>
      <c r="F289" t="s">
        <v>52</v>
      </c>
      <c r="H289" t="s">
        <v>22</v>
      </c>
      <c r="I289" t="s">
        <v>177</v>
      </c>
      <c r="J289" t="s">
        <v>1490</v>
      </c>
      <c r="K289" t="s">
        <v>24</v>
      </c>
      <c r="L289" s="4">
        <v>20.760057</v>
      </c>
      <c r="M289" t="s">
        <v>273</v>
      </c>
      <c r="N289" t="s">
        <v>26</v>
      </c>
      <c r="O289" s="4">
        <v>400</v>
      </c>
      <c r="P289">
        <v>0</v>
      </c>
      <c r="Q289" s="4">
        <v>400</v>
      </c>
      <c r="R289" s="12">
        <f t="shared" si="4"/>
        <v>8304.0228000000006</v>
      </c>
      <c r="T289" t="s">
        <v>274</v>
      </c>
      <c r="U289" t="s">
        <v>275</v>
      </c>
      <c r="V289" s="4">
        <v>20.760057</v>
      </c>
      <c r="W289">
        <v>0</v>
      </c>
    </row>
    <row r="290" spans="1:23" hidden="1" x14ac:dyDescent="0.25">
      <c r="A290" s="2">
        <v>45751.639664351853</v>
      </c>
      <c r="B290">
        <v>168</v>
      </c>
      <c r="C290" t="s">
        <v>271</v>
      </c>
      <c r="D290" s="3">
        <v>45751</v>
      </c>
      <c r="E290" s="3">
        <v>45930</v>
      </c>
      <c r="F290" t="s">
        <v>52</v>
      </c>
      <c r="H290" t="s">
        <v>22</v>
      </c>
      <c r="I290" t="s">
        <v>37</v>
      </c>
      <c r="J290" t="s">
        <v>1490</v>
      </c>
      <c r="K290" t="s">
        <v>31</v>
      </c>
      <c r="L290" s="4">
        <v>64.586844999999997</v>
      </c>
      <c r="M290" t="s">
        <v>273</v>
      </c>
      <c r="N290" t="s">
        <v>26</v>
      </c>
      <c r="O290" s="4">
        <v>192</v>
      </c>
      <c r="P290">
        <v>0</v>
      </c>
      <c r="Q290" s="4">
        <v>192</v>
      </c>
      <c r="R290" s="12">
        <f t="shared" si="4"/>
        <v>12400.67424</v>
      </c>
      <c r="T290" t="s">
        <v>274</v>
      </c>
      <c r="U290" t="s">
        <v>275</v>
      </c>
      <c r="V290" s="4">
        <v>64.586844999999997</v>
      </c>
      <c r="W290">
        <v>0</v>
      </c>
    </row>
    <row r="291" spans="1:23" hidden="1" x14ac:dyDescent="0.25">
      <c r="A291" s="2">
        <v>45751.639664351853</v>
      </c>
      <c r="B291">
        <v>168</v>
      </c>
      <c r="C291" t="s">
        <v>271</v>
      </c>
      <c r="D291" s="3">
        <v>45751</v>
      </c>
      <c r="E291" s="3">
        <v>45930</v>
      </c>
      <c r="F291" t="s">
        <v>52</v>
      </c>
      <c r="H291" t="s">
        <v>22</v>
      </c>
      <c r="I291" t="s">
        <v>279</v>
      </c>
      <c r="K291" t="s">
        <v>31</v>
      </c>
      <c r="L291" s="4">
        <v>230.66730200000001</v>
      </c>
      <c r="M291" t="s">
        <v>273</v>
      </c>
      <c r="N291" t="s">
        <v>26</v>
      </c>
      <c r="O291" s="4">
        <v>85</v>
      </c>
      <c r="P291">
        <v>0</v>
      </c>
      <c r="Q291" s="4">
        <v>85</v>
      </c>
      <c r="R291" s="12">
        <f t="shared" si="4"/>
        <v>19606.720669999999</v>
      </c>
      <c r="T291" t="s">
        <v>274</v>
      </c>
      <c r="U291" t="s">
        <v>275</v>
      </c>
      <c r="V291" s="4">
        <v>230.66730200000001</v>
      </c>
      <c r="W291">
        <v>0</v>
      </c>
    </row>
    <row r="292" spans="1:23" hidden="1" x14ac:dyDescent="0.25">
      <c r="A292" s="2">
        <v>45751.639664351853</v>
      </c>
      <c r="B292">
        <v>168</v>
      </c>
      <c r="C292" t="s">
        <v>271</v>
      </c>
      <c r="D292" s="3">
        <v>45751</v>
      </c>
      <c r="E292" s="3">
        <v>45930</v>
      </c>
      <c r="F292" t="s">
        <v>52</v>
      </c>
      <c r="H292" t="s">
        <v>22</v>
      </c>
      <c r="I292" t="s">
        <v>280</v>
      </c>
      <c r="K292" t="s">
        <v>24</v>
      </c>
      <c r="L292" s="4">
        <v>21.682725999999999</v>
      </c>
      <c r="M292" t="s">
        <v>273</v>
      </c>
      <c r="N292" t="s">
        <v>26</v>
      </c>
      <c r="O292" s="4">
        <v>20</v>
      </c>
      <c r="P292">
        <v>0</v>
      </c>
      <c r="Q292" s="4">
        <v>20</v>
      </c>
      <c r="R292" s="12">
        <f t="shared" si="4"/>
        <v>433.65451999999999</v>
      </c>
      <c r="T292" t="s">
        <v>274</v>
      </c>
      <c r="U292" t="s">
        <v>275</v>
      </c>
      <c r="V292" s="4">
        <v>21.682725999999999</v>
      </c>
      <c r="W292">
        <v>0</v>
      </c>
    </row>
    <row r="293" spans="1:23" hidden="1" x14ac:dyDescent="0.25">
      <c r="A293" s="2">
        <v>45751.639664351853</v>
      </c>
      <c r="B293">
        <v>168</v>
      </c>
      <c r="C293" t="s">
        <v>271</v>
      </c>
      <c r="D293" s="3">
        <v>45751</v>
      </c>
      <c r="E293" s="3">
        <v>45930</v>
      </c>
      <c r="F293" t="s">
        <v>52</v>
      </c>
      <c r="H293" t="s">
        <v>22</v>
      </c>
      <c r="I293" t="s">
        <v>281</v>
      </c>
      <c r="K293" t="s">
        <v>31</v>
      </c>
      <c r="L293" s="4">
        <v>30.079015999999999</v>
      </c>
      <c r="M293" t="s">
        <v>273</v>
      </c>
      <c r="N293" t="s">
        <v>26</v>
      </c>
      <c r="O293" s="4">
        <v>670</v>
      </c>
      <c r="P293">
        <v>0</v>
      </c>
      <c r="Q293" s="4">
        <v>670</v>
      </c>
      <c r="R293" s="12">
        <f t="shared" si="4"/>
        <v>20152.940719999999</v>
      </c>
      <c r="T293" t="s">
        <v>274</v>
      </c>
      <c r="U293" t="s">
        <v>275</v>
      </c>
      <c r="V293" s="4">
        <v>30.079015999999999</v>
      </c>
      <c r="W293">
        <v>0</v>
      </c>
    </row>
    <row r="294" spans="1:23" hidden="1" x14ac:dyDescent="0.25">
      <c r="A294" s="2">
        <v>45751.639664351853</v>
      </c>
      <c r="B294">
        <v>168</v>
      </c>
      <c r="C294" t="s">
        <v>271</v>
      </c>
      <c r="D294" s="3">
        <v>45751</v>
      </c>
      <c r="E294" s="3">
        <v>45930</v>
      </c>
      <c r="F294" t="s">
        <v>52</v>
      </c>
      <c r="H294" t="s">
        <v>22</v>
      </c>
      <c r="I294" t="s">
        <v>89</v>
      </c>
      <c r="K294" t="s">
        <v>31</v>
      </c>
      <c r="L294" s="4">
        <v>18.453384</v>
      </c>
      <c r="M294" t="s">
        <v>273</v>
      </c>
      <c r="N294" t="s">
        <v>26</v>
      </c>
      <c r="O294" s="4">
        <v>2080</v>
      </c>
      <c r="P294">
        <v>0</v>
      </c>
      <c r="Q294" s="4">
        <v>2080</v>
      </c>
      <c r="R294" s="12">
        <f t="shared" si="4"/>
        <v>38383.038719999997</v>
      </c>
      <c r="T294" t="s">
        <v>274</v>
      </c>
      <c r="U294" t="s">
        <v>275</v>
      </c>
      <c r="V294" s="4">
        <v>18.453384</v>
      </c>
      <c r="W294">
        <v>0</v>
      </c>
    </row>
    <row r="295" spans="1:23" hidden="1" x14ac:dyDescent="0.25">
      <c r="A295" s="2">
        <v>45982.737222222226</v>
      </c>
      <c r="B295">
        <v>419</v>
      </c>
      <c r="C295" t="s">
        <v>271</v>
      </c>
      <c r="D295" s="3">
        <v>45982</v>
      </c>
      <c r="E295" s="3">
        <v>46027</v>
      </c>
      <c r="F295" t="s">
        <v>52</v>
      </c>
      <c r="H295" t="s">
        <v>22</v>
      </c>
      <c r="I295" t="s">
        <v>177</v>
      </c>
      <c r="J295" t="s">
        <v>1490</v>
      </c>
      <c r="K295" t="s">
        <v>24</v>
      </c>
      <c r="L295" s="4">
        <v>22.5</v>
      </c>
      <c r="M295" t="s">
        <v>282</v>
      </c>
      <c r="N295" t="s">
        <v>26</v>
      </c>
      <c r="O295" s="4">
        <v>40</v>
      </c>
      <c r="P295">
        <v>0</v>
      </c>
      <c r="Q295" s="4">
        <v>40</v>
      </c>
      <c r="R295" s="12">
        <f t="shared" si="4"/>
        <v>900</v>
      </c>
      <c r="T295" t="s">
        <v>274</v>
      </c>
      <c r="U295" t="s">
        <v>275</v>
      </c>
      <c r="V295" s="4">
        <v>22.5</v>
      </c>
      <c r="W295">
        <v>0</v>
      </c>
    </row>
    <row r="296" spans="1:23" hidden="1" x14ac:dyDescent="0.25">
      <c r="A296" s="2">
        <v>45832.60597222222</v>
      </c>
      <c r="B296">
        <v>236</v>
      </c>
      <c r="C296" t="s">
        <v>283</v>
      </c>
      <c r="D296" s="3">
        <v>45832</v>
      </c>
      <c r="E296" s="3">
        <v>46142</v>
      </c>
      <c r="F296" t="s">
        <v>66</v>
      </c>
      <c r="G296" t="s">
        <v>1494</v>
      </c>
      <c r="H296" t="s">
        <v>22</v>
      </c>
      <c r="I296" t="s">
        <v>41</v>
      </c>
      <c r="J296" t="s">
        <v>1491</v>
      </c>
      <c r="K296" t="s">
        <v>24</v>
      </c>
      <c r="L296" s="4">
        <v>360</v>
      </c>
      <c r="M296" t="s">
        <v>284</v>
      </c>
      <c r="N296" t="s">
        <v>26</v>
      </c>
      <c r="O296" s="4">
        <v>112</v>
      </c>
      <c r="P296">
        <v>0</v>
      </c>
      <c r="Q296" s="4">
        <v>112</v>
      </c>
      <c r="R296" s="12">
        <f t="shared" si="4"/>
        <v>40320</v>
      </c>
      <c r="T296" t="s">
        <v>263</v>
      </c>
      <c r="U296" t="s">
        <v>285</v>
      </c>
      <c r="V296" s="4">
        <v>360</v>
      </c>
      <c r="W296">
        <v>0</v>
      </c>
    </row>
    <row r="297" spans="1:23" hidden="1" x14ac:dyDescent="0.25">
      <c r="A297" s="2">
        <v>45832.60597222222</v>
      </c>
      <c r="B297">
        <v>236</v>
      </c>
      <c r="C297" t="s">
        <v>283</v>
      </c>
      <c r="D297" s="3">
        <v>45832</v>
      </c>
      <c r="E297" s="3">
        <v>46142</v>
      </c>
      <c r="F297" t="s">
        <v>66</v>
      </c>
      <c r="G297" t="s">
        <v>1494</v>
      </c>
      <c r="H297" t="s">
        <v>22</v>
      </c>
      <c r="I297" t="s">
        <v>43</v>
      </c>
      <c r="J297" t="s">
        <v>1491</v>
      </c>
      <c r="K297" t="s">
        <v>24</v>
      </c>
      <c r="L297" s="4">
        <v>40</v>
      </c>
      <c r="M297" t="s">
        <v>284</v>
      </c>
      <c r="N297" t="s">
        <v>26</v>
      </c>
      <c r="O297" s="4">
        <v>336</v>
      </c>
      <c r="P297">
        <v>0</v>
      </c>
      <c r="Q297" s="4">
        <v>336</v>
      </c>
      <c r="R297" s="12">
        <f t="shared" si="4"/>
        <v>13440</v>
      </c>
      <c r="T297" t="s">
        <v>263</v>
      </c>
      <c r="U297" t="s">
        <v>285</v>
      </c>
      <c r="V297" s="4">
        <v>40</v>
      </c>
      <c r="W297">
        <v>0</v>
      </c>
    </row>
    <row r="298" spans="1:23" hidden="1" x14ac:dyDescent="0.25">
      <c r="A298" s="2">
        <v>45832.60597222222</v>
      </c>
      <c r="B298">
        <v>236</v>
      </c>
      <c r="C298" t="s">
        <v>283</v>
      </c>
      <c r="D298" s="3">
        <v>45832</v>
      </c>
      <c r="E298" s="3">
        <v>46142</v>
      </c>
      <c r="F298" t="s">
        <v>66</v>
      </c>
      <c r="G298" t="s">
        <v>1494</v>
      </c>
      <c r="H298" t="s">
        <v>22</v>
      </c>
      <c r="I298" t="s">
        <v>40</v>
      </c>
      <c r="J298" t="s">
        <v>1491</v>
      </c>
      <c r="K298" t="s">
        <v>24</v>
      </c>
      <c r="L298" s="4">
        <v>360</v>
      </c>
      <c r="M298" t="s">
        <v>284</v>
      </c>
      <c r="N298" t="s">
        <v>26</v>
      </c>
      <c r="O298" s="4">
        <v>112</v>
      </c>
      <c r="P298">
        <v>0</v>
      </c>
      <c r="Q298" s="4">
        <v>112</v>
      </c>
      <c r="R298" s="12">
        <f t="shared" si="4"/>
        <v>40320</v>
      </c>
      <c r="T298" t="s">
        <v>263</v>
      </c>
      <c r="U298" t="s">
        <v>285</v>
      </c>
      <c r="V298" s="4">
        <v>360</v>
      </c>
      <c r="W298">
        <v>0</v>
      </c>
    </row>
    <row r="299" spans="1:23" hidden="1" x14ac:dyDescent="0.25">
      <c r="A299" s="2">
        <v>45832.60597222222</v>
      </c>
      <c r="B299">
        <v>236</v>
      </c>
      <c r="C299" t="s">
        <v>283</v>
      </c>
      <c r="D299" s="3">
        <v>45832</v>
      </c>
      <c r="E299" s="3">
        <v>46142</v>
      </c>
      <c r="F299" t="s">
        <v>66</v>
      </c>
      <c r="H299" t="s">
        <v>22</v>
      </c>
      <c r="I299" t="s">
        <v>42</v>
      </c>
      <c r="J299" t="s">
        <v>1490</v>
      </c>
      <c r="K299" t="s">
        <v>24</v>
      </c>
      <c r="L299" s="4">
        <v>190</v>
      </c>
      <c r="M299" t="s">
        <v>284</v>
      </c>
      <c r="N299" t="s">
        <v>26</v>
      </c>
      <c r="O299" s="4">
        <v>115</v>
      </c>
      <c r="P299">
        <v>0</v>
      </c>
      <c r="Q299" s="4">
        <v>115</v>
      </c>
      <c r="R299" s="12">
        <f t="shared" si="4"/>
        <v>21850</v>
      </c>
      <c r="T299" t="s">
        <v>263</v>
      </c>
      <c r="U299" t="s">
        <v>285</v>
      </c>
      <c r="V299" s="4">
        <v>190</v>
      </c>
      <c r="W299">
        <v>0</v>
      </c>
    </row>
    <row r="300" spans="1:23" hidden="1" x14ac:dyDescent="0.25">
      <c r="A300" s="2">
        <v>45832.60597222222</v>
      </c>
      <c r="B300">
        <v>236</v>
      </c>
      <c r="C300" t="s">
        <v>283</v>
      </c>
      <c r="D300" s="3">
        <v>45832</v>
      </c>
      <c r="E300" s="3">
        <v>46142</v>
      </c>
      <c r="F300" t="s">
        <v>66</v>
      </c>
      <c r="G300" t="s">
        <v>1494</v>
      </c>
      <c r="H300" t="s">
        <v>22</v>
      </c>
      <c r="I300" t="s">
        <v>63</v>
      </c>
      <c r="J300" t="s">
        <v>1491</v>
      </c>
      <c r="K300" t="s">
        <v>31</v>
      </c>
      <c r="L300" s="4">
        <v>200</v>
      </c>
      <c r="M300" t="s">
        <v>284</v>
      </c>
      <c r="N300" t="s">
        <v>26</v>
      </c>
      <c r="O300" s="4">
        <v>112</v>
      </c>
      <c r="P300">
        <v>0</v>
      </c>
      <c r="Q300" s="4">
        <v>112</v>
      </c>
      <c r="R300" s="12">
        <f t="shared" si="4"/>
        <v>22400</v>
      </c>
      <c r="T300" t="s">
        <v>263</v>
      </c>
      <c r="U300" t="s">
        <v>285</v>
      </c>
      <c r="V300" s="4">
        <v>200</v>
      </c>
      <c r="W300">
        <v>0</v>
      </c>
    </row>
    <row r="301" spans="1:23" hidden="1" x14ac:dyDescent="0.25">
      <c r="A301" s="2">
        <v>45832.60597222222</v>
      </c>
      <c r="B301">
        <v>236</v>
      </c>
      <c r="C301" t="s">
        <v>283</v>
      </c>
      <c r="D301" s="3">
        <v>45832</v>
      </c>
      <c r="E301" s="3">
        <v>46142</v>
      </c>
      <c r="F301" t="s">
        <v>66</v>
      </c>
      <c r="G301" t="s">
        <v>1494</v>
      </c>
      <c r="H301" t="s">
        <v>22</v>
      </c>
      <c r="I301" t="s">
        <v>38</v>
      </c>
      <c r="J301" t="s">
        <v>1491</v>
      </c>
      <c r="K301" t="s">
        <v>24</v>
      </c>
      <c r="L301" s="4">
        <v>44</v>
      </c>
      <c r="M301" t="s">
        <v>284</v>
      </c>
      <c r="N301" t="s">
        <v>26</v>
      </c>
      <c r="O301" s="4">
        <v>114</v>
      </c>
      <c r="P301">
        <v>0</v>
      </c>
      <c r="Q301" s="4">
        <v>114</v>
      </c>
      <c r="R301" s="12">
        <f t="shared" si="4"/>
        <v>5016</v>
      </c>
      <c r="T301" t="s">
        <v>263</v>
      </c>
      <c r="U301" t="s">
        <v>285</v>
      </c>
      <c r="V301" s="4">
        <v>44</v>
      </c>
      <c r="W301">
        <v>0</v>
      </c>
    </row>
    <row r="302" spans="1:23" hidden="1" x14ac:dyDescent="0.25">
      <c r="A302" s="2">
        <v>45950.518055555556</v>
      </c>
      <c r="B302">
        <v>370</v>
      </c>
      <c r="C302" t="s">
        <v>283</v>
      </c>
      <c r="D302" s="3">
        <v>45950</v>
      </c>
      <c r="E302" s="3">
        <v>46142</v>
      </c>
      <c r="F302" t="s">
        <v>66</v>
      </c>
      <c r="G302" t="s">
        <v>1494</v>
      </c>
      <c r="H302" t="s">
        <v>22</v>
      </c>
      <c r="I302" t="s">
        <v>40</v>
      </c>
      <c r="J302" t="s">
        <v>1491</v>
      </c>
      <c r="K302" t="s">
        <v>24</v>
      </c>
      <c r="L302" s="4">
        <v>360</v>
      </c>
      <c r="M302" t="s">
        <v>286</v>
      </c>
      <c r="N302" t="s">
        <v>26</v>
      </c>
      <c r="O302" s="4">
        <v>6</v>
      </c>
      <c r="P302">
        <v>0</v>
      </c>
      <c r="Q302" s="4">
        <v>6</v>
      </c>
      <c r="R302" s="12">
        <f t="shared" si="4"/>
        <v>2160</v>
      </c>
      <c r="T302" t="s">
        <v>263</v>
      </c>
      <c r="U302" t="s">
        <v>285</v>
      </c>
      <c r="V302" s="4">
        <v>360</v>
      </c>
      <c r="W302">
        <v>0</v>
      </c>
    </row>
    <row r="303" spans="1:23" hidden="1" x14ac:dyDescent="0.25">
      <c r="A303" s="2">
        <v>45950.518055555556</v>
      </c>
      <c r="B303">
        <v>370</v>
      </c>
      <c r="C303" t="s">
        <v>283</v>
      </c>
      <c r="D303" s="3">
        <v>45950</v>
      </c>
      <c r="E303" s="3">
        <v>46142</v>
      </c>
      <c r="F303" t="s">
        <v>66</v>
      </c>
      <c r="G303" t="s">
        <v>1494</v>
      </c>
      <c r="H303" t="s">
        <v>22</v>
      </c>
      <c r="I303" t="s">
        <v>43</v>
      </c>
      <c r="J303" t="s">
        <v>1491</v>
      </c>
      <c r="K303" t="s">
        <v>24</v>
      </c>
      <c r="L303" s="4">
        <v>40</v>
      </c>
      <c r="M303" t="s">
        <v>286</v>
      </c>
      <c r="N303" t="s">
        <v>26</v>
      </c>
      <c r="O303" s="4">
        <v>24</v>
      </c>
      <c r="P303">
        <v>0</v>
      </c>
      <c r="Q303" s="4">
        <v>24</v>
      </c>
      <c r="R303" s="12">
        <f t="shared" si="4"/>
        <v>960</v>
      </c>
      <c r="T303" t="s">
        <v>263</v>
      </c>
      <c r="U303" t="s">
        <v>285</v>
      </c>
      <c r="V303" s="4">
        <v>40</v>
      </c>
      <c r="W303">
        <v>0</v>
      </c>
    </row>
    <row r="304" spans="1:23" hidden="1" x14ac:dyDescent="0.25">
      <c r="A304" s="2">
        <v>45950.518055555556</v>
      </c>
      <c r="B304">
        <v>370</v>
      </c>
      <c r="C304" t="s">
        <v>283</v>
      </c>
      <c r="D304" s="3">
        <v>45950</v>
      </c>
      <c r="E304" s="3">
        <v>46142</v>
      </c>
      <c r="F304" t="s">
        <v>66</v>
      </c>
      <c r="G304" t="s">
        <v>1494</v>
      </c>
      <c r="H304" t="s">
        <v>22</v>
      </c>
      <c r="I304" t="s">
        <v>38</v>
      </c>
      <c r="J304" t="s">
        <v>1491</v>
      </c>
      <c r="K304" t="s">
        <v>24</v>
      </c>
      <c r="L304" s="4">
        <v>44</v>
      </c>
      <c r="M304" t="s">
        <v>286</v>
      </c>
      <c r="N304" t="s">
        <v>26</v>
      </c>
      <c r="O304" s="4">
        <v>12</v>
      </c>
      <c r="P304">
        <v>0</v>
      </c>
      <c r="Q304" s="4">
        <v>12</v>
      </c>
      <c r="R304" s="12">
        <f t="shared" si="4"/>
        <v>528</v>
      </c>
      <c r="T304" t="s">
        <v>263</v>
      </c>
      <c r="U304" t="s">
        <v>285</v>
      </c>
      <c r="V304" s="4">
        <v>44</v>
      </c>
      <c r="W304">
        <v>0</v>
      </c>
    </row>
    <row r="305" spans="1:23" hidden="1" x14ac:dyDescent="0.25">
      <c r="A305" s="2">
        <v>45950.518055555556</v>
      </c>
      <c r="B305">
        <v>370</v>
      </c>
      <c r="C305" t="s">
        <v>283</v>
      </c>
      <c r="D305" s="3">
        <v>45950</v>
      </c>
      <c r="E305" s="3">
        <v>46142</v>
      </c>
      <c r="F305" t="s">
        <v>66</v>
      </c>
      <c r="G305" t="s">
        <v>1494</v>
      </c>
      <c r="H305" t="s">
        <v>22</v>
      </c>
      <c r="I305" t="s">
        <v>41</v>
      </c>
      <c r="J305" t="s">
        <v>1491</v>
      </c>
      <c r="K305" t="s">
        <v>24</v>
      </c>
      <c r="L305" s="4">
        <v>360</v>
      </c>
      <c r="M305" t="s">
        <v>286</v>
      </c>
      <c r="N305" t="s">
        <v>26</v>
      </c>
      <c r="O305" s="4">
        <v>6</v>
      </c>
      <c r="P305">
        <v>0</v>
      </c>
      <c r="Q305" s="4">
        <v>6</v>
      </c>
      <c r="R305" s="12">
        <f t="shared" si="4"/>
        <v>2160</v>
      </c>
      <c r="T305" t="s">
        <v>263</v>
      </c>
      <c r="U305" t="s">
        <v>285</v>
      </c>
      <c r="V305" s="4">
        <v>360</v>
      </c>
      <c r="W305">
        <v>0</v>
      </c>
    </row>
    <row r="306" spans="1:23" hidden="1" x14ac:dyDescent="0.25">
      <c r="A306" s="2">
        <v>45909.600914351853</v>
      </c>
      <c r="B306">
        <v>291</v>
      </c>
      <c r="C306" t="s">
        <v>287</v>
      </c>
      <c r="D306" s="3">
        <v>45909</v>
      </c>
      <c r="E306" s="3">
        <v>46111</v>
      </c>
      <c r="F306" t="s">
        <v>66</v>
      </c>
      <c r="G306" t="s">
        <v>1494</v>
      </c>
      <c r="H306" t="s">
        <v>22</v>
      </c>
      <c r="I306" t="s">
        <v>43</v>
      </c>
      <c r="J306" t="s">
        <v>1491</v>
      </c>
      <c r="K306" t="s">
        <v>24</v>
      </c>
      <c r="L306" s="4">
        <v>45</v>
      </c>
      <c r="M306" t="s">
        <v>288</v>
      </c>
      <c r="N306" t="s">
        <v>26</v>
      </c>
      <c r="O306" s="4">
        <v>24</v>
      </c>
      <c r="P306">
        <v>0</v>
      </c>
      <c r="Q306" s="4">
        <v>24</v>
      </c>
      <c r="R306" s="12">
        <f t="shared" si="4"/>
        <v>1080</v>
      </c>
      <c r="T306" t="s">
        <v>263</v>
      </c>
      <c r="U306" t="s">
        <v>289</v>
      </c>
      <c r="V306" s="4">
        <v>45</v>
      </c>
      <c r="W306">
        <v>0</v>
      </c>
    </row>
    <row r="307" spans="1:23" hidden="1" x14ac:dyDescent="0.25">
      <c r="A307" s="2">
        <v>45909.600914351853</v>
      </c>
      <c r="B307">
        <v>291</v>
      </c>
      <c r="C307" t="s">
        <v>287</v>
      </c>
      <c r="D307" s="3">
        <v>45909</v>
      </c>
      <c r="E307" s="3">
        <v>46111</v>
      </c>
      <c r="F307" t="s">
        <v>66</v>
      </c>
      <c r="G307" t="s">
        <v>1494</v>
      </c>
      <c r="H307" t="s">
        <v>22</v>
      </c>
      <c r="I307" t="s">
        <v>38</v>
      </c>
      <c r="J307" t="s">
        <v>1491</v>
      </c>
      <c r="K307" t="s">
        <v>24</v>
      </c>
      <c r="L307" s="4">
        <v>50</v>
      </c>
      <c r="M307" t="s">
        <v>288</v>
      </c>
      <c r="N307" t="s">
        <v>26</v>
      </c>
      <c r="O307" s="4">
        <v>24</v>
      </c>
      <c r="P307">
        <v>0</v>
      </c>
      <c r="Q307" s="4">
        <v>24</v>
      </c>
      <c r="R307" s="12">
        <f t="shared" si="4"/>
        <v>1200</v>
      </c>
      <c r="T307" t="s">
        <v>263</v>
      </c>
      <c r="U307" t="s">
        <v>289</v>
      </c>
      <c r="V307" s="4">
        <v>50</v>
      </c>
      <c r="W307">
        <v>0</v>
      </c>
    </row>
    <row r="308" spans="1:23" hidden="1" x14ac:dyDescent="0.25">
      <c r="A308" s="2">
        <v>45856.333541666667</v>
      </c>
      <c r="B308">
        <v>254</v>
      </c>
      <c r="C308" t="s">
        <v>290</v>
      </c>
      <c r="D308" s="3">
        <v>45856</v>
      </c>
      <c r="E308" s="3">
        <v>46142</v>
      </c>
      <c r="F308" t="s">
        <v>66</v>
      </c>
      <c r="G308" t="s">
        <v>1494</v>
      </c>
      <c r="H308" t="s">
        <v>22</v>
      </c>
      <c r="I308" t="s">
        <v>43</v>
      </c>
      <c r="J308" t="s">
        <v>1491</v>
      </c>
      <c r="K308" t="s">
        <v>24</v>
      </c>
      <c r="L308" s="4">
        <v>48</v>
      </c>
      <c r="M308" t="s">
        <v>291</v>
      </c>
      <c r="N308" t="s">
        <v>26</v>
      </c>
      <c r="O308" s="4">
        <v>81</v>
      </c>
      <c r="P308">
        <v>0</v>
      </c>
      <c r="Q308" s="4">
        <v>81</v>
      </c>
      <c r="R308" s="12">
        <f t="shared" si="4"/>
        <v>3888</v>
      </c>
      <c r="T308" t="s">
        <v>68</v>
      </c>
      <c r="U308" t="s">
        <v>292</v>
      </c>
      <c r="V308" s="4">
        <v>48</v>
      </c>
      <c r="W308">
        <v>0</v>
      </c>
    </row>
    <row r="309" spans="1:23" hidden="1" x14ac:dyDescent="0.25">
      <c r="A309" s="2">
        <v>45856.333541666667</v>
      </c>
      <c r="B309">
        <v>254</v>
      </c>
      <c r="C309" t="s">
        <v>290</v>
      </c>
      <c r="D309" s="3">
        <v>45856</v>
      </c>
      <c r="E309" s="3">
        <v>46142</v>
      </c>
      <c r="F309" t="s">
        <v>66</v>
      </c>
      <c r="G309" t="s">
        <v>1494</v>
      </c>
      <c r="H309" t="s">
        <v>22</v>
      </c>
      <c r="I309" t="s">
        <v>41</v>
      </c>
      <c r="J309" t="s">
        <v>1491</v>
      </c>
      <c r="K309" t="s">
        <v>24</v>
      </c>
      <c r="L309" s="4">
        <v>380</v>
      </c>
      <c r="M309" t="s">
        <v>291</v>
      </c>
      <c r="N309" t="s">
        <v>26</v>
      </c>
      <c r="O309" s="4">
        <v>85</v>
      </c>
      <c r="P309">
        <v>0</v>
      </c>
      <c r="Q309" s="4">
        <v>85</v>
      </c>
      <c r="R309" s="12">
        <f t="shared" si="4"/>
        <v>32300</v>
      </c>
      <c r="T309" t="s">
        <v>68</v>
      </c>
      <c r="U309" t="s">
        <v>292</v>
      </c>
      <c r="V309" s="4">
        <v>380</v>
      </c>
      <c r="W309">
        <v>0</v>
      </c>
    </row>
    <row r="310" spans="1:23" hidden="1" x14ac:dyDescent="0.25">
      <c r="A310" s="2">
        <v>45856.333541666667</v>
      </c>
      <c r="B310">
        <v>254</v>
      </c>
      <c r="C310" t="s">
        <v>290</v>
      </c>
      <c r="D310" s="3">
        <v>45856</v>
      </c>
      <c r="E310" s="3">
        <v>46142</v>
      </c>
      <c r="F310" t="s">
        <v>66</v>
      </c>
      <c r="G310" t="s">
        <v>1494</v>
      </c>
      <c r="H310" t="s">
        <v>22</v>
      </c>
      <c r="I310" t="s">
        <v>63</v>
      </c>
      <c r="J310" t="s">
        <v>1491</v>
      </c>
      <c r="K310" t="s">
        <v>31</v>
      </c>
      <c r="L310" s="4">
        <v>215</v>
      </c>
      <c r="M310" t="s">
        <v>291</v>
      </c>
      <c r="N310" t="s">
        <v>26</v>
      </c>
      <c r="O310" s="4">
        <v>96</v>
      </c>
      <c r="P310">
        <v>0</v>
      </c>
      <c r="Q310" s="4">
        <v>96</v>
      </c>
      <c r="R310" s="12">
        <f t="shared" si="4"/>
        <v>20640</v>
      </c>
      <c r="T310" t="s">
        <v>68</v>
      </c>
      <c r="U310" t="s">
        <v>292</v>
      </c>
      <c r="V310" s="4">
        <v>215</v>
      </c>
      <c r="W310">
        <v>0</v>
      </c>
    </row>
    <row r="311" spans="1:23" hidden="1" x14ac:dyDescent="0.25">
      <c r="A311" s="2">
        <v>45856.333541666667</v>
      </c>
      <c r="B311">
        <v>254</v>
      </c>
      <c r="C311" t="s">
        <v>290</v>
      </c>
      <c r="D311" s="3">
        <v>45856</v>
      </c>
      <c r="E311" s="3">
        <v>46142</v>
      </c>
      <c r="F311" t="s">
        <v>66</v>
      </c>
      <c r="G311" t="s">
        <v>1494</v>
      </c>
      <c r="H311" t="s">
        <v>22</v>
      </c>
      <c r="I311" t="s">
        <v>101</v>
      </c>
      <c r="J311" t="s">
        <v>1491</v>
      </c>
      <c r="K311" t="s">
        <v>31</v>
      </c>
      <c r="L311" s="4">
        <v>600</v>
      </c>
      <c r="M311" t="s">
        <v>291</v>
      </c>
      <c r="N311" t="s">
        <v>26</v>
      </c>
      <c r="O311" s="4">
        <v>40</v>
      </c>
      <c r="P311">
        <v>0</v>
      </c>
      <c r="Q311" s="4">
        <v>40</v>
      </c>
      <c r="R311" s="12">
        <f t="shared" si="4"/>
        <v>24000</v>
      </c>
      <c r="T311" t="s">
        <v>68</v>
      </c>
      <c r="U311" t="s">
        <v>292</v>
      </c>
      <c r="V311" s="4">
        <v>600</v>
      </c>
      <c r="W311">
        <v>0</v>
      </c>
    </row>
    <row r="312" spans="1:23" hidden="1" x14ac:dyDescent="0.25">
      <c r="A312" s="2">
        <v>45856.333541666667</v>
      </c>
      <c r="B312">
        <v>254</v>
      </c>
      <c r="C312" t="s">
        <v>290</v>
      </c>
      <c r="D312" s="3">
        <v>45856</v>
      </c>
      <c r="E312" s="3">
        <v>46142</v>
      </c>
      <c r="F312" t="s">
        <v>66</v>
      </c>
      <c r="G312" t="s">
        <v>1494</v>
      </c>
      <c r="H312" t="s">
        <v>22</v>
      </c>
      <c r="I312" t="s">
        <v>38</v>
      </c>
      <c r="J312" t="s">
        <v>1491</v>
      </c>
      <c r="K312" t="s">
        <v>24</v>
      </c>
      <c r="L312" s="4">
        <v>58</v>
      </c>
      <c r="M312" t="s">
        <v>291</v>
      </c>
      <c r="N312" t="s">
        <v>26</v>
      </c>
      <c r="O312" s="4">
        <v>81</v>
      </c>
      <c r="P312">
        <v>0</v>
      </c>
      <c r="Q312" s="4">
        <v>81</v>
      </c>
      <c r="R312" s="12">
        <f t="shared" si="4"/>
        <v>4698</v>
      </c>
      <c r="T312" t="s">
        <v>68</v>
      </c>
      <c r="U312" t="s">
        <v>292</v>
      </c>
      <c r="V312" s="4">
        <v>58</v>
      </c>
      <c r="W312">
        <v>0</v>
      </c>
    </row>
    <row r="313" spans="1:23" hidden="1" x14ac:dyDescent="0.25">
      <c r="A313" s="2">
        <v>45982.348715277774</v>
      </c>
      <c r="B313">
        <v>417</v>
      </c>
      <c r="C313" t="s">
        <v>290</v>
      </c>
      <c r="D313" s="3">
        <v>45982</v>
      </c>
      <c r="E313" s="3">
        <v>46264</v>
      </c>
      <c r="F313" t="s">
        <v>66</v>
      </c>
      <c r="G313" t="s">
        <v>1494</v>
      </c>
      <c r="H313" t="s">
        <v>22</v>
      </c>
      <c r="I313" t="s">
        <v>63</v>
      </c>
      <c r="J313" t="s">
        <v>1491</v>
      </c>
      <c r="K313" t="s">
        <v>31</v>
      </c>
      <c r="L313" s="4">
        <v>195</v>
      </c>
      <c r="M313" t="s">
        <v>293</v>
      </c>
      <c r="N313" t="s">
        <v>46</v>
      </c>
      <c r="O313" s="4">
        <v>76</v>
      </c>
      <c r="P313">
        <v>0</v>
      </c>
      <c r="Q313" s="4">
        <v>76</v>
      </c>
      <c r="R313" s="12">
        <f t="shared" si="4"/>
        <v>14820</v>
      </c>
      <c r="T313" t="s">
        <v>68</v>
      </c>
      <c r="U313" t="s">
        <v>292</v>
      </c>
      <c r="V313" s="4">
        <v>195</v>
      </c>
      <c r="W313">
        <v>0</v>
      </c>
    </row>
    <row r="314" spans="1:23" hidden="1" x14ac:dyDescent="0.25">
      <c r="A314" s="2">
        <v>45982.348715277774</v>
      </c>
      <c r="B314">
        <v>417</v>
      </c>
      <c r="C314" t="s">
        <v>290</v>
      </c>
      <c r="D314" s="3">
        <v>45982</v>
      </c>
      <c r="E314" s="3">
        <v>46264</v>
      </c>
      <c r="F314" t="s">
        <v>66</v>
      </c>
      <c r="G314" t="s">
        <v>1494</v>
      </c>
      <c r="H314" t="s">
        <v>22</v>
      </c>
      <c r="I314" t="s">
        <v>41</v>
      </c>
      <c r="J314" t="s">
        <v>1491</v>
      </c>
      <c r="K314" t="s">
        <v>24</v>
      </c>
      <c r="L314" s="4">
        <v>320</v>
      </c>
      <c r="M314" t="s">
        <v>293</v>
      </c>
      <c r="N314" t="s">
        <v>46</v>
      </c>
      <c r="O314" s="4">
        <v>19</v>
      </c>
      <c r="P314">
        <v>0</v>
      </c>
      <c r="Q314" s="4">
        <v>19</v>
      </c>
      <c r="R314" s="12">
        <f t="shared" si="4"/>
        <v>6080</v>
      </c>
      <c r="T314" t="s">
        <v>68</v>
      </c>
      <c r="U314" t="s">
        <v>292</v>
      </c>
      <c r="V314" s="4">
        <v>320</v>
      </c>
      <c r="W314">
        <v>0</v>
      </c>
    </row>
    <row r="315" spans="1:23" hidden="1" x14ac:dyDescent="0.25">
      <c r="A315" s="2">
        <v>45982.348715277774</v>
      </c>
      <c r="B315">
        <v>417</v>
      </c>
      <c r="C315" t="s">
        <v>290</v>
      </c>
      <c r="D315" s="3">
        <v>45982</v>
      </c>
      <c r="E315" s="3">
        <v>46264</v>
      </c>
      <c r="F315" t="s">
        <v>66</v>
      </c>
      <c r="G315" t="s">
        <v>1494</v>
      </c>
      <c r="H315" t="s">
        <v>22</v>
      </c>
      <c r="I315" t="s">
        <v>40</v>
      </c>
      <c r="J315" t="s">
        <v>1491</v>
      </c>
      <c r="K315" t="s">
        <v>24</v>
      </c>
      <c r="L315" s="4">
        <v>320</v>
      </c>
      <c r="M315" t="s">
        <v>293</v>
      </c>
      <c r="N315" t="s">
        <v>46</v>
      </c>
      <c r="O315" s="4">
        <v>19</v>
      </c>
      <c r="P315">
        <v>0</v>
      </c>
      <c r="Q315" s="4">
        <v>19</v>
      </c>
      <c r="R315" s="12">
        <f t="shared" si="4"/>
        <v>6080</v>
      </c>
      <c r="T315" t="s">
        <v>68</v>
      </c>
      <c r="U315" t="s">
        <v>292</v>
      </c>
      <c r="V315" s="4">
        <v>320</v>
      </c>
      <c r="W315">
        <v>0</v>
      </c>
    </row>
    <row r="316" spans="1:23" hidden="1" x14ac:dyDescent="0.25">
      <c r="A316" s="2">
        <v>45982.348715277774</v>
      </c>
      <c r="B316">
        <v>417</v>
      </c>
      <c r="C316" t="s">
        <v>290</v>
      </c>
      <c r="D316" s="3">
        <v>45982</v>
      </c>
      <c r="E316" s="3">
        <v>46264</v>
      </c>
      <c r="F316" t="s">
        <v>66</v>
      </c>
      <c r="G316" t="s">
        <v>1494</v>
      </c>
      <c r="H316" t="s">
        <v>22</v>
      </c>
      <c r="I316" t="s">
        <v>38</v>
      </c>
      <c r="J316" t="s">
        <v>1491</v>
      </c>
      <c r="K316" t="s">
        <v>24</v>
      </c>
      <c r="L316" s="4">
        <v>52</v>
      </c>
      <c r="M316" t="s">
        <v>293</v>
      </c>
      <c r="N316" t="s">
        <v>46</v>
      </c>
      <c r="O316" s="4">
        <v>36</v>
      </c>
      <c r="P316">
        <v>0</v>
      </c>
      <c r="Q316" s="4">
        <v>36</v>
      </c>
      <c r="R316" s="12">
        <f t="shared" si="4"/>
        <v>1872</v>
      </c>
      <c r="T316" t="s">
        <v>68</v>
      </c>
      <c r="U316" t="s">
        <v>292</v>
      </c>
      <c r="V316" s="4">
        <v>52</v>
      </c>
      <c r="W316">
        <v>0</v>
      </c>
    </row>
    <row r="317" spans="1:23" hidden="1" x14ac:dyDescent="0.25">
      <c r="A317" s="2">
        <v>46029.321608796294</v>
      </c>
      <c r="B317">
        <v>482</v>
      </c>
      <c r="C317" t="s">
        <v>290</v>
      </c>
      <c r="D317" s="3">
        <v>46029</v>
      </c>
      <c r="E317" s="3">
        <v>46264</v>
      </c>
      <c r="F317" t="s">
        <v>66</v>
      </c>
      <c r="H317" t="s">
        <v>22</v>
      </c>
      <c r="I317" t="s">
        <v>207</v>
      </c>
      <c r="K317" t="s">
        <v>24</v>
      </c>
      <c r="L317" s="4">
        <v>415</v>
      </c>
      <c r="M317" t="s">
        <v>294</v>
      </c>
      <c r="N317" t="s">
        <v>46</v>
      </c>
      <c r="O317" s="4">
        <v>40</v>
      </c>
      <c r="P317">
        <v>0</v>
      </c>
      <c r="Q317" s="4">
        <v>40</v>
      </c>
      <c r="R317" s="12">
        <f t="shared" si="4"/>
        <v>16600</v>
      </c>
      <c r="T317" t="s">
        <v>68</v>
      </c>
      <c r="U317" t="s">
        <v>292</v>
      </c>
      <c r="V317" s="4">
        <v>415</v>
      </c>
      <c r="W317">
        <v>0</v>
      </c>
    </row>
    <row r="318" spans="1:23" hidden="1" x14ac:dyDescent="0.25">
      <c r="A318" s="2">
        <v>45845.352349537039</v>
      </c>
      <c r="B318">
        <v>3921</v>
      </c>
      <c r="C318" t="s">
        <v>295</v>
      </c>
      <c r="D318" s="3">
        <v>45834</v>
      </c>
      <c r="E318" s="3">
        <v>46111</v>
      </c>
      <c r="F318" t="s">
        <v>21</v>
      </c>
      <c r="H318" t="s">
        <v>22</v>
      </c>
      <c r="I318" t="s">
        <v>33</v>
      </c>
      <c r="J318" t="s">
        <v>1490</v>
      </c>
      <c r="K318" t="s">
        <v>31</v>
      </c>
      <c r="L318" s="4">
        <v>22.870756</v>
      </c>
      <c r="M318" t="s">
        <v>296</v>
      </c>
      <c r="N318" t="s">
        <v>26</v>
      </c>
      <c r="O318" s="4">
        <v>6900</v>
      </c>
      <c r="P318">
        <v>0</v>
      </c>
      <c r="Q318" s="4">
        <v>6900</v>
      </c>
      <c r="R318" s="12">
        <f t="shared" si="4"/>
        <v>157808.2164</v>
      </c>
      <c r="T318" t="s">
        <v>68</v>
      </c>
      <c r="U318" t="s">
        <v>297</v>
      </c>
      <c r="V318" s="4">
        <v>22.870756</v>
      </c>
      <c r="W318">
        <v>0</v>
      </c>
    </row>
    <row r="319" spans="1:23" hidden="1" x14ac:dyDescent="0.25">
      <c r="A319" s="2">
        <v>45845.352349537039</v>
      </c>
      <c r="B319">
        <v>3921</v>
      </c>
      <c r="C319" t="s">
        <v>295</v>
      </c>
      <c r="D319" s="3">
        <v>45834</v>
      </c>
      <c r="E319" s="3">
        <v>46111</v>
      </c>
      <c r="F319" t="s">
        <v>21</v>
      </c>
      <c r="H319" t="s">
        <v>22</v>
      </c>
      <c r="I319" t="s">
        <v>29</v>
      </c>
      <c r="J319" t="s">
        <v>1490</v>
      </c>
      <c r="K319" t="s">
        <v>24</v>
      </c>
      <c r="L319" s="4">
        <v>150.56581299999999</v>
      </c>
      <c r="M319" t="s">
        <v>296</v>
      </c>
      <c r="N319" t="s">
        <v>26</v>
      </c>
      <c r="O319" s="4">
        <v>1380</v>
      </c>
      <c r="P319">
        <v>0</v>
      </c>
      <c r="Q319" s="4">
        <v>1380</v>
      </c>
      <c r="R319" s="12">
        <f t="shared" si="4"/>
        <v>207780.82193999999</v>
      </c>
      <c r="T319" t="s">
        <v>68</v>
      </c>
      <c r="U319" t="s">
        <v>297</v>
      </c>
      <c r="V319" s="4">
        <v>150.56581299999999</v>
      </c>
      <c r="W319">
        <v>0</v>
      </c>
    </row>
    <row r="320" spans="1:23" hidden="1" x14ac:dyDescent="0.25">
      <c r="A320" s="2">
        <v>45845.352349537039</v>
      </c>
      <c r="B320">
        <v>3921</v>
      </c>
      <c r="C320" t="s">
        <v>295</v>
      </c>
      <c r="D320" s="3">
        <v>45834</v>
      </c>
      <c r="E320" s="3">
        <v>46111</v>
      </c>
      <c r="F320" t="s">
        <v>21</v>
      </c>
      <c r="H320" t="s">
        <v>22</v>
      </c>
      <c r="I320" t="s">
        <v>30</v>
      </c>
      <c r="J320" t="s">
        <v>1490</v>
      </c>
      <c r="K320" t="s">
        <v>31</v>
      </c>
      <c r="L320" s="4">
        <v>21.917808000000001</v>
      </c>
      <c r="M320" t="s">
        <v>296</v>
      </c>
      <c r="N320" t="s">
        <v>26</v>
      </c>
      <c r="O320" s="4">
        <v>11040</v>
      </c>
      <c r="P320">
        <v>0</v>
      </c>
      <c r="Q320" s="4">
        <v>11040</v>
      </c>
      <c r="R320" s="12">
        <f t="shared" si="4"/>
        <v>241972.60032</v>
      </c>
      <c r="T320" t="s">
        <v>68</v>
      </c>
      <c r="U320" t="s">
        <v>297</v>
      </c>
      <c r="V320" s="4">
        <v>21.917808000000001</v>
      </c>
      <c r="W320">
        <v>0</v>
      </c>
    </row>
    <row r="321" spans="1:23" hidden="1" x14ac:dyDescent="0.25">
      <c r="A321" s="2">
        <v>45845.352349537039</v>
      </c>
      <c r="B321">
        <v>3921</v>
      </c>
      <c r="C321" t="s">
        <v>295</v>
      </c>
      <c r="D321" s="3">
        <v>45834</v>
      </c>
      <c r="E321" s="3">
        <v>46111</v>
      </c>
      <c r="F321" t="s">
        <v>21</v>
      </c>
      <c r="H321" t="s">
        <v>22</v>
      </c>
      <c r="I321" t="s">
        <v>37</v>
      </c>
      <c r="J321" t="s">
        <v>1490</v>
      </c>
      <c r="K321" t="s">
        <v>31</v>
      </c>
      <c r="L321" s="4">
        <v>81.953543999999994</v>
      </c>
      <c r="M321" t="s">
        <v>296</v>
      </c>
      <c r="N321" t="s">
        <v>26</v>
      </c>
      <c r="O321" s="4">
        <v>690</v>
      </c>
      <c r="P321">
        <v>0</v>
      </c>
      <c r="Q321" s="4">
        <v>690</v>
      </c>
      <c r="R321" s="12">
        <f t="shared" si="4"/>
        <v>56547.945359999998</v>
      </c>
      <c r="T321" t="s">
        <v>68</v>
      </c>
      <c r="U321" t="s">
        <v>297</v>
      </c>
      <c r="V321" s="4">
        <v>81.953543999999994</v>
      </c>
      <c r="W321">
        <v>0</v>
      </c>
    </row>
    <row r="322" spans="1:23" hidden="1" x14ac:dyDescent="0.25">
      <c r="A322" s="2">
        <v>45845.352349537039</v>
      </c>
      <c r="B322">
        <v>3921</v>
      </c>
      <c r="C322" t="s">
        <v>295</v>
      </c>
      <c r="D322" s="3">
        <v>45834</v>
      </c>
      <c r="E322" s="3">
        <v>46111</v>
      </c>
      <c r="F322" t="s">
        <v>21</v>
      </c>
      <c r="H322" t="s">
        <v>22</v>
      </c>
      <c r="I322" t="s">
        <v>32</v>
      </c>
      <c r="J322" t="s">
        <v>1490</v>
      </c>
      <c r="K322" t="s">
        <v>24</v>
      </c>
      <c r="L322" s="4">
        <v>21.917808000000001</v>
      </c>
      <c r="M322" t="s">
        <v>296</v>
      </c>
      <c r="N322" t="s">
        <v>26</v>
      </c>
      <c r="O322" s="4">
        <v>6900</v>
      </c>
      <c r="P322">
        <v>0</v>
      </c>
      <c r="Q322" s="4">
        <v>6900</v>
      </c>
      <c r="R322" s="12">
        <f t="shared" si="4"/>
        <v>151232.87520000001</v>
      </c>
      <c r="T322" t="s">
        <v>68</v>
      </c>
      <c r="U322" t="s">
        <v>297</v>
      </c>
      <c r="V322" s="4">
        <v>21.917808000000001</v>
      </c>
      <c r="W322">
        <v>0</v>
      </c>
    </row>
    <row r="323" spans="1:23" hidden="1" x14ac:dyDescent="0.25">
      <c r="A323" s="2">
        <v>45845.352349537039</v>
      </c>
      <c r="B323">
        <v>3921</v>
      </c>
      <c r="C323" t="s">
        <v>295</v>
      </c>
      <c r="D323" s="3">
        <v>45834</v>
      </c>
      <c r="E323" s="3">
        <v>46111</v>
      </c>
      <c r="F323" t="s">
        <v>21</v>
      </c>
      <c r="H323" t="s">
        <v>22</v>
      </c>
      <c r="I323" t="s">
        <v>36</v>
      </c>
      <c r="J323" t="s">
        <v>1490</v>
      </c>
      <c r="K323" t="s">
        <v>24</v>
      </c>
      <c r="L323" s="4">
        <v>66.706372999999999</v>
      </c>
      <c r="M323" t="s">
        <v>296</v>
      </c>
      <c r="N323" t="s">
        <v>26</v>
      </c>
      <c r="O323" s="4">
        <v>345</v>
      </c>
      <c r="P323">
        <v>0</v>
      </c>
      <c r="Q323" s="4">
        <v>345</v>
      </c>
      <c r="R323" s="12">
        <f t="shared" ref="R323:R386" si="5">Q323*L323</f>
        <v>23013.698684999999</v>
      </c>
      <c r="T323" t="s">
        <v>68</v>
      </c>
      <c r="U323" t="s">
        <v>297</v>
      </c>
      <c r="V323" s="4">
        <v>66.706372999999999</v>
      </c>
      <c r="W323">
        <v>0</v>
      </c>
    </row>
    <row r="324" spans="1:23" hidden="1" x14ac:dyDescent="0.25">
      <c r="A324" s="2">
        <v>45845.352349537039</v>
      </c>
      <c r="B324">
        <v>3921</v>
      </c>
      <c r="C324" t="s">
        <v>295</v>
      </c>
      <c r="D324" s="3">
        <v>45834</v>
      </c>
      <c r="E324" s="3">
        <v>46111</v>
      </c>
      <c r="F324" t="s">
        <v>21</v>
      </c>
      <c r="H324" t="s">
        <v>22</v>
      </c>
      <c r="I324" t="s">
        <v>35</v>
      </c>
      <c r="J324" t="s">
        <v>1490</v>
      </c>
      <c r="K324" t="s">
        <v>24</v>
      </c>
      <c r="L324" s="4">
        <v>66.706372999999999</v>
      </c>
      <c r="M324" t="s">
        <v>296</v>
      </c>
      <c r="N324" t="s">
        <v>26</v>
      </c>
      <c r="O324" s="4">
        <v>1380</v>
      </c>
      <c r="P324">
        <v>0</v>
      </c>
      <c r="Q324" s="4">
        <v>1380</v>
      </c>
      <c r="R324" s="12">
        <f t="shared" si="5"/>
        <v>92054.794739999998</v>
      </c>
      <c r="T324" t="s">
        <v>68</v>
      </c>
      <c r="U324" t="s">
        <v>297</v>
      </c>
      <c r="V324" s="4">
        <v>66.706372999999999</v>
      </c>
      <c r="W324">
        <v>0</v>
      </c>
    </row>
    <row r="325" spans="1:23" hidden="1" x14ac:dyDescent="0.25">
      <c r="A325" s="2">
        <v>45845.352349537039</v>
      </c>
      <c r="B325">
        <v>3921</v>
      </c>
      <c r="C325" t="s">
        <v>295</v>
      </c>
      <c r="D325" s="3">
        <v>45834</v>
      </c>
      <c r="E325" s="3">
        <v>46111</v>
      </c>
      <c r="F325" t="s">
        <v>21</v>
      </c>
      <c r="H325" t="s">
        <v>22</v>
      </c>
      <c r="I325" t="s">
        <v>23</v>
      </c>
      <c r="J325" t="s">
        <v>1490</v>
      </c>
      <c r="K325" t="s">
        <v>24</v>
      </c>
      <c r="L325" s="4">
        <v>15.247171</v>
      </c>
      <c r="M325" t="s">
        <v>296</v>
      </c>
      <c r="N325" t="s">
        <v>26</v>
      </c>
      <c r="O325" s="4">
        <v>6900</v>
      </c>
      <c r="P325">
        <v>0</v>
      </c>
      <c r="Q325" s="4">
        <v>6900</v>
      </c>
      <c r="R325" s="12">
        <f t="shared" si="5"/>
        <v>105205.47990000001</v>
      </c>
      <c r="T325" t="s">
        <v>68</v>
      </c>
      <c r="U325" t="s">
        <v>297</v>
      </c>
      <c r="V325" s="4">
        <v>15.247171</v>
      </c>
      <c r="W325">
        <v>0</v>
      </c>
    </row>
    <row r="326" spans="1:23" hidden="1" x14ac:dyDescent="0.25">
      <c r="A326" s="2">
        <v>45845.352349537039</v>
      </c>
      <c r="B326">
        <v>3921</v>
      </c>
      <c r="C326" t="s">
        <v>295</v>
      </c>
      <c r="D326" s="3">
        <v>45834</v>
      </c>
      <c r="E326" s="3">
        <v>46111</v>
      </c>
      <c r="F326" t="s">
        <v>21</v>
      </c>
      <c r="H326" t="s">
        <v>22</v>
      </c>
      <c r="I326" t="s">
        <v>34</v>
      </c>
      <c r="J326" t="s">
        <v>1490</v>
      </c>
      <c r="K326" t="s">
        <v>31</v>
      </c>
      <c r="L326" s="4">
        <v>23.823705</v>
      </c>
      <c r="M326" t="s">
        <v>296</v>
      </c>
      <c r="N326" t="s">
        <v>26</v>
      </c>
      <c r="O326" s="4">
        <v>6900</v>
      </c>
      <c r="P326">
        <v>0</v>
      </c>
      <c r="Q326" s="4">
        <v>6900</v>
      </c>
      <c r="R326" s="12">
        <f t="shared" si="5"/>
        <v>164383.56450000001</v>
      </c>
      <c r="T326" t="s">
        <v>68</v>
      </c>
      <c r="U326" t="s">
        <v>297</v>
      </c>
      <c r="V326" s="4">
        <v>23.823705</v>
      </c>
      <c r="W326">
        <v>0</v>
      </c>
    </row>
    <row r="327" spans="1:23" hidden="1" x14ac:dyDescent="0.25">
      <c r="A327" s="2">
        <v>45845.354756944442</v>
      </c>
      <c r="B327">
        <v>3922</v>
      </c>
      <c r="C327" t="s">
        <v>295</v>
      </c>
      <c r="D327" s="3">
        <v>45834</v>
      </c>
      <c r="E327" s="3">
        <v>46111</v>
      </c>
      <c r="F327" t="s">
        <v>21</v>
      </c>
      <c r="G327" t="s">
        <v>1493</v>
      </c>
      <c r="H327" t="s">
        <v>22</v>
      </c>
      <c r="I327" t="s">
        <v>38</v>
      </c>
      <c r="J327" t="s">
        <v>1491</v>
      </c>
      <c r="K327" t="s">
        <v>24</v>
      </c>
      <c r="L327" s="4">
        <v>48.1</v>
      </c>
      <c r="M327" t="s">
        <v>298</v>
      </c>
      <c r="N327" t="s">
        <v>26</v>
      </c>
      <c r="O327" s="4">
        <v>690</v>
      </c>
      <c r="P327">
        <v>0</v>
      </c>
      <c r="Q327" s="4">
        <v>690</v>
      </c>
      <c r="R327" s="12">
        <f t="shared" si="5"/>
        <v>33189</v>
      </c>
      <c r="T327" t="s">
        <v>68</v>
      </c>
      <c r="U327" t="s">
        <v>297</v>
      </c>
      <c r="V327" s="4">
        <v>48.1</v>
      </c>
      <c r="W327">
        <v>0</v>
      </c>
    </row>
    <row r="328" spans="1:23" hidden="1" x14ac:dyDescent="0.25">
      <c r="A328" s="2">
        <v>45845.354756944442</v>
      </c>
      <c r="B328">
        <v>3922</v>
      </c>
      <c r="C328" t="s">
        <v>295</v>
      </c>
      <c r="D328" s="3">
        <v>45834</v>
      </c>
      <c r="E328" s="3">
        <v>46111</v>
      </c>
      <c r="F328" t="s">
        <v>21</v>
      </c>
      <c r="G328" t="s">
        <v>1493</v>
      </c>
      <c r="H328" t="s">
        <v>22</v>
      </c>
      <c r="I328" t="s">
        <v>40</v>
      </c>
      <c r="J328" t="s">
        <v>1491</v>
      </c>
      <c r="K328" t="s">
        <v>24</v>
      </c>
      <c r="L328" s="4">
        <v>323.75</v>
      </c>
      <c r="M328" t="s">
        <v>298</v>
      </c>
      <c r="N328" t="s">
        <v>26</v>
      </c>
      <c r="O328" s="4">
        <v>345</v>
      </c>
      <c r="P328">
        <v>0</v>
      </c>
      <c r="Q328" s="4">
        <v>345</v>
      </c>
      <c r="R328" s="12">
        <f t="shared" si="5"/>
        <v>111693.75</v>
      </c>
      <c r="T328" t="s">
        <v>68</v>
      </c>
      <c r="U328" t="s">
        <v>297</v>
      </c>
      <c r="V328" s="4">
        <v>323.75</v>
      </c>
      <c r="W328">
        <v>0</v>
      </c>
    </row>
    <row r="329" spans="1:23" hidden="1" x14ac:dyDescent="0.25">
      <c r="A329" s="2">
        <v>45845.354756944442</v>
      </c>
      <c r="B329">
        <v>3922</v>
      </c>
      <c r="C329" t="s">
        <v>295</v>
      </c>
      <c r="D329" s="3">
        <v>45834</v>
      </c>
      <c r="E329" s="3">
        <v>46111</v>
      </c>
      <c r="F329" t="s">
        <v>21</v>
      </c>
      <c r="G329" t="s">
        <v>1493</v>
      </c>
      <c r="H329" t="s">
        <v>22</v>
      </c>
      <c r="I329" t="s">
        <v>41</v>
      </c>
      <c r="J329" t="s">
        <v>1491</v>
      </c>
      <c r="K329" t="s">
        <v>24</v>
      </c>
      <c r="L329" s="4">
        <v>323.75</v>
      </c>
      <c r="M329" t="s">
        <v>298</v>
      </c>
      <c r="N329" t="s">
        <v>26</v>
      </c>
      <c r="O329" s="4">
        <v>345</v>
      </c>
      <c r="P329">
        <v>0</v>
      </c>
      <c r="Q329" s="4">
        <v>345</v>
      </c>
      <c r="R329" s="12">
        <f t="shared" si="5"/>
        <v>111693.75</v>
      </c>
      <c r="T329" t="s">
        <v>68</v>
      </c>
      <c r="U329" t="s">
        <v>297</v>
      </c>
      <c r="V329" s="4">
        <v>323.75</v>
      </c>
      <c r="W329">
        <v>0</v>
      </c>
    </row>
    <row r="330" spans="1:23" hidden="1" x14ac:dyDescent="0.25">
      <c r="A330" s="2">
        <v>45845.354756944442</v>
      </c>
      <c r="B330">
        <v>3922</v>
      </c>
      <c r="C330" t="s">
        <v>295</v>
      </c>
      <c r="D330" s="3">
        <v>45834</v>
      </c>
      <c r="E330" s="3">
        <v>46111</v>
      </c>
      <c r="F330" t="s">
        <v>21</v>
      </c>
      <c r="H330" t="s">
        <v>22</v>
      </c>
      <c r="I330" t="s">
        <v>42</v>
      </c>
      <c r="J330" t="s">
        <v>1490</v>
      </c>
      <c r="K330" t="s">
        <v>24</v>
      </c>
      <c r="L330" s="4">
        <v>217.375</v>
      </c>
      <c r="M330" t="s">
        <v>298</v>
      </c>
      <c r="N330" t="s">
        <v>26</v>
      </c>
      <c r="O330" s="4">
        <v>690</v>
      </c>
      <c r="P330">
        <v>0</v>
      </c>
      <c r="Q330" s="4">
        <v>690</v>
      </c>
      <c r="R330" s="12">
        <f t="shared" si="5"/>
        <v>149988.75</v>
      </c>
      <c r="T330" t="s">
        <v>68</v>
      </c>
      <c r="U330" t="s">
        <v>297</v>
      </c>
      <c r="V330" s="4">
        <v>217.375</v>
      </c>
      <c r="W330">
        <v>0</v>
      </c>
    </row>
    <row r="331" spans="1:23" hidden="1" x14ac:dyDescent="0.25">
      <c r="A331" s="2">
        <v>45845.354756944442</v>
      </c>
      <c r="B331">
        <v>3922</v>
      </c>
      <c r="C331" t="s">
        <v>295</v>
      </c>
      <c r="D331" s="3">
        <v>45834</v>
      </c>
      <c r="E331" s="3">
        <v>46111</v>
      </c>
      <c r="F331" t="s">
        <v>21</v>
      </c>
      <c r="G331" t="s">
        <v>1493</v>
      </c>
      <c r="H331" t="s">
        <v>22</v>
      </c>
      <c r="I331" t="s">
        <v>43</v>
      </c>
      <c r="J331" t="s">
        <v>1491</v>
      </c>
      <c r="K331" t="s">
        <v>24</v>
      </c>
      <c r="L331" s="4">
        <v>43.475000000000001</v>
      </c>
      <c r="M331" t="s">
        <v>298</v>
      </c>
      <c r="N331" t="s">
        <v>26</v>
      </c>
      <c r="O331" s="4">
        <v>690</v>
      </c>
      <c r="P331">
        <v>0</v>
      </c>
      <c r="Q331" s="4">
        <v>690</v>
      </c>
      <c r="R331" s="12">
        <f t="shared" si="5"/>
        <v>29997.75</v>
      </c>
      <c r="T331" t="s">
        <v>68</v>
      </c>
      <c r="U331" t="s">
        <v>297</v>
      </c>
      <c r="V331" s="4">
        <v>43.475000000000001</v>
      </c>
      <c r="W331">
        <v>0</v>
      </c>
    </row>
    <row r="332" spans="1:23" hidden="1" x14ac:dyDescent="0.25">
      <c r="A332" s="2">
        <v>45845.354756944442</v>
      </c>
      <c r="B332">
        <v>3922</v>
      </c>
      <c r="C332" t="s">
        <v>295</v>
      </c>
      <c r="D332" s="3">
        <v>45834</v>
      </c>
      <c r="E332" s="3">
        <v>46111</v>
      </c>
      <c r="F332" t="s">
        <v>21</v>
      </c>
      <c r="G332" t="s">
        <v>1493</v>
      </c>
      <c r="H332" t="s">
        <v>22</v>
      </c>
      <c r="I332" t="s">
        <v>63</v>
      </c>
      <c r="J332" t="s">
        <v>1491</v>
      </c>
      <c r="K332" t="s">
        <v>31</v>
      </c>
      <c r="L332" s="4">
        <v>185</v>
      </c>
      <c r="M332" t="s">
        <v>298</v>
      </c>
      <c r="N332" t="s">
        <v>26</v>
      </c>
      <c r="O332" s="4">
        <v>690</v>
      </c>
      <c r="P332">
        <v>0</v>
      </c>
      <c r="Q332" s="4">
        <v>690</v>
      </c>
      <c r="R332" s="12">
        <f t="shared" si="5"/>
        <v>127650</v>
      </c>
      <c r="T332" t="s">
        <v>68</v>
      </c>
      <c r="U332" t="s">
        <v>297</v>
      </c>
      <c r="V332" s="4">
        <v>185</v>
      </c>
      <c r="W332">
        <v>0</v>
      </c>
    </row>
    <row r="333" spans="1:23" hidden="1" x14ac:dyDescent="0.25">
      <c r="A333" s="2">
        <v>45845.359537037039</v>
      </c>
      <c r="B333">
        <v>3923</v>
      </c>
      <c r="C333" t="s">
        <v>295</v>
      </c>
      <c r="D333" s="3">
        <v>45834</v>
      </c>
      <c r="E333" s="3">
        <v>46264</v>
      </c>
      <c r="F333" t="s">
        <v>21</v>
      </c>
      <c r="H333" t="s">
        <v>22</v>
      </c>
      <c r="I333" t="s">
        <v>30</v>
      </c>
      <c r="J333" t="s">
        <v>1490</v>
      </c>
      <c r="K333" t="s">
        <v>31</v>
      </c>
      <c r="L333" s="4">
        <v>22.799149</v>
      </c>
      <c r="M333" t="s">
        <v>299</v>
      </c>
      <c r="N333" t="s">
        <v>46</v>
      </c>
      <c r="O333" s="4">
        <v>10600</v>
      </c>
      <c r="P333">
        <v>0</v>
      </c>
      <c r="Q333" s="4">
        <v>10600</v>
      </c>
      <c r="R333" s="12">
        <f t="shared" si="5"/>
        <v>241670.97940000001</v>
      </c>
      <c r="T333" t="s">
        <v>68</v>
      </c>
      <c r="U333" t="s">
        <v>297</v>
      </c>
      <c r="V333" s="4">
        <v>22.799149</v>
      </c>
      <c r="W333">
        <v>0</v>
      </c>
    </row>
    <row r="334" spans="1:23" hidden="1" x14ac:dyDescent="0.25">
      <c r="A334" s="2">
        <v>45845.359537037039</v>
      </c>
      <c r="B334">
        <v>3923</v>
      </c>
      <c r="C334" t="s">
        <v>295</v>
      </c>
      <c r="D334" s="3">
        <v>45834</v>
      </c>
      <c r="E334" s="3">
        <v>46264</v>
      </c>
      <c r="F334" t="s">
        <v>21</v>
      </c>
      <c r="H334" t="s">
        <v>22</v>
      </c>
      <c r="I334" t="s">
        <v>32</v>
      </c>
      <c r="J334" t="s">
        <v>1490</v>
      </c>
      <c r="K334" t="s">
        <v>24</v>
      </c>
      <c r="L334" s="4">
        <v>22.799149</v>
      </c>
      <c r="M334" t="s">
        <v>299</v>
      </c>
      <c r="N334" t="s">
        <v>46</v>
      </c>
      <c r="O334" s="4">
        <v>5300</v>
      </c>
      <c r="P334">
        <v>0</v>
      </c>
      <c r="Q334" s="4">
        <v>5300</v>
      </c>
      <c r="R334" s="12">
        <f t="shared" si="5"/>
        <v>120835.48970000001</v>
      </c>
      <c r="T334" t="s">
        <v>68</v>
      </c>
      <c r="U334" t="s">
        <v>297</v>
      </c>
      <c r="V334" s="4">
        <v>22.799149</v>
      </c>
      <c r="W334">
        <v>0</v>
      </c>
    </row>
    <row r="335" spans="1:23" hidden="1" x14ac:dyDescent="0.25">
      <c r="A335" s="2">
        <v>45845.359537037039</v>
      </c>
      <c r="B335">
        <v>3923</v>
      </c>
      <c r="C335" t="s">
        <v>295</v>
      </c>
      <c r="D335" s="3">
        <v>45834</v>
      </c>
      <c r="E335" s="3">
        <v>46264</v>
      </c>
      <c r="F335" t="s">
        <v>21</v>
      </c>
      <c r="H335" t="s">
        <v>22</v>
      </c>
      <c r="I335" t="s">
        <v>29</v>
      </c>
      <c r="J335" t="s">
        <v>1490</v>
      </c>
      <c r="K335" t="s">
        <v>24</v>
      </c>
      <c r="L335" s="4">
        <v>156.62026399999999</v>
      </c>
      <c r="M335" t="s">
        <v>299</v>
      </c>
      <c r="N335" t="s">
        <v>46</v>
      </c>
      <c r="O335" s="4">
        <v>540</v>
      </c>
      <c r="P335">
        <v>0</v>
      </c>
      <c r="Q335" s="4">
        <v>540</v>
      </c>
      <c r="R335" s="12">
        <f t="shared" si="5"/>
        <v>84574.942559999996</v>
      </c>
      <c r="T335" t="s">
        <v>68</v>
      </c>
      <c r="U335" t="s">
        <v>297</v>
      </c>
      <c r="V335" s="4">
        <v>156.62026399999999</v>
      </c>
      <c r="W335">
        <v>0</v>
      </c>
    </row>
    <row r="336" spans="1:23" hidden="1" x14ac:dyDescent="0.25">
      <c r="A336" s="2">
        <v>45845.359537037039</v>
      </c>
      <c r="B336">
        <v>3923</v>
      </c>
      <c r="C336" t="s">
        <v>295</v>
      </c>
      <c r="D336" s="3">
        <v>45834</v>
      </c>
      <c r="E336" s="3">
        <v>46264</v>
      </c>
      <c r="F336" t="s">
        <v>21</v>
      </c>
      <c r="H336" t="s">
        <v>22</v>
      </c>
      <c r="I336" t="s">
        <v>35</v>
      </c>
      <c r="J336" t="s">
        <v>1490</v>
      </c>
      <c r="K336" t="s">
        <v>24</v>
      </c>
      <c r="L336" s="4">
        <v>69.388716000000002</v>
      </c>
      <c r="M336" t="s">
        <v>299</v>
      </c>
      <c r="N336" t="s">
        <v>46</v>
      </c>
      <c r="O336" s="4">
        <v>1035</v>
      </c>
      <c r="P336">
        <v>0</v>
      </c>
      <c r="Q336" s="4">
        <v>1035</v>
      </c>
      <c r="R336" s="12">
        <f t="shared" si="5"/>
        <v>71817.321060000002</v>
      </c>
      <c r="T336" t="s">
        <v>68</v>
      </c>
      <c r="U336" t="s">
        <v>297</v>
      </c>
      <c r="V336" s="4">
        <v>69.388716000000002</v>
      </c>
      <c r="W336">
        <v>0</v>
      </c>
    </row>
    <row r="337" spans="1:23" hidden="1" x14ac:dyDescent="0.25">
      <c r="A337" s="2">
        <v>45845.359537037039</v>
      </c>
      <c r="B337">
        <v>3923</v>
      </c>
      <c r="C337" t="s">
        <v>295</v>
      </c>
      <c r="D337" s="3">
        <v>45834</v>
      </c>
      <c r="E337" s="3">
        <v>46264</v>
      </c>
      <c r="F337" t="s">
        <v>21</v>
      </c>
      <c r="H337" t="s">
        <v>22</v>
      </c>
      <c r="I337" t="s">
        <v>23</v>
      </c>
      <c r="J337" t="s">
        <v>1490</v>
      </c>
      <c r="K337" t="s">
        <v>24</v>
      </c>
      <c r="L337" s="4">
        <v>15.860277999999999</v>
      </c>
      <c r="M337" t="s">
        <v>299</v>
      </c>
      <c r="N337" t="s">
        <v>46</v>
      </c>
      <c r="O337" s="4">
        <v>5300</v>
      </c>
      <c r="P337">
        <v>0</v>
      </c>
      <c r="Q337" s="4">
        <v>5300</v>
      </c>
      <c r="R337" s="12">
        <f t="shared" si="5"/>
        <v>84059.473400000003</v>
      </c>
      <c r="T337" t="s">
        <v>68</v>
      </c>
      <c r="U337" t="s">
        <v>297</v>
      </c>
      <c r="V337" s="4">
        <v>15.860277999999999</v>
      </c>
      <c r="W337">
        <v>0</v>
      </c>
    </row>
    <row r="338" spans="1:23" hidden="1" x14ac:dyDescent="0.25">
      <c r="A338" s="2">
        <v>45845.363078703704</v>
      </c>
      <c r="B338">
        <v>3924</v>
      </c>
      <c r="C338" t="s">
        <v>295</v>
      </c>
      <c r="D338" s="3">
        <v>45834</v>
      </c>
      <c r="E338" s="3">
        <v>46264</v>
      </c>
      <c r="F338" t="s">
        <v>21</v>
      </c>
      <c r="G338" t="s">
        <v>1493</v>
      </c>
      <c r="H338" t="s">
        <v>22</v>
      </c>
      <c r="I338" t="s">
        <v>38</v>
      </c>
      <c r="J338" t="s">
        <v>1491</v>
      </c>
      <c r="K338" t="s">
        <v>24</v>
      </c>
      <c r="L338" s="4">
        <v>47.526819000000003</v>
      </c>
      <c r="M338" t="s">
        <v>300</v>
      </c>
      <c r="N338" t="s">
        <v>46</v>
      </c>
      <c r="O338" s="4">
        <v>531</v>
      </c>
      <c r="P338">
        <v>0</v>
      </c>
      <c r="Q338" s="4">
        <v>531</v>
      </c>
      <c r="R338" s="12">
        <f t="shared" si="5"/>
        <v>25236.740889000001</v>
      </c>
      <c r="T338" t="s">
        <v>68</v>
      </c>
      <c r="U338" t="s">
        <v>297</v>
      </c>
      <c r="V338" s="4">
        <v>47.526819000000003</v>
      </c>
      <c r="W338">
        <v>0</v>
      </c>
    </row>
    <row r="339" spans="1:23" hidden="1" x14ac:dyDescent="0.25">
      <c r="A339" s="2">
        <v>45845.363078703704</v>
      </c>
      <c r="B339">
        <v>3924</v>
      </c>
      <c r="C339" t="s">
        <v>295</v>
      </c>
      <c r="D339" s="3">
        <v>45834</v>
      </c>
      <c r="E339" s="3">
        <v>46264</v>
      </c>
      <c r="F339" t="s">
        <v>21</v>
      </c>
      <c r="G339" t="s">
        <v>1493</v>
      </c>
      <c r="H339" t="s">
        <v>22</v>
      </c>
      <c r="I339" t="s">
        <v>40</v>
      </c>
      <c r="J339" t="s">
        <v>1491</v>
      </c>
      <c r="K339" t="s">
        <v>24</v>
      </c>
      <c r="L339" s="4">
        <v>319.89204999999998</v>
      </c>
      <c r="M339" t="s">
        <v>300</v>
      </c>
      <c r="N339" t="s">
        <v>46</v>
      </c>
      <c r="O339" s="4">
        <v>106</v>
      </c>
      <c r="P339">
        <v>0</v>
      </c>
      <c r="Q339" s="4">
        <v>106</v>
      </c>
      <c r="R339" s="12">
        <f t="shared" si="5"/>
        <v>33908.5573</v>
      </c>
      <c r="T339" t="s">
        <v>68</v>
      </c>
      <c r="U339" t="s">
        <v>297</v>
      </c>
      <c r="V339" s="4">
        <v>319.89204999999998</v>
      </c>
      <c r="W339">
        <v>0</v>
      </c>
    </row>
    <row r="340" spans="1:23" hidden="1" x14ac:dyDescent="0.25">
      <c r="A340" s="2">
        <v>45845.363078703704</v>
      </c>
      <c r="B340">
        <v>3924</v>
      </c>
      <c r="C340" t="s">
        <v>295</v>
      </c>
      <c r="D340" s="3">
        <v>45834</v>
      </c>
      <c r="E340" s="3">
        <v>46264</v>
      </c>
      <c r="F340" t="s">
        <v>21</v>
      </c>
      <c r="G340" t="s">
        <v>1493</v>
      </c>
      <c r="H340" t="s">
        <v>22</v>
      </c>
      <c r="I340" t="s">
        <v>41</v>
      </c>
      <c r="J340" t="s">
        <v>1491</v>
      </c>
      <c r="K340" t="s">
        <v>24</v>
      </c>
      <c r="L340" s="4">
        <v>319.89204999999998</v>
      </c>
      <c r="M340" t="s">
        <v>300</v>
      </c>
      <c r="N340" t="s">
        <v>46</v>
      </c>
      <c r="O340" s="4">
        <v>106</v>
      </c>
      <c r="P340">
        <v>0</v>
      </c>
      <c r="Q340" s="4">
        <v>106</v>
      </c>
      <c r="R340" s="12">
        <f t="shared" si="5"/>
        <v>33908.5573</v>
      </c>
      <c r="T340" t="s">
        <v>68</v>
      </c>
      <c r="U340" t="s">
        <v>297</v>
      </c>
      <c r="V340" s="4">
        <v>319.89204999999998</v>
      </c>
      <c r="W340">
        <v>0</v>
      </c>
    </row>
    <row r="341" spans="1:23" hidden="1" x14ac:dyDescent="0.25">
      <c r="A341" s="2">
        <v>45845.363078703704</v>
      </c>
      <c r="B341">
        <v>3924</v>
      </c>
      <c r="C341" t="s">
        <v>295</v>
      </c>
      <c r="D341" s="3">
        <v>45834</v>
      </c>
      <c r="E341" s="3">
        <v>46264</v>
      </c>
      <c r="F341" t="s">
        <v>21</v>
      </c>
      <c r="H341" t="s">
        <v>22</v>
      </c>
      <c r="I341" t="s">
        <v>42</v>
      </c>
      <c r="J341" t="s">
        <v>1490</v>
      </c>
      <c r="K341" t="s">
        <v>24</v>
      </c>
      <c r="L341" s="4">
        <v>214.784662</v>
      </c>
      <c r="M341" t="s">
        <v>300</v>
      </c>
      <c r="N341" t="s">
        <v>46</v>
      </c>
      <c r="O341" s="4">
        <v>530</v>
      </c>
      <c r="P341">
        <v>0</v>
      </c>
      <c r="Q341" s="4">
        <v>530</v>
      </c>
      <c r="R341" s="12">
        <f t="shared" si="5"/>
        <v>113835.87086</v>
      </c>
      <c r="T341" t="s">
        <v>68</v>
      </c>
      <c r="U341" t="s">
        <v>297</v>
      </c>
      <c r="V341" s="4">
        <v>214.784662</v>
      </c>
      <c r="W341">
        <v>0</v>
      </c>
    </row>
    <row r="342" spans="1:23" hidden="1" x14ac:dyDescent="0.25">
      <c r="A342" s="2">
        <v>45845.363078703704</v>
      </c>
      <c r="B342">
        <v>3924</v>
      </c>
      <c r="C342" t="s">
        <v>295</v>
      </c>
      <c r="D342" s="3">
        <v>45834</v>
      </c>
      <c r="E342" s="3">
        <v>46264</v>
      </c>
      <c r="F342" t="s">
        <v>21</v>
      </c>
      <c r="G342" t="s">
        <v>1493</v>
      </c>
      <c r="H342" t="s">
        <v>22</v>
      </c>
      <c r="I342" t="s">
        <v>63</v>
      </c>
      <c r="J342" t="s">
        <v>1491</v>
      </c>
      <c r="K342" t="s">
        <v>31</v>
      </c>
      <c r="L342" s="4">
        <v>182.795457</v>
      </c>
      <c r="M342" t="s">
        <v>300</v>
      </c>
      <c r="N342" t="s">
        <v>46</v>
      </c>
      <c r="O342" s="4">
        <v>424</v>
      </c>
      <c r="P342">
        <v>0</v>
      </c>
      <c r="Q342" s="4">
        <v>424</v>
      </c>
      <c r="R342" s="12">
        <f t="shared" si="5"/>
        <v>77505.273767999999</v>
      </c>
      <c r="T342" t="s">
        <v>68</v>
      </c>
      <c r="U342" t="s">
        <v>297</v>
      </c>
      <c r="V342" s="4">
        <v>182.795457</v>
      </c>
      <c r="W342">
        <v>0</v>
      </c>
    </row>
    <row r="343" spans="1:23" hidden="1" x14ac:dyDescent="0.25">
      <c r="A343" s="2">
        <v>45925.467048611114</v>
      </c>
      <c r="B343">
        <v>4091</v>
      </c>
      <c r="C343" t="s">
        <v>295</v>
      </c>
      <c r="D343" s="3">
        <v>45925</v>
      </c>
      <c r="E343" s="3">
        <v>46111</v>
      </c>
      <c r="F343" t="s">
        <v>21</v>
      </c>
      <c r="G343" t="s">
        <v>1493</v>
      </c>
      <c r="H343" t="s">
        <v>22</v>
      </c>
      <c r="I343" t="s">
        <v>59</v>
      </c>
      <c r="J343" t="s">
        <v>1491</v>
      </c>
      <c r="K343" t="s">
        <v>24</v>
      </c>
      <c r="L343" s="4">
        <v>43.48</v>
      </c>
      <c r="M343" t="s">
        <v>301</v>
      </c>
      <c r="N343" t="s">
        <v>26</v>
      </c>
      <c r="O343" s="4">
        <v>105</v>
      </c>
      <c r="P343">
        <v>0</v>
      </c>
      <c r="Q343" s="4">
        <v>105</v>
      </c>
      <c r="R343" s="12">
        <f t="shared" si="5"/>
        <v>4565.3999999999996</v>
      </c>
      <c r="T343" t="s">
        <v>68</v>
      </c>
      <c r="U343" t="s">
        <v>297</v>
      </c>
      <c r="V343" s="4">
        <v>43.48</v>
      </c>
      <c r="W343">
        <v>0</v>
      </c>
    </row>
    <row r="344" spans="1:23" hidden="1" x14ac:dyDescent="0.25">
      <c r="A344" s="2">
        <v>45925.467048611114</v>
      </c>
      <c r="B344">
        <v>4091</v>
      </c>
      <c r="C344" t="s">
        <v>295</v>
      </c>
      <c r="D344" s="3">
        <v>45925</v>
      </c>
      <c r="E344" s="3">
        <v>46111</v>
      </c>
      <c r="F344" t="s">
        <v>21</v>
      </c>
      <c r="G344" t="s">
        <v>1493</v>
      </c>
      <c r="H344" t="s">
        <v>22</v>
      </c>
      <c r="I344" t="s">
        <v>43</v>
      </c>
      <c r="J344" t="s">
        <v>1491</v>
      </c>
      <c r="K344" t="s">
        <v>24</v>
      </c>
      <c r="L344" s="4">
        <v>43.48</v>
      </c>
      <c r="M344" t="s">
        <v>301</v>
      </c>
      <c r="N344" t="s">
        <v>26</v>
      </c>
      <c r="O344" s="4">
        <v>96</v>
      </c>
      <c r="P344">
        <v>0</v>
      </c>
      <c r="Q344" s="4">
        <v>96</v>
      </c>
      <c r="R344" s="12">
        <f t="shared" si="5"/>
        <v>4174.08</v>
      </c>
      <c r="T344" t="s">
        <v>68</v>
      </c>
      <c r="U344" t="s">
        <v>297</v>
      </c>
      <c r="V344" s="4">
        <v>43.48</v>
      </c>
      <c r="W344">
        <v>0</v>
      </c>
    </row>
    <row r="345" spans="1:23" hidden="1" x14ac:dyDescent="0.25">
      <c r="A345" s="2">
        <v>45939.393599537034</v>
      </c>
      <c r="B345">
        <v>4137</v>
      </c>
      <c r="C345" t="s">
        <v>295</v>
      </c>
      <c r="D345" s="3">
        <v>45939</v>
      </c>
      <c r="E345" s="3">
        <v>46111</v>
      </c>
      <c r="F345" t="s">
        <v>21</v>
      </c>
      <c r="H345" t="s">
        <v>22</v>
      </c>
      <c r="I345" t="s">
        <v>207</v>
      </c>
      <c r="K345" t="s">
        <v>24</v>
      </c>
      <c r="L345" s="4">
        <v>450</v>
      </c>
      <c r="M345" t="s">
        <v>302</v>
      </c>
      <c r="N345" t="s">
        <v>26</v>
      </c>
      <c r="O345" s="4">
        <v>47</v>
      </c>
      <c r="P345">
        <v>0</v>
      </c>
      <c r="Q345" s="4">
        <v>47</v>
      </c>
      <c r="R345" s="12">
        <f t="shared" si="5"/>
        <v>21150</v>
      </c>
      <c r="T345" t="s">
        <v>68</v>
      </c>
      <c r="U345" t="s">
        <v>297</v>
      </c>
      <c r="V345" s="4">
        <v>450</v>
      </c>
      <c r="W345">
        <v>0</v>
      </c>
    </row>
    <row r="346" spans="1:23" hidden="1" x14ac:dyDescent="0.25">
      <c r="A346" s="2">
        <v>45961.390300925923</v>
      </c>
      <c r="B346">
        <v>4225</v>
      </c>
      <c r="C346" t="s">
        <v>295</v>
      </c>
      <c r="D346" s="3">
        <v>45961</v>
      </c>
      <c r="E346" s="3">
        <v>46111</v>
      </c>
      <c r="F346" t="s">
        <v>21</v>
      </c>
      <c r="G346" t="s">
        <v>1493</v>
      </c>
      <c r="H346" t="s">
        <v>22</v>
      </c>
      <c r="I346" t="s">
        <v>63</v>
      </c>
      <c r="J346" t="s">
        <v>1491</v>
      </c>
      <c r="K346" t="s">
        <v>31</v>
      </c>
      <c r="L346" s="4">
        <v>185</v>
      </c>
      <c r="M346" t="s">
        <v>303</v>
      </c>
      <c r="N346" t="s">
        <v>26</v>
      </c>
      <c r="O346" s="4">
        <v>82</v>
      </c>
      <c r="P346">
        <v>0</v>
      </c>
      <c r="Q346" s="4">
        <v>82</v>
      </c>
      <c r="R346" s="12">
        <f t="shared" si="5"/>
        <v>15170</v>
      </c>
      <c r="T346" t="s">
        <v>68</v>
      </c>
      <c r="U346" t="s">
        <v>297</v>
      </c>
      <c r="V346" s="4">
        <v>185</v>
      </c>
      <c r="W346">
        <v>0</v>
      </c>
    </row>
    <row r="347" spans="1:23" hidden="1" x14ac:dyDescent="0.25">
      <c r="A347" s="2">
        <v>45982.387025462966</v>
      </c>
      <c r="B347">
        <v>4285</v>
      </c>
      <c r="C347" t="s">
        <v>295</v>
      </c>
      <c r="D347" s="3">
        <v>45982</v>
      </c>
      <c r="E347" s="3">
        <v>46111</v>
      </c>
      <c r="F347" t="s">
        <v>21</v>
      </c>
      <c r="H347" t="s">
        <v>22</v>
      </c>
      <c r="I347" t="s">
        <v>171</v>
      </c>
      <c r="K347" t="s">
        <v>24</v>
      </c>
      <c r="L347" s="4">
        <v>30</v>
      </c>
      <c r="N347" t="s">
        <v>26</v>
      </c>
      <c r="O347" s="4">
        <v>1320</v>
      </c>
      <c r="P347">
        <v>0</v>
      </c>
      <c r="Q347" s="4">
        <v>1320</v>
      </c>
      <c r="R347" s="12">
        <f t="shared" si="5"/>
        <v>39600</v>
      </c>
      <c r="T347" t="s">
        <v>68</v>
      </c>
      <c r="U347" t="s">
        <v>297</v>
      </c>
      <c r="V347" s="4">
        <v>30</v>
      </c>
      <c r="W347">
        <v>0</v>
      </c>
    </row>
    <row r="348" spans="1:23" hidden="1" x14ac:dyDescent="0.25">
      <c r="A348" s="2">
        <v>46013.613715277781</v>
      </c>
      <c r="B348">
        <v>4372</v>
      </c>
      <c r="C348" t="s">
        <v>295</v>
      </c>
      <c r="D348" s="3">
        <v>46013</v>
      </c>
      <c r="E348" s="3">
        <v>46111</v>
      </c>
      <c r="F348" t="s">
        <v>21</v>
      </c>
      <c r="H348" t="s">
        <v>22</v>
      </c>
      <c r="I348" t="s">
        <v>192</v>
      </c>
      <c r="J348" t="s">
        <v>1490</v>
      </c>
      <c r="K348" t="s">
        <v>24</v>
      </c>
      <c r="L348" s="4">
        <v>15.8</v>
      </c>
      <c r="M348" t="s">
        <v>304</v>
      </c>
      <c r="N348" t="s">
        <v>26</v>
      </c>
      <c r="O348" s="4">
        <v>1900</v>
      </c>
      <c r="P348">
        <v>0</v>
      </c>
      <c r="Q348" s="4">
        <v>1900</v>
      </c>
      <c r="R348" s="12">
        <f t="shared" si="5"/>
        <v>30020</v>
      </c>
      <c r="T348" t="s">
        <v>68</v>
      </c>
      <c r="U348" t="s">
        <v>297</v>
      </c>
      <c r="V348" s="4">
        <v>15.8</v>
      </c>
      <c r="W348">
        <v>0</v>
      </c>
    </row>
    <row r="349" spans="1:23" hidden="1" x14ac:dyDescent="0.25">
      <c r="A349" s="2">
        <v>46014.615740740737</v>
      </c>
      <c r="B349">
        <v>4378</v>
      </c>
      <c r="C349" t="s">
        <v>295</v>
      </c>
      <c r="D349" s="3">
        <v>46014</v>
      </c>
      <c r="E349" s="3">
        <v>46111</v>
      </c>
      <c r="F349" t="s">
        <v>21</v>
      </c>
      <c r="H349" t="s">
        <v>22</v>
      </c>
      <c r="I349" t="s">
        <v>35</v>
      </c>
      <c r="J349" t="s">
        <v>1490</v>
      </c>
      <c r="K349" t="s">
        <v>24</v>
      </c>
      <c r="L349" s="4">
        <v>66.709999999999994</v>
      </c>
      <c r="M349" t="s">
        <v>305</v>
      </c>
      <c r="N349" t="s">
        <v>26</v>
      </c>
      <c r="O349" s="4">
        <v>500</v>
      </c>
      <c r="P349">
        <v>0</v>
      </c>
      <c r="Q349" s="4">
        <v>500</v>
      </c>
      <c r="R349" s="12">
        <f t="shared" si="5"/>
        <v>33355</v>
      </c>
      <c r="T349" t="s">
        <v>68</v>
      </c>
      <c r="U349" t="s">
        <v>297</v>
      </c>
      <c r="V349" s="4">
        <v>66.709999999999994</v>
      </c>
      <c r="W349">
        <v>0</v>
      </c>
    </row>
    <row r="350" spans="1:23" hidden="1" x14ac:dyDescent="0.25">
      <c r="A350" s="2">
        <v>46078.671319444446</v>
      </c>
      <c r="B350">
        <v>4611</v>
      </c>
      <c r="C350" t="s">
        <v>295</v>
      </c>
      <c r="D350" s="3">
        <v>46078</v>
      </c>
      <c r="E350" s="3">
        <v>46264</v>
      </c>
      <c r="F350" t="s">
        <v>21</v>
      </c>
      <c r="G350" t="s">
        <v>1493</v>
      </c>
      <c r="H350" t="s">
        <v>22</v>
      </c>
      <c r="I350" t="s">
        <v>40</v>
      </c>
      <c r="J350" t="s">
        <v>1491</v>
      </c>
      <c r="K350" t="s">
        <v>24</v>
      </c>
      <c r="L350" s="4">
        <v>319.89999999999998</v>
      </c>
      <c r="M350" t="s">
        <v>306</v>
      </c>
      <c r="N350" t="s">
        <v>46</v>
      </c>
      <c r="O350" s="4">
        <v>25</v>
      </c>
      <c r="P350">
        <v>0</v>
      </c>
      <c r="Q350" s="4">
        <v>25</v>
      </c>
      <c r="R350" s="12">
        <f t="shared" si="5"/>
        <v>7997.4999999999991</v>
      </c>
      <c r="T350" t="s">
        <v>68</v>
      </c>
      <c r="U350" t="s">
        <v>297</v>
      </c>
      <c r="V350" s="4">
        <v>319.89999999999998</v>
      </c>
      <c r="W350">
        <v>0</v>
      </c>
    </row>
    <row r="351" spans="1:23" hidden="1" x14ac:dyDescent="0.25">
      <c r="A351" s="2">
        <v>46078.671319444446</v>
      </c>
      <c r="B351">
        <v>4611</v>
      </c>
      <c r="C351" t="s">
        <v>295</v>
      </c>
      <c r="D351" s="3">
        <v>46078</v>
      </c>
      <c r="E351" s="3">
        <v>46264</v>
      </c>
      <c r="F351" t="s">
        <v>21</v>
      </c>
      <c r="G351" t="s">
        <v>1493</v>
      </c>
      <c r="H351" t="s">
        <v>22</v>
      </c>
      <c r="I351" t="s">
        <v>41</v>
      </c>
      <c r="J351" t="s">
        <v>1491</v>
      </c>
      <c r="K351" t="s">
        <v>24</v>
      </c>
      <c r="L351" s="4">
        <v>319.89999999999998</v>
      </c>
      <c r="M351" t="s">
        <v>306</v>
      </c>
      <c r="N351" t="s">
        <v>46</v>
      </c>
      <c r="O351" s="4">
        <v>11</v>
      </c>
      <c r="P351">
        <v>0</v>
      </c>
      <c r="Q351" s="4">
        <v>11</v>
      </c>
      <c r="R351" s="12">
        <f t="shared" si="5"/>
        <v>3518.8999999999996</v>
      </c>
      <c r="T351" t="s">
        <v>68</v>
      </c>
      <c r="U351" t="s">
        <v>297</v>
      </c>
      <c r="V351" s="4">
        <v>319.89999999999998</v>
      </c>
      <c r="W351">
        <v>0</v>
      </c>
    </row>
    <row r="352" spans="1:23" hidden="1" x14ac:dyDescent="0.25">
      <c r="A352" s="2">
        <v>46081.382685185185</v>
      </c>
      <c r="B352">
        <v>4616</v>
      </c>
      <c r="C352" t="s">
        <v>295</v>
      </c>
      <c r="D352" s="3">
        <v>46081</v>
      </c>
      <c r="E352" s="3">
        <v>46264</v>
      </c>
      <c r="F352" t="s">
        <v>21</v>
      </c>
      <c r="G352" t="s">
        <v>1493</v>
      </c>
      <c r="H352" t="s">
        <v>22</v>
      </c>
      <c r="I352" t="s">
        <v>38</v>
      </c>
      <c r="J352" t="s">
        <v>1491</v>
      </c>
      <c r="K352" t="s">
        <v>24</v>
      </c>
      <c r="L352" s="4">
        <v>47.5</v>
      </c>
      <c r="M352" t="s">
        <v>307</v>
      </c>
      <c r="N352" t="s">
        <v>46</v>
      </c>
      <c r="O352" s="4">
        <v>30</v>
      </c>
      <c r="P352">
        <v>0</v>
      </c>
      <c r="Q352" s="4">
        <v>30</v>
      </c>
      <c r="R352" s="12">
        <f t="shared" si="5"/>
        <v>1425</v>
      </c>
      <c r="T352" t="s">
        <v>68</v>
      </c>
      <c r="U352" t="s">
        <v>297</v>
      </c>
      <c r="V352" s="4">
        <v>47.5</v>
      </c>
      <c r="W352">
        <v>0</v>
      </c>
    </row>
    <row r="353" spans="1:23" hidden="1" x14ac:dyDescent="0.25">
      <c r="A353" s="2">
        <v>46093.608576388891</v>
      </c>
      <c r="B353">
        <v>4648</v>
      </c>
      <c r="C353" t="s">
        <v>295</v>
      </c>
      <c r="D353" s="3">
        <v>46093</v>
      </c>
      <c r="E353" s="3">
        <v>46264</v>
      </c>
      <c r="F353" t="s">
        <v>21</v>
      </c>
      <c r="H353" t="s">
        <v>22</v>
      </c>
      <c r="I353" t="s">
        <v>35</v>
      </c>
      <c r="J353" t="s">
        <v>1490</v>
      </c>
      <c r="K353" t="s">
        <v>24</v>
      </c>
      <c r="L353" s="4">
        <v>69</v>
      </c>
      <c r="M353" t="s">
        <v>308</v>
      </c>
      <c r="N353" t="s">
        <v>46</v>
      </c>
      <c r="O353" s="4">
        <v>400</v>
      </c>
      <c r="P353" s="4">
        <v>400</v>
      </c>
      <c r="Q353">
        <v>0</v>
      </c>
      <c r="R353" s="12">
        <f t="shared" si="5"/>
        <v>0</v>
      </c>
      <c r="T353" t="s">
        <v>68</v>
      </c>
      <c r="U353" t="s">
        <v>297</v>
      </c>
      <c r="V353" s="4">
        <v>69</v>
      </c>
      <c r="W353">
        <v>0</v>
      </c>
    </row>
    <row r="354" spans="1:23" hidden="1" x14ac:dyDescent="0.25">
      <c r="A354" s="2">
        <v>45771.643229166664</v>
      </c>
      <c r="B354">
        <v>203</v>
      </c>
      <c r="C354" t="s">
        <v>309</v>
      </c>
      <c r="D354" s="3">
        <v>45771</v>
      </c>
      <c r="E354" s="3">
        <v>46142</v>
      </c>
      <c r="F354" t="s">
        <v>52</v>
      </c>
      <c r="G354" t="s">
        <v>1494</v>
      </c>
      <c r="H354" t="s">
        <v>22</v>
      </c>
      <c r="I354" t="s">
        <v>40</v>
      </c>
      <c r="J354" t="s">
        <v>1491</v>
      </c>
      <c r="K354" t="s">
        <v>24</v>
      </c>
      <c r="L354" s="4">
        <v>340</v>
      </c>
      <c r="M354" t="s">
        <v>310</v>
      </c>
      <c r="N354" t="s">
        <v>26</v>
      </c>
      <c r="O354" s="4">
        <v>50</v>
      </c>
      <c r="P354">
        <v>0</v>
      </c>
      <c r="Q354" s="4">
        <v>50</v>
      </c>
      <c r="R354" s="12">
        <f t="shared" si="5"/>
        <v>17000</v>
      </c>
      <c r="T354" t="s">
        <v>311</v>
      </c>
      <c r="U354" t="s">
        <v>312</v>
      </c>
      <c r="V354" s="4">
        <v>340</v>
      </c>
      <c r="W354">
        <v>0</v>
      </c>
    </row>
    <row r="355" spans="1:23" hidden="1" x14ac:dyDescent="0.25">
      <c r="A355" s="2">
        <v>45771.643229166664</v>
      </c>
      <c r="B355">
        <v>203</v>
      </c>
      <c r="C355" t="s">
        <v>309</v>
      </c>
      <c r="D355" s="3">
        <v>45771</v>
      </c>
      <c r="E355" s="3">
        <v>46142</v>
      </c>
      <c r="F355" t="s">
        <v>52</v>
      </c>
      <c r="G355" t="s">
        <v>1494</v>
      </c>
      <c r="H355" t="s">
        <v>22</v>
      </c>
      <c r="I355" t="s">
        <v>41</v>
      </c>
      <c r="J355" t="s">
        <v>1491</v>
      </c>
      <c r="K355" t="s">
        <v>24</v>
      </c>
      <c r="L355" s="4">
        <v>340</v>
      </c>
      <c r="M355" t="s">
        <v>310</v>
      </c>
      <c r="N355" t="s">
        <v>26</v>
      </c>
      <c r="O355" s="4">
        <v>50</v>
      </c>
      <c r="P355">
        <v>0</v>
      </c>
      <c r="Q355" s="4">
        <v>50</v>
      </c>
      <c r="R355" s="12">
        <f t="shared" si="5"/>
        <v>17000</v>
      </c>
      <c r="T355" t="s">
        <v>311</v>
      </c>
      <c r="U355" t="s">
        <v>312</v>
      </c>
      <c r="V355" s="4">
        <v>340</v>
      </c>
      <c r="W355">
        <v>0</v>
      </c>
    </row>
    <row r="356" spans="1:23" hidden="1" x14ac:dyDescent="0.25">
      <c r="A356" s="2">
        <v>45771.643229166664</v>
      </c>
      <c r="B356">
        <v>203</v>
      </c>
      <c r="C356" t="s">
        <v>309</v>
      </c>
      <c r="D356" s="3">
        <v>45771</v>
      </c>
      <c r="E356" s="3">
        <v>46142</v>
      </c>
      <c r="F356" t="s">
        <v>52</v>
      </c>
      <c r="G356" t="s">
        <v>1494</v>
      </c>
      <c r="H356" t="s">
        <v>22</v>
      </c>
      <c r="I356" t="s">
        <v>201</v>
      </c>
      <c r="J356" t="s">
        <v>1491</v>
      </c>
      <c r="K356" t="s">
        <v>24</v>
      </c>
      <c r="L356" s="4">
        <v>60</v>
      </c>
      <c r="M356" t="s">
        <v>310</v>
      </c>
      <c r="N356" t="s">
        <v>26</v>
      </c>
      <c r="O356" s="4">
        <v>480</v>
      </c>
      <c r="P356">
        <v>0</v>
      </c>
      <c r="Q356" s="4">
        <v>480</v>
      </c>
      <c r="R356" s="12">
        <f t="shared" si="5"/>
        <v>28800</v>
      </c>
      <c r="T356" t="s">
        <v>311</v>
      </c>
      <c r="U356" t="s">
        <v>312</v>
      </c>
      <c r="V356" s="4">
        <v>60</v>
      </c>
      <c r="W356">
        <v>0</v>
      </c>
    </row>
    <row r="357" spans="1:23" hidden="1" x14ac:dyDescent="0.25">
      <c r="A357" s="2">
        <v>45771.643229166664</v>
      </c>
      <c r="B357">
        <v>203</v>
      </c>
      <c r="C357" t="s">
        <v>309</v>
      </c>
      <c r="D357" s="3">
        <v>45771</v>
      </c>
      <c r="E357" s="3">
        <v>46142</v>
      </c>
      <c r="F357" t="s">
        <v>52</v>
      </c>
      <c r="G357" t="s">
        <v>1494</v>
      </c>
      <c r="H357" t="s">
        <v>22</v>
      </c>
      <c r="I357" t="s">
        <v>44</v>
      </c>
      <c r="J357" t="s">
        <v>1491</v>
      </c>
      <c r="K357" t="s">
        <v>31</v>
      </c>
      <c r="L357" s="4">
        <v>400</v>
      </c>
      <c r="M357" t="s">
        <v>310</v>
      </c>
      <c r="N357" t="s">
        <v>26</v>
      </c>
      <c r="O357" s="4">
        <v>50</v>
      </c>
      <c r="P357">
        <v>0</v>
      </c>
      <c r="Q357" s="4">
        <v>50</v>
      </c>
      <c r="R357" s="12">
        <f t="shared" si="5"/>
        <v>20000</v>
      </c>
      <c r="T357" t="s">
        <v>311</v>
      </c>
      <c r="U357" t="s">
        <v>312</v>
      </c>
      <c r="V357" s="4">
        <v>400</v>
      </c>
      <c r="W357">
        <v>0</v>
      </c>
    </row>
    <row r="358" spans="1:23" hidden="1" x14ac:dyDescent="0.25">
      <c r="A358" s="2">
        <v>45771.651296296295</v>
      </c>
      <c r="B358">
        <v>204</v>
      </c>
      <c r="C358" t="s">
        <v>309</v>
      </c>
      <c r="D358" s="3">
        <v>45771</v>
      </c>
      <c r="E358" s="3">
        <v>46142</v>
      </c>
      <c r="F358" t="s">
        <v>52</v>
      </c>
      <c r="H358" t="s">
        <v>22</v>
      </c>
      <c r="I358" t="s">
        <v>177</v>
      </c>
      <c r="J358" t="s">
        <v>1490</v>
      </c>
      <c r="K358" t="s">
        <v>24</v>
      </c>
      <c r="L358" s="4">
        <v>22</v>
      </c>
      <c r="M358" t="s">
        <v>313</v>
      </c>
      <c r="N358" t="s">
        <v>26</v>
      </c>
      <c r="O358" s="4">
        <v>500</v>
      </c>
      <c r="P358">
        <v>0</v>
      </c>
      <c r="Q358" s="4">
        <v>500</v>
      </c>
      <c r="R358" s="12">
        <f t="shared" si="5"/>
        <v>11000</v>
      </c>
      <c r="T358" t="s">
        <v>311</v>
      </c>
      <c r="U358" t="s">
        <v>312</v>
      </c>
      <c r="V358" s="4">
        <v>22</v>
      </c>
      <c r="W358">
        <v>0</v>
      </c>
    </row>
    <row r="359" spans="1:23" hidden="1" x14ac:dyDescent="0.25">
      <c r="A359" s="2">
        <v>45771.651296296295</v>
      </c>
      <c r="B359">
        <v>204</v>
      </c>
      <c r="C359" t="s">
        <v>309</v>
      </c>
      <c r="D359" s="3">
        <v>45771</v>
      </c>
      <c r="E359" s="3">
        <v>46142</v>
      </c>
      <c r="F359" t="s">
        <v>52</v>
      </c>
      <c r="H359" t="s">
        <v>22</v>
      </c>
      <c r="I359" t="s">
        <v>29</v>
      </c>
      <c r="J359" t="s">
        <v>1490</v>
      </c>
      <c r="K359" t="s">
        <v>24</v>
      </c>
      <c r="L359" s="4">
        <v>168</v>
      </c>
      <c r="M359" t="s">
        <v>313</v>
      </c>
      <c r="N359" t="s">
        <v>26</v>
      </c>
      <c r="O359" s="4">
        <v>190</v>
      </c>
      <c r="P359">
        <v>0</v>
      </c>
      <c r="Q359" s="4">
        <v>190</v>
      </c>
      <c r="R359" s="12">
        <f t="shared" si="5"/>
        <v>31920</v>
      </c>
      <c r="T359" t="s">
        <v>311</v>
      </c>
      <c r="U359" t="s">
        <v>312</v>
      </c>
      <c r="V359" s="4">
        <v>168</v>
      </c>
      <c r="W359">
        <v>0</v>
      </c>
    </row>
    <row r="360" spans="1:23" hidden="1" x14ac:dyDescent="0.25">
      <c r="A360" s="2">
        <v>45771.651296296295</v>
      </c>
      <c r="B360">
        <v>204</v>
      </c>
      <c r="C360" t="s">
        <v>309</v>
      </c>
      <c r="D360" s="3">
        <v>45771</v>
      </c>
      <c r="E360" s="3">
        <v>46142</v>
      </c>
      <c r="F360" t="s">
        <v>52</v>
      </c>
      <c r="H360" t="s">
        <v>22</v>
      </c>
      <c r="I360" t="s">
        <v>276</v>
      </c>
      <c r="K360" t="s">
        <v>31</v>
      </c>
      <c r="L360" s="4">
        <v>27</v>
      </c>
      <c r="M360" t="s">
        <v>313</v>
      </c>
      <c r="N360" t="s">
        <v>26</v>
      </c>
      <c r="O360" s="4">
        <v>1760</v>
      </c>
      <c r="P360">
        <v>0</v>
      </c>
      <c r="Q360" s="4">
        <v>1760</v>
      </c>
      <c r="R360" s="12">
        <f t="shared" si="5"/>
        <v>47520</v>
      </c>
      <c r="T360" t="s">
        <v>311</v>
      </c>
      <c r="U360" t="s">
        <v>312</v>
      </c>
      <c r="V360" s="4">
        <v>27</v>
      </c>
      <c r="W360">
        <v>0</v>
      </c>
    </row>
    <row r="361" spans="1:23" hidden="1" x14ac:dyDescent="0.25">
      <c r="A361" s="2">
        <v>45771.651296296295</v>
      </c>
      <c r="B361">
        <v>204</v>
      </c>
      <c r="C361" t="s">
        <v>309</v>
      </c>
      <c r="D361" s="3">
        <v>45771</v>
      </c>
      <c r="E361" s="3">
        <v>46142</v>
      </c>
      <c r="F361" t="s">
        <v>52</v>
      </c>
      <c r="H361" t="s">
        <v>22</v>
      </c>
      <c r="I361" t="s">
        <v>35</v>
      </c>
      <c r="J361" t="s">
        <v>1490</v>
      </c>
      <c r="K361" t="s">
        <v>24</v>
      </c>
      <c r="L361" s="4">
        <v>75</v>
      </c>
      <c r="M361" t="s">
        <v>313</v>
      </c>
      <c r="N361" t="s">
        <v>26</v>
      </c>
      <c r="O361" s="4">
        <v>200</v>
      </c>
      <c r="P361">
        <v>0</v>
      </c>
      <c r="Q361" s="4">
        <v>200</v>
      </c>
      <c r="R361" s="12">
        <f t="shared" si="5"/>
        <v>15000</v>
      </c>
      <c r="T361" t="s">
        <v>311</v>
      </c>
      <c r="U361" t="s">
        <v>312</v>
      </c>
      <c r="V361" s="4">
        <v>75</v>
      </c>
      <c r="W361">
        <v>0</v>
      </c>
    </row>
    <row r="362" spans="1:23" hidden="1" x14ac:dyDescent="0.25">
      <c r="A362" s="2">
        <v>45771.651296296295</v>
      </c>
      <c r="B362">
        <v>204</v>
      </c>
      <c r="C362" t="s">
        <v>309</v>
      </c>
      <c r="D362" s="3">
        <v>45771</v>
      </c>
      <c r="E362" s="3">
        <v>46142</v>
      </c>
      <c r="F362" t="s">
        <v>52</v>
      </c>
      <c r="H362" t="s">
        <v>22</v>
      </c>
      <c r="I362" t="s">
        <v>36</v>
      </c>
      <c r="J362" t="s">
        <v>1490</v>
      </c>
      <c r="K362" t="s">
        <v>24</v>
      </c>
      <c r="L362" s="4">
        <v>75</v>
      </c>
      <c r="M362" t="s">
        <v>313</v>
      </c>
      <c r="N362" t="s">
        <v>26</v>
      </c>
      <c r="O362" s="4">
        <v>150</v>
      </c>
      <c r="P362">
        <v>0</v>
      </c>
      <c r="Q362" s="4">
        <v>150</v>
      </c>
      <c r="R362" s="12">
        <f t="shared" si="5"/>
        <v>11250</v>
      </c>
      <c r="T362" t="s">
        <v>311</v>
      </c>
      <c r="U362" t="s">
        <v>312</v>
      </c>
      <c r="V362" s="4">
        <v>75</v>
      </c>
      <c r="W362">
        <v>0</v>
      </c>
    </row>
    <row r="363" spans="1:23" hidden="1" x14ac:dyDescent="0.25">
      <c r="A363" s="2">
        <v>45771.651296296295</v>
      </c>
      <c r="B363">
        <v>204</v>
      </c>
      <c r="C363" t="s">
        <v>309</v>
      </c>
      <c r="D363" s="3">
        <v>45771</v>
      </c>
      <c r="E363" s="3">
        <v>46142</v>
      </c>
      <c r="F363" t="s">
        <v>52</v>
      </c>
      <c r="H363" t="s">
        <v>22</v>
      </c>
      <c r="I363" t="s">
        <v>314</v>
      </c>
      <c r="K363" t="s">
        <v>31</v>
      </c>
      <c r="L363" s="4">
        <v>27</v>
      </c>
      <c r="M363" t="s">
        <v>313</v>
      </c>
      <c r="N363" t="s">
        <v>26</v>
      </c>
      <c r="O363" s="4">
        <v>480</v>
      </c>
      <c r="P363">
        <v>0</v>
      </c>
      <c r="Q363" s="4">
        <v>480</v>
      </c>
      <c r="R363" s="12">
        <f t="shared" si="5"/>
        <v>12960</v>
      </c>
      <c r="T363" t="s">
        <v>311</v>
      </c>
      <c r="U363" t="s">
        <v>312</v>
      </c>
      <c r="V363" s="4">
        <v>27</v>
      </c>
      <c r="W363">
        <v>0</v>
      </c>
    </row>
    <row r="364" spans="1:23" hidden="1" x14ac:dyDescent="0.25">
      <c r="A364" s="2">
        <v>45771.651296296295</v>
      </c>
      <c r="B364">
        <v>204</v>
      </c>
      <c r="C364" t="s">
        <v>309</v>
      </c>
      <c r="D364" s="3">
        <v>45771</v>
      </c>
      <c r="E364" s="3">
        <v>46142</v>
      </c>
      <c r="F364" t="s">
        <v>52</v>
      </c>
      <c r="H364" t="s">
        <v>22</v>
      </c>
      <c r="I364" t="s">
        <v>192</v>
      </c>
      <c r="J364" t="s">
        <v>1490</v>
      </c>
      <c r="K364" t="s">
        <v>24</v>
      </c>
      <c r="L364" s="4">
        <v>16</v>
      </c>
      <c r="M364" t="s">
        <v>313</v>
      </c>
      <c r="N364" t="s">
        <v>26</v>
      </c>
      <c r="O364" s="4">
        <v>1940</v>
      </c>
      <c r="P364">
        <v>0</v>
      </c>
      <c r="Q364" s="4">
        <v>1940</v>
      </c>
      <c r="R364" s="12">
        <f t="shared" si="5"/>
        <v>31040</v>
      </c>
      <c r="T364" t="s">
        <v>311</v>
      </c>
      <c r="U364" t="s">
        <v>312</v>
      </c>
      <c r="V364" s="4">
        <v>16</v>
      </c>
      <c r="W364">
        <v>0</v>
      </c>
    </row>
    <row r="365" spans="1:23" hidden="1" x14ac:dyDescent="0.25">
      <c r="A365" s="2">
        <v>45771.651296296295</v>
      </c>
      <c r="B365">
        <v>204</v>
      </c>
      <c r="C365" t="s">
        <v>309</v>
      </c>
      <c r="D365" s="3">
        <v>45771</v>
      </c>
      <c r="E365" s="3">
        <v>46142</v>
      </c>
      <c r="F365" t="s">
        <v>52</v>
      </c>
      <c r="H365" t="s">
        <v>22</v>
      </c>
      <c r="I365" t="s">
        <v>37</v>
      </c>
      <c r="J365" t="s">
        <v>1490</v>
      </c>
      <c r="K365" t="s">
        <v>31</v>
      </c>
      <c r="L365" s="4">
        <v>85</v>
      </c>
      <c r="M365" t="s">
        <v>313</v>
      </c>
      <c r="N365" t="s">
        <v>26</v>
      </c>
      <c r="O365" s="4">
        <v>150</v>
      </c>
      <c r="P365">
        <v>0</v>
      </c>
      <c r="Q365" s="4">
        <v>150</v>
      </c>
      <c r="R365" s="12">
        <f t="shared" si="5"/>
        <v>12750</v>
      </c>
      <c r="T365" t="s">
        <v>311</v>
      </c>
      <c r="U365" t="s">
        <v>312</v>
      </c>
      <c r="V365" s="4">
        <v>85</v>
      </c>
      <c r="W365">
        <v>0</v>
      </c>
    </row>
    <row r="366" spans="1:23" hidden="1" x14ac:dyDescent="0.25">
      <c r="A366" s="2">
        <v>45771.651296296295</v>
      </c>
      <c r="B366">
        <v>204</v>
      </c>
      <c r="C366" t="s">
        <v>309</v>
      </c>
      <c r="D366" s="3">
        <v>45771</v>
      </c>
      <c r="E366" s="3">
        <v>46142</v>
      </c>
      <c r="F366" t="s">
        <v>52</v>
      </c>
      <c r="H366" t="s">
        <v>22</v>
      </c>
      <c r="I366" t="s">
        <v>89</v>
      </c>
      <c r="K366" t="s">
        <v>31</v>
      </c>
      <c r="L366" s="4">
        <v>22</v>
      </c>
      <c r="M366" t="s">
        <v>313</v>
      </c>
      <c r="N366" t="s">
        <v>26</v>
      </c>
      <c r="O366" s="4">
        <v>1440</v>
      </c>
      <c r="P366">
        <v>0</v>
      </c>
      <c r="Q366" s="4">
        <v>1440</v>
      </c>
      <c r="R366" s="12">
        <f t="shared" si="5"/>
        <v>31680</v>
      </c>
      <c r="T366" t="s">
        <v>311</v>
      </c>
      <c r="U366" t="s">
        <v>312</v>
      </c>
      <c r="V366" s="4">
        <v>22</v>
      </c>
      <c r="W366">
        <v>0</v>
      </c>
    </row>
    <row r="367" spans="1:23" hidden="1" x14ac:dyDescent="0.25">
      <c r="A367" s="2">
        <v>45771.651296296295</v>
      </c>
      <c r="B367">
        <v>204</v>
      </c>
      <c r="C367" t="s">
        <v>309</v>
      </c>
      <c r="D367" s="3">
        <v>45771</v>
      </c>
      <c r="E367" s="3">
        <v>46142</v>
      </c>
      <c r="F367" t="s">
        <v>52</v>
      </c>
      <c r="H367" t="s">
        <v>22</v>
      </c>
      <c r="I367" t="s">
        <v>281</v>
      </c>
      <c r="K367" t="s">
        <v>31</v>
      </c>
      <c r="L367" s="4">
        <v>32</v>
      </c>
      <c r="M367" t="s">
        <v>313</v>
      </c>
      <c r="N367" t="s">
        <v>26</v>
      </c>
      <c r="O367" s="4">
        <v>770</v>
      </c>
      <c r="P367">
        <v>0</v>
      </c>
      <c r="Q367" s="4">
        <v>770</v>
      </c>
      <c r="R367" s="12">
        <f t="shared" si="5"/>
        <v>24640</v>
      </c>
      <c r="T367" t="s">
        <v>311</v>
      </c>
      <c r="U367" t="s">
        <v>312</v>
      </c>
      <c r="V367" s="4">
        <v>32</v>
      </c>
      <c r="W367">
        <v>0</v>
      </c>
    </row>
    <row r="368" spans="1:23" hidden="1" x14ac:dyDescent="0.25">
      <c r="A368" s="2">
        <v>45771.651296296295</v>
      </c>
      <c r="B368">
        <v>204</v>
      </c>
      <c r="C368" t="s">
        <v>309</v>
      </c>
      <c r="D368" s="3">
        <v>45771</v>
      </c>
      <c r="E368" s="3">
        <v>46142</v>
      </c>
      <c r="F368" t="s">
        <v>52</v>
      </c>
      <c r="H368" t="s">
        <v>22</v>
      </c>
      <c r="I368" t="s">
        <v>42</v>
      </c>
      <c r="J368" t="s">
        <v>1490</v>
      </c>
      <c r="K368" t="s">
        <v>24</v>
      </c>
      <c r="L368" s="4">
        <v>215</v>
      </c>
      <c r="M368" t="s">
        <v>313</v>
      </c>
      <c r="N368" t="s">
        <v>26</v>
      </c>
      <c r="O368" s="4">
        <v>100</v>
      </c>
      <c r="P368">
        <v>0</v>
      </c>
      <c r="Q368" s="4">
        <v>100</v>
      </c>
      <c r="R368" s="12">
        <f t="shared" si="5"/>
        <v>21500</v>
      </c>
      <c r="T368" t="s">
        <v>311</v>
      </c>
      <c r="U368" t="s">
        <v>312</v>
      </c>
      <c r="V368" s="4">
        <v>215</v>
      </c>
      <c r="W368">
        <v>0</v>
      </c>
    </row>
    <row r="369" spans="1:23" hidden="1" x14ac:dyDescent="0.25">
      <c r="A369" s="2">
        <v>45771.651296296295</v>
      </c>
      <c r="B369">
        <v>204</v>
      </c>
      <c r="C369" t="s">
        <v>309</v>
      </c>
      <c r="D369" s="3">
        <v>45771</v>
      </c>
      <c r="E369" s="3">
        <v>46142</v>
      </c>
      <c r="F369" t="s">
        <v>52</v>
      </c>
      <c r="H369" t="s">
        <v>22</v>
      </c>
      <c r="I369" t="s">
        <v>272</v>
      </c>
      <c r="K369" t="s">
        <v>31</v>
      </c>
      <c r="L369" s="4">
        <v>27</v>
      </c>
      <c r="M369" t="s">
        <v>313</v>
      </c>
      <c r="N369" t="s">
        <v>26</v>
      </c>
      <c r="O369" s="4">
        <v>160</v>
      </c>
      <c r="P369">
        <v>0</v>
      </c>
      <c r="Q369" s="4">
        <v>160</v>
      </c>
      <c r="R369" s="12">
        <f t="shared" si="5"/>
        <v>4320</v>
      </c>
      <c r="T369" t="s">
        <v>311</v>
      </c>
      <c r="U369" t="s">
        <v>312</v>
      </c>
      <c r="V369" s="4">
        <v>27</v>
      </c>
      <c r="W369">
        <v>0</v>
      </c>
    </row>
    <row r="370" spans="1:23" hidden="1" x14ac:dyDescent="0.25">
      <c r="A370" s="2">
        <v>45954.726979166669</v>
      </c>
      <c r="B370">
        <v>383</v>
      </c>
      <c r="C370" t="s">
        <v>309</v>
      </c>
      <c r="D370" s="3">
        <v>45954</v>
      </c>
      <c r="E370" s="3">
        <v>46142</v>
      </c>
      <c r="F370" t="s">
        <v>52</v>
      </c>
      <c r="H370" t="s">
        <v>22</v>
      </c>
      <c r="I370" t="s">
        <v>30</v>
      </c>
      <c r="J370" t="s">
        <v>1490</v>
      </c>
      <c r="K370" t="s">
        <v>31</v>
      </c>
      <c r="L370" s="4">
        <v>25.33</v>
      </c>
      <c r="M370" t="s">
        <v>315</v>
      </c>
      <c r="N370" t="s">
        <v>26</v>
      </c>
      <c r="O370" s="4">
        <v>480</v>
      </c>
      <c r="P370">
        <v>0</v>
      </c>
      <c r="Q370" s="4">
        <v>480</v>
      </c>
      <c r="R370" s="12">
        <f t="shared" si="5"/>
        <v>12158.4</v>
      </c>
      <c r="T370" t="s">
        <v>311</v>
      </c>
      <c r="U370" t="s">
        <v>312</v>
      </c>
      <c r="V370" s="4">
        <v>25.33</v>
      </c>
      <c r="W370">
        <v>0</v>
      </c>
    </row>
    <row r="371" spans="1:23" hidden="1" x14ac:dyDescent="0.25">
      <c r="A371" s="2">
        <v>46000.323634259257</v>
      </c>
      <c r="B371">
        <v>449</v>
      </c>
      <c r="C371" t="s">
        <v>309</v>
      </c>
      <c r="D371" s="3">
        <v>46000</v>
      </c>
      <c r="E371" s="3">
        <v>46142</v>
      </c>
      <c r="F371" t="s">
        <v>52</v>
      </c>
      <c r="H371" t="s">
        <v>22</v>
      </c>
      <c r="I371" t="s">
        <v>29</v>
      </c>
      <c r="J371" t="s">
        <v>1490</v>
      </c>
      <c r="K371" t="s">
        <v>24</v>
      </c>
      <c r="L371" s="4">
        <v>168</v>
      </c>
      <c r="M371" t="s">
        <v>316</v>
      </c>
      <c r="N371" t="s">
        <v>26</v>
      </c>
      <c r="O371" s="4">
        <v>20</v>
      </c>
      <c r="P371">
        <v>0</v>
      </c>
      <c r="Q371" s="4">
        <v>20</v>
      </c>
      <c r="R371" s="12">
        <f t="shared" si="5"/>
        <v>3360</v>
      </c>
      <c r="T371" t="s">
        <v>311</v>
      </c>
      <c r="U371" t="s">
        <v>312</v>
      </c>
      <c r="V371" s="4">
        <v>168</v>
      </c>
      <c r="W371">
        <v>0</v>
      </c>
    </row>
    <row r="372" spans="1:23" hidden="1" x14ac:dyDescent="0.25">
      <c r="A372" s="2">
        <v>46000.323634259257</v>
      </c>
      <c r="B372">
        <v>449</v>
      </c>
      <c r="C372" t="s">
        <v>309</v>
      </c>
      <c r="D372" s="3">
        <v>46000</v>
      </c>
      <c r="E372" s="3">
        <v>46142</v>
      </c>
      <c r="F372" t="s">
        <v>52</v>
      </c>
      <c r="H372" t="s">
        <v>22</v>
      </c>
      <c r="I372" t="s">
        <v>177</v>
      </c>
      <c r="J372" t="s">
        <v>1490</v>
      </c>
      <c r="K372" t="s">
        <v>24</v>
      </c>
      <c r="L372" s="4">
        <v>22</v>
      </c>
      <c r="M372" t="s">
        <v>316</v>
      </c>
      <c r="N372" t="s">
        <v>26</v>
      </c>
      <c r="O372" s="4">
        <v>80</v>
      </c>
      <c r="P372">
        <v>0</v>
      </c>
      <c r="Q372" s="4">
        <v>80</v>
      </c>
      <c r="R372" s="12">
        <f t="shared" si="5"/>
        <v>1760</v>
      </c>
      <c r="T372" t="s">
        <v>311</v>
      </c>
      <c r="U372" t="s">
        <v>312</v>
      </c>
      <c r="V372" s="4">
        <v>22</v>
      </c>
      <c r="W372">
        <v>0</v>
      </c>
    </row>
    <row r="373" spans="1:23" hidden="1" x14ac:dyDescent="0.25">
      <c r="A373" s="2">
        <v>46020.387569444443</v>
      </c>
      <c r="B373">
        <v>469</v>
      </c>
      <c r="C373" t="s">
        <v>309</v>
      </c>
      <c r="D373" s="3">
        <v>46020</v>
      </c>
      <c r="E373" s="3">
        <v>46142</v>
      </c>
      <c r="F373" t="s">
        <v>52</v>
      </c>
      <c r="H373" t="s">
        <v>22</v>
      </c>
      <c r="I373" t="s">
        <v>177</v>
      </c>
      <c r="J373" t="s">
        <v>1490</v>
      </c>
      <c r="K373" t="s">
        <v>24</v>
      </c>
      <c r="L373" s="4">
        <v>22</v>
      </c>
      <c r="M373" t="s">
        <v>317</v>
      </c>
      <c r="N373" t="s">
        <v>26</v>
      </c>
      <c r="O373" s="4">
        <v>60</v>
      </c>
      <c r="P373">
        <v>0</v>
      </c>
      <c r="Q373" s="4">
        <v>60</v>
      </c>
      <c r="R373" s="12">
        <f t="shared" si="5"/>
        <v>1320</v>
      </c>
      <c r="T373" t="s">
        <v>311</v>
      </c>
      <c r="U373" t="s">
        <v>312</v>
      </c>
      <c r="V373" s="4">
        <v>22</v>
      </c>
      <c r="W373">
        <v>0</v>
      </c>
    </row>
    <row r="374" spans="1:23" hidden="1" x14ac:dyDescent="0.25">
      <c r="A374" s="2">
        <v>46035.671597222223</v>
      </c>
      <c r="B374">
        <v>496</v>
      </c>
      <c r="C374" t="s">
        <v>309</v>
      </c>
      <c r="D374" s="3">
        <v>46035</v>
      </c>
      <c r="E374" s="3">
        <v>46264</v>
      </c>
      <c r="F374" t="s">
        <v>52</v>
      </c>
      <c r="G374" t="s">
        <v>1494</v>
      </c>
      <c r="H374" t="s">
        <v>22</v>
      </c>
      <c r="I374" t="s">
        <v>38</v>
      </c>
      <c r="J374" t="s">
        <v>1491</v>
      </c>
      <c r="K374" t="s">
        <v>24</v>
      </c>
      <c r="L374" s="4">
        <v>45</v>
      </c>
      <c r="M374" t="s">
        <v>318</v>
      </c>
      <c r="N374" t="s">
        <v>46</v>
      </c>
      <c r="O374" s="4">
        <v>192</v>
      </c>
      <c r="P374">
        <v>0</v>
      </c>
      <c r="Q374" s="4">
        <v>192</v>
      </c>
      <c r="R374" s="12">
        <f t="shared" si="5"/>
        <v>8640</v>
      </c>
      <c r="T374" t="s">
        <v>311</v>
      </c>
      <c r="U374" t="s">
        <v>312</v>
      </c>
      <c r="V374" s="4">
        <v>45</v>
      </c>
      <c r="W374">
        <v>0</v>
      </c>
    </row>
    <row r="375" spans="1:23" hidden="1" x14ac:dyDescent="0.25">
      <c r="A375" s="2">
        <v>45908.353379629632</v>
      </c>
      <c r="B375">
        <v>4019</v>
      </c>
      <c r="C375" t="s">
        <v>319</v>
      </c>
      <c r="D375" s="3">
        <v>45908</v>
      </c>
      <c r="E375" s="3">
        <v>46111</v>
      </c>
      <c r="F375" t="s">
        <v>79</v>
      </c>
      <c r="H375" t="s">
        <v>22</v>
      </c>
      <c r="I375" t="s">
        <v>36</v>
      </c>
      <c r="J375" t="s">
        <v>1490</v>
      </c>
      <c r="K375" t="s">
        <v>24</v>
      </c>
      <c r="L375" s="4">
        <v>60</v>
      </c>
      <c r="M375" t="s">
        <v>320</v>
      </c>
      <c r="N375" t="s">
        <v>26</v>
      </c>
      <c r="O375" s="4">
        <v>40</v>
      </c>
      <c r="P375">
        <v>0</v>
      </c>
      <c r="Q375" s="4">
        <v>40</v>
      </c>
      <c r="R375" s="12">
        <f t="shared" si="5"/>
        <v>2400</v>
      </c>
      <c r="T375" t="s">
        <v>125</v>
      </c>
      <c r="U375" t="s">
        <v>321</v>
      </c>
      <c r="V375" s="4">
        <v>60</v>
      </c>
      <c r="W375">
        <v>0</v>
      </c>
    </row>
    <row r="376" spans="1:23" hidden="1" x14ac:dyDescent="0.25">
      <c r="A376" s="2">
        <v>46007.638414351852</v>
      </c>
      <c r="B376">
        <v>4362</v>
      </c>
      <c r="C376" t="s">
        <v>319</v>
      </c>
      <c r="D376" s="3">
        <v>46007</v>
      </c>
      <c r="E376" s="3">
        <v>46142</v>
      </c>
      <c r="F376" t="s">
        <v>79</v>
      </c>
      <c r="G376" t="s">
        <v>1493</v>
      </c>
      <c r="H376" t="s">
        <v>22</v>
      </c>
      <c r="I376" t="s">
        <v>92</v>
      </c>
      <c r="J376" t="s">
        <v>1491</v>
      </c>
      <c r="K376" t="s">
        <v>31</v>
      </c>
      <c r="L376" s="4">
        <v>153.75</v>
      </c>
      <c r="M376" t="s">
        <v>322</v>
      </c>
      <c r="N376" t="s">
        <v>26</v>
      </c>
      <c r="O376" s="4">
        <v>96</v>
      </c>
      <c r="P376">
        <v>0</v>
      </c>
      <c r="Q376" s="4">
        <v>96</v>
      </c>
      <c r="R376" s="12">
        <f t="shared" si="5"/>
        <v>14760</v>
      </c>
      <c r="T376" t="s">
        <v>125</v>
      </c>
      <c r="U376" t="s">
        <v>321</v>
      </c>
      <c r="V376" s="4">
        <v>153.75</v>
      </c>
      <c r="W376">
        <v>0</v>
      </c>
    </row>
    <row r="377" spans="1:23" hidden="1" x14ac:dyDescent="0.25">
      <c r="A377" s="2">
        <v>46007.643564814818</v>
      </c>
      <c r="B377">
        <v>4363</v>
      </c>
      <c r="C377" t="s">
        <v>319</v>
      </c>
      <c r="D377" s="3">
        <v>46007</v>
      </c>
      <c r="E377" s="3">
        <v>46142</v>
      </c>
      <c r="F377" t="s">
        <v>79</v>
      </c>
      <c r="H377" t="s">
        <v>22</v>
      </c>
      <c r="I377" t="s">
        <v>107</v>
      </c>
      <c r="K377" t="s">
        <v>31</v>
      </c>
      <c r="L377" s="4">
        <v>100</v>
      </c>
      <c r="M377" t="s">
        <v>323</v>
      </c>
      <c r="N377" t="s">
        <v>26</v>
      </c>
      <c r="O377" s="4">
        <v>200</v>
      </c>
      <c r="P377">
        <v>0</v>
      </c>
      <c r="Q377" s="4">
        <v>200</v>
      </c>
      <c r="R377" s="12">
        <f t="shared" si="5"/>
        <v>20000</v>
      </c>
      <c r="T377" t="s">
        <v>55</v>
      </c>
      <c r="U377" t="s">
        <v>321</v>
      </c>
      <c r="V377" s="4">
        <v>100</v>
      </c>
      <c r="W377">
        <v>0</v>
      </c>
    </row>
    <row r="378" spans="1:23" hidden="1" x14ac:dyDescent="0.25">
      <c r="A378" s="2">
        <v>45898.336747685185</v>
      </c>
      <c r="B378">
        <v>276</v>
      </c>
      <c r="C378" t="s">
        <v>319</v>
      </c>
      <c r="D378" s="3">
        <v>45898</v>
      </c>
      <c r="E378" s="3">
        <v>46111</v>
      </c>
      <c r="F378" t="s">
        <v>324</v>
      </c>
      <c r="H378" t="s">
        <v>22</v>
      </c>
      <c r="I378" t="s">
        <v>36</v>
      </c>
      <c r="J378" t="s">
        <v>1490</v>
      </c>
      <c r="K378" t="s">
        <v>24</v>
      </c>
      <c r="L378" s="4">
        <v>60</v>
      </c>
      <c r="M378" t="s">
        <v>325</v>
      </c>
      <c r="N378" t="s">
        <v>26</v>
      </c>
      <c r="O378" s="4">
        <v>60</v>
      </c>
      <c r="P378">
        <v>0</v>
      </c>
      <c r="Q378" s="4">
        <v>60</v>
      </c>
      <c r="R378" s="12">
        <f t="shared" si="5"/>
        <v>3600</v>
      </c>
      <c r="T378" t="s">
        <v>125</v>
      </c>
      <c r="U378" t="s">
        <v>321</v>
      </c>
      <c r="V378" s="4">
        <v>60</v>
      </c>
      <c r="W378">
        <v>0</v>
      </c>
    </row>
    <row r="379" spans="1:23" hidden="1" x14ac:dyDescent="0.25">
      <c r="A379" s="2">
        <v>45990.428969907407</v>
      </c>
      <c r="B379">
        <v>437</v>
      </c>
      <c r="C379" t="s">
        <v>319</v>
      </c>
      <c r="D379" s="3">
        <v>45990</v>
      </c>
      <c r="E379" s="3">
        <v>46142</v>
      </c>
      <c r="F379" t="s">
        <v>52</v>
      </c>
      <c r="G379" t="s">
        <v>1494</v>
      </c>
      <c r="H379" t="s">
        <v>22</v>
      </c>
      <c r="I379" t="s">
        <v>40</v>
      </c>
      <c r="J379" t="s">
        <v>1491</v>
      </c>
      <c r="K379" t="s">
        <v>24</v>
      </c>
      <c r="L379" s="4">
        <v>320</v>
      </c>
      <c r="M379" t="s">
        <v>326</v>
      </c>
      <c r="N379" t="s">
        <v>26</v>
      </c>
      <c r="O379" s="4">
        <v>30</v>
      </c>
      <c r="P379">
        <v>0</v>
      </c>
      <c r="Q379" s="4">
        <v>30</v>
      </c>
      <c r="R379" s="12">
        <f t="shared" si="5"/>
        <v>9600</v>
      </c>
      <c r="T379" t="s">
        <v>125</v>
      </c>
      <c r="U379" t="s">
        <v>321</v>
      </c>
      <c r="V379" s="4">
        <v>320</v>
      </c>
      <c r="W379">
        <v>0</v>
      </c>
    </row>
    <row r="380" spans="1:23" hidden="1" x14ac:dyDescent="0.25">
      <c r="A380" s="2">
        <v>45990.428969907407</v>
      </c>
      <c r="B380">
        <v>437</v>
      </c>
      <c r="C380" t="s">
        <v>319</v>
      </c>
      <c r="D380" s="3">
        <v>45990</v>
      </c>
      <c r="E380" s="3">
        <v>46142</v>
      </c>
      <c r="F380" t="s">
        <v>52</v>
      </c>
      <c r="G380" t="s">
        <v>1494</v>
      </c>
      <c r="H380" t="s">
        <v>22</v>
      </c>
      <c r="I380" t="s">
        <v>38</v>
      </c>
      <c r="J380" t="s">
        <v>1491</v>
      </c>
      <c r="K380" t="s">
        <v>24</v>
      </c>
      <c r="L380" s="4">
        <v>49</v>
      </c>
      <c r="M380" t="s">
        <v>326</v>
      </c>
      <c r="N380" t="s">
        <v>26</v>
      </c>
      <c r="O380" s="4">
        <v>36</v>
      </c>
      <c r="P380">
        <v>0</v>
      </c>
      <c r="Q380" s="4">
        <v>36</v>
      </c>
      <c r="R380" s="12">
        <f t="shared" si="5"/>
        <v>1764</v>
      </c>
      <c r="T380" t="s">
        <v>125</v>
      </c>
      <c r="U380" t="s">
        <v>321</v>
      </c>
      <c r="V380" s="4">
        <v>49</v>
      </c>
      <c r="W380">
        <v>0</v>
      </c>
    </row>
    <row r="381" spans="1:23" hidden="1" x14ac:dyDescent="0.25">
      <c r="A381" s="2">
        <v>45990.428969907407</v>
      </c>
      <c r="B381">
        <v>437</v>
      </c>
      <c r="C381" t="s">
        <v>319</v>
      </c>
      <c r="D381" s="3">
        <v>45990</v>
      </c>
      <c r="E381" s="3">
        <v>46142</v>
      </c>
      <c r="F381" t="s">
        <v>52</v>
      </c>
      <c r="G381" t="s">
        <v>1494</v>
      </c>
      <c r="H381" t="s">
        <v>22</v>
      </c>
      <c r="I381" t="s">
        <v>44</v>
      </c>
      <c r="J381" t="s">
        <v>1491</v>
      </c>
      <c r="K381" t="s">
        <v>31</v>
      </c>
      <c r="L381" s="4">
        <v>380</v>
      </c>
      <c r="M381" t="s">
        <v>326</v>
      </c>
      <c r="N381" t="s">
        <v>26</v>
      </c>
      <c r="O381" s="4">
        <v>15</v>
      </c>
      <c r="P381">
        <v>0</v>
      </c>
      <c r="Q381" s="4">
        <v>15</v>
      </c>
      <c r="R381" s="12">
        <f t="shared" si="5"/>
        <v>5700</v>
      </c>
      <c r="T381" t="s">
        <v>125</v>
      </c>
      <c r="U381" t="s">
        <v>321</v>
      </c>
      <c r="V381" s="4">
        <v>380</v>
      </c>
      <c r="W381">
        <v>0</v>
      </c>
    </row>
    <row r="382" spans="1:23" hidden="1" x14ac:dyDescent="0.25">
      <c r="A382" s="2">
        <v>45994.349189814813</v>
      </c>
      <c r="B382">
        <v>440</v>
      </c>
      <c r="C382" t="s">
        <v>319</v>
      </c>
      <c r="D382" s="3">
        <v>45994</v>
      </c>
      <c r="E382" s="3">
        <v>46142</v>
      </c>
      <c r="F382" t="s">
        <v>52</v>
      </c>
      <c r="G382" t="s">
        <v>1494</v>
      </c>
      <c r="H382" t="s">
        <v>22</v>
      </c>
      <c r="I382" t="s">
        <v>41</v>
      </c>
      <c r="J382" t="s">
        <v>1491</v>
      </c>
      <c r="K382" t="s">
        <v>24</v>
      </c>
      <c r="L382" s="4">
        <v>340</v>
      </c>
      <c r="M382" t="s">
        <v>327</v>
      </c>
      <c r="N382" t="s">
        <v>26</v>
      </c>
      <c r="O382" s="4">
        <v>30</v>
      </c>
      <c r="P382">
        <v>0</v>
      </c>
      <c r="Q382" s="4">
        <v>30</v>
      </c>
      <c r="R382" s="12">
        <f t="shared" si="5"/>
        <v>10200</v>
      </c>
      <c r="T382" t="s">
        <v>125</v>
      </c>
      <c r="U382" t="s">
        <v>321</v>
      </c>
      <c r="V382" s="4">
        <v>340</v>
      </c>
      <c r="W382">
        <v>0</v>
      </c>
    </row>
    <row r="383" spans="1:23" hidden="1" x14ac:dyDescent="0.25">
      <c r="A383" s="2">
        <v>46000.823240740741</v>
      </c>
      <c r="B383">
        <v>452</v>
      </c>
      <c r="C383" t="s">
        <v>319</v>
      </c>
      <c r="D383" s="3">
        <v>46000</v>
      </c>
      <c r="E383" s="3">
        <v>46142</v>
      </c>
      <c r="F383" t="s">
        <v>324</v>
      </c>
      <c r="H383" t="s">
        <v>22</v>
      </c>
      <c r="I383" t="s">
        <v>328</v>
      </c>
      <c r="K383" t="s">
        <v>24</v>
      </c>
      <c r="L383" s="4">
        <v>65</v>
      </c>
      <c r="M383" t="s">
        <v>329</v>
      </c>
      <c r="N383" t="s">
        <v>26</v>
      </c>
      <c r="O383" s="4">
        <v>115</v>
      </c>
      <c r="P383">
        <v>0</v>
      </c>
      <c r="Q383" s="4">
        <v>115</v>
      </c>
      <c r="R383" s="12">
        <f t="shared" si="5"/>
        <v>7475</v>
      </c>
      <c r="T383" t="s">
        <v>125</v>
      </c>
      <c r="U383" t="s">
        <v>321</v>
      </c>
      <c r="V383" s="4">
        <v>65</v>
      </c>
      <c r="W383">
        <v>0</v>
      </c>
    </row>
    <row r="384" spans="1:23" hidden="1" x14ac:dyDescent="0.25">
      <c r="A384" s="2">
        <v>46000.823240740741</v>
      </c>
      <c r="B384">
        <v>452</v>
      </c>
      <c r="C384" t="s">
        <v>319</v>
      </c>
      <c r="D384" s="3">
        <v>46000</v>
      </c>
      <c r="E384" s="3">
        <v>46142</v>
      </c>
      <c r="F384" t="s">
        <v>324</v>
      </c>
      <c r="H384" t="s">
        <v>22</v>
      </c>
      <c r="I384" t="s">
        <v>35</v>
      </c>
      <c r="J384" t="s">
        <v>1490</v>
      </c>
      <c r="K384" t="s">
        <v>24</v>
      </c>
      <c r="L384" s="4">
        <v>65</v>
      </c>
      <c r="M384" t="s">
        <v>329</v>
      </c>
      <c r="N384" t="s">
        <v>26</v>
      </c>
      <c r="O384" s="4">
        <v>20</v>
      </c>
      <c r="P384">
        <v>0</v>
      </c>
      <c r="Q384" s="4">
        <v>20</v>
      </c>
      <c r="R384" s="12">
        <f t="shared" si="5"/>
        <v>1300</v>
      </c>
      <c r="T384" t="s">
        <v>125</v>
      </c>
      <c r="U384" t="s">
        <v>321</v>
      </c>
      <c r="V384" s="4">
        <v>65</v>
      </c>
      <c r="W384">
        <v>0</v>
      </c>
    </row>
    <row r="385" spans="1:23" hidden="1" x14ac:dyDescent="0.25">
      <c r="A385" s="2">
        <v>46004.586354166669</v>
      </c>
      <c r="B385">
        <v>456</v>
      </c>
      <c r="C385" t="s">
        <v>319</v>
      </c>
      <c r="D385" s="3">
        <v>46004</v>
      </c>
      <c r="E385" s="3">
        <v>46142</v>
      </c>
      <c r="F385" t="s">
        <v>324</v>
      </c>
      <c r="G385" t="s">
        <v>1494</v>
      </c>
      <c r="H385" t="s">
        <v>22</v>
      </c>
      <c r="I385" t="s">
        <v>38</v>
      </c>
      <c r="J385" t="s">
        <v>1491</v>
      </c>
      <c r="K385" t="s">
        <v>24</v>
      </c>
      <c r="L385" s="4">
        <v>49</v>
      </c>
      <c r="M385" t="s">
        <v>330</v>
      </c>
      <c r="N385" t="s">
        <v>26</v>
      </c>
      <c r="O385" s="4">
        <v>24</v>
      </c>
      <c r="P385">
        <v>0</v>
      </c>
      <c r="Q385" s="4">
        <v>24</v>
      </c>
      <c r="R385" s="12">
        <f t="shared" si="5"/>
        <v>1176</v>
      </c>
      <c r="T385" t="s">
        <v>55</v>
      </c>
      <c r="U385" t="s">
        <v>321</v>
      </c>
      <c r="V385" s="4">
        <v>49</v>
      </c>
      <c r="W385">
        <v>0</v>
      </c>
    </row>
    <row r="386" spans="1:23" hidden="1" x14ac:dyDescent="0.25">
      <c r="A386" s="2">
        <v>46004.586354166669</v>
      </c>
      <c r="B386">
        <v>456</v>
      </c>
      <c r="C386" t="s">
        <v>319</v>
      </c>
      <c r="D386" s="3">
        <v>46004</v>
      </c>
      <c r="E386" s="3">
        <v>46142</v>
      </c>
      <c r="F386" t="s">
        <v>324</v>
      </c>
      <c r="G386" t="s">
        <v>1494</v>
      </c>
      <c r="H386" t="s">
        <v>22</v>
      </c>
      <c r="I386" t="s">
        <v>44</v>
      </c>
      <c r="J386" t="s">
        <v>1491</v>
      </c>
      <c r="K386" t="s">
        <v>31</v>
      </c>
      <c r="L386" s="4">
        <v>380</v>
      </c>
      <c r="M386" t="s">
        <v>330</v>
      </c>
      <c r="N386" t="s">
        <v>26</v>
      </c>
      <c r="O386" s="4">
        <v>8</v>
      </c>
      <c r="P386">
        <v>0</v>
      </c>
      <c r="Q386" s="4">
        <v>8</v>
      </c>
      <c r="R386" s="12">
        <f t="shared" si="5"/>
        <v>3040</v>
      </c>
      <c r="T386" t="s">
        <v>55</v>
      </c>
      <c r="U386" t="s">
        <v>321</v>
      </c>
      <c r="V386" s="4">
        <v>380</v>
      </c>
      <c r="W386">
        <v>0</v>
      </c>
    </row>
    <row r="387" spans="1:23" hidden="1" x14ac:dyDescent="0.25">
      <c r="A387" s="2">
        <v>46006.600868055553</v>
      </c>
      <c r="B387">
        <v>457</v>
      </c>
      <c r="C387" t="s">
        <v>319</v>
      </c>
      <c r="D387" s="3">
        <v>46006</v>
      </c>
      <c r="E387" s="3">
        <v>46142</v>
      </c>
      <c r="F387" t="s">
        <v>324</v>
      </c>
      <c r="H387" t="s">
        <v>22</v>
      </c>
      <c r="I387" t="s">
        <v>328</v>
      </c>
      <c r="K387" t="s">
        <v>24</v>
      </c>
      <c r="L387" s="4">
        <v>62</v>
      </c>
      <c r="M387" t="s">
        <v>331</v>
      </c>
      <c r="N387" t="s">
        <v>26</v>
      </c>
      <c r="O387" s="4">
        <v>300</v>
      </c>
      <c r="P387">
        <v>0</v>
      </c>
      <c r="Q387" s="4">
        <v>300</v>
      </c>
      <c r="R387" s="12">
        <f t="shared" ref="R387:R450" si="6">Q387*L387</f>
        <v>18600</v>
      </c>
      <c r="T387" t="s">
        <v>125</v>
      </c>
      <c r="U387" t="s">
        <v>321</v>
      </c>
      <c r="V387" s="4">
        <v>62</v>
      </c>
      <c r="W387">
        <v>0</v>
      </c>
    </row>
    <row r="388" spans="1:23" hidden="1" x14ac:dyDescent="0.25">
      <c r="A388" s="2">
        <v>46064.629166666666</v>
      </c>
      <c r="B388">
        <v>544</v>
      </c>
      <c r="C388" t="s">
        <v>319</v>
      </c>
      <c r="D388" s="3">
        <v>46064</v>
      </c>
      <c r="E388" s="3">
        <v>46264</v>
      </c>
      <c r="F388" t="s">
        <v>332</v>
      </c>
      <c r="H388" t="s">
        <v>22</v>
      </c>
      <c r="I388" t="s">
        <v>80</v>
      </c>
      <c r="K388" t="s">
        <v>31</v>
      </c>
      <c r="L388" s="4">
        <v>38.5</v>
      </c>
      <c r="M388" t="s">
        <v>333</v>
      </c>
      <c r="N388" t="s">
        <v>46</v>
      </c>
      <c r="O388" s="4">
        <v>195</v>
      </c>
      <c r="P388">
        <v>0</v>
      </c>
      <c r="Q388" s="4">
        <v>195</v>
      </c>
      <c r="R388" s="12">
        <f t="shared" si="6"/>
        <v>7507.5</v>
      </c>
      <c r="T388" t="s">
        <v>125</v>
      </c>
      <c r="U388" t="s">
        <v>321</v>
      </c>
      <c r="V388" s="4">
        <v>38.5</v>
      </c>
      <c r="W388">
        <v>0</v>
      </c>
    </row>
    <row r="389" spans="1:23" hidden="1" x14ac:dyDescent="0.25">
      <c r="A389" s="2">
        <v>45957.636793981481</v>
      </c>
      <c r="B389">
        <v>389</v>
      </c>
      <c r="C389" t="s">
        <v>334</v>
      </c>
      <c r="D389" s="3">
        <v>45957</v>
      </c>
      <c r="E389" s="3">
        <v>45958</v>
      </c>
      <c r="F389" t="s">
        <v>66</v>
      </c>
      <c r="H389" t="s">
        <v>22</v>
      </c>
      <c r="I389" t="s">
        <v>335</v>
      </c>
      <c r="K389" t="s">
        <v>24</v>
      </c>
      <c r="L389" s="4">
        <v>12</v>
      </c>
      <c r="M389" t="s">
        <v>336</v>
      </c>
      <c r="N389" t="s">
        <v>26</v>
      </c>
      <c r="O389" s="4">
        <v>900</v>
      </c>
      <c r="P389">
        <v>0</v>
      </c>
      <c r="Q389" s="4">
        <v>900</v>
      </c>
      <c r="R389" s="12">
        <f t="shared" si="6"/>
        <v>10800</v>
      </c>
      <c r="T389" t="s">
        <v>337</v>
      </c>
      <c r="U389" t="s">
        <v>338</v>
      </c>
      <c r="V389" s="4">
        <v>12</v>
      </c>
      <c r="W389">
        <v>0</v>
      </c>
    </row>
    <row r="390" spans="1:23" hidden="1" x14ac:dyDescent="0.25">
      <c r="A390" s="2">
        <v>45957.636793981481</v>
      </c>
      <c r="B390">
        <v>389</v>
      </c>
      <c r="C390" t="s">
        <v>334</v>
      </c>
      <c r="D390" s="3">
        <v>45957</v>
      </c>
      <c r="E390" s="3">
        <v>45958</v>
      </c>
      <c r="F390" t="s">
        <v>66</v>
      </c>
      <c r="H390" t="s">
        <v>22</v>
      </c>
      <c r="I390" t="s">
        <v>339</v>
      </c>
      <c r="J390" t="s">
        <v>1490</v>
      </c>
      <c r="K390" t="s">
        <v>24</v>
      </c>
      <c r="L390" s="4">
        <v>12</v>
      </c>
      <c r="M390" t="s">
        <v>336</v>
      </c>
      <c r="N390" t="s">
        <v>26</v>
      </c>
      <c r="O390" s="4">
        <v>100</v>
      </c>
      <c r="P390">
        <v>0</v>
      </c>
      <c r="Q390" s="4">
        <v>100</v>
      </c>
      <c r="R390" s="12">
        <f t="shared" si="6"/>
        <v>1200</v>
      </c>
      <c r="T390" t="s">
        <v>337</v>
      </c>
      <c r="U390" t="s">
        <v>338</v>
      </c>
      <c r="V390" s="4">
        <v>12</v>
      </c>
      <c r="W390">
        <v>0</v>
      </c>
    </row>
    <row r="391" spans="1:23" hidden="1" x14ac:dyDescent="0.25">
      <c r="A391" s="2">
        <v>45924.720219907409</v>
      </c>
      <c r="B391">
        <v>4087</v>
      </c>
      <c r="C391" t="s">
        <v>340</v>
      </c>
      <c r="D391" s="3">
        <v>45924</v>
      </c>
      <c r="E391" s="3">
        <v>46172</v>
      </c>
      <c r="F391" t="s">
        <v>79</v>
      </c>
      <c r="G391" t="s">
        <v>1493</v>
      </c>
      <c r="H391" t="s">
        <v>22</v>
      </c>
      <c r="I391" t="s">
        <v>38</v>
      </c>
      <c r="J391" t="s">
        <v>1491</v>
      </c>
      <c r="K391" t="s">
        <v>24</v>
      </c>
      <c r="L391" s="4">
        <v>38</v>
      </c>
      <c r="M391" t="s">
        <v>341</v>
      </c>
      <c r="N391" t="s">
        <v>26</v>
      </c>
      <c r="O391" s="4">
        <v>201</v>
      </c>
      <c r="P391">
        <v>0</v>
      </c>
      <c r="Q391" s="4">
        <v>201</v>
      </c>
      <c r="R391" s="12">
        <f t="shared" si="6"/>
        <v>7638</v>
      </c>
      <c r="T391" t="s">
        <v>342</v>
      </c>
      <c r="U391" t="s">
        <v>343</v>
      </c>
      <c r="V391" s="4">
        <v>38</v>
      </c>
      <c r="W391">
        <v>0</v>
      </c>
    </row>
    <row r="392" spans="1:23" hidden="1" x14ac:dyDescent="0.25">
      <c r="A392" s="2">
        <v>45917.704641203702</v>
      </c>
      <c r="B392">
        <v>4051</v>
      </c>
      <c r="C392" t="s">
        <v>344</v>
      </c>
      <c r="D392" s="3">
        <v>45917</v>
      </c>
      <c r="E392" s="3">
        <v>45960</v>
      </c>
      <c r="F392" t="s">
        <v>79</v>
      </c>
      <c r="G392" t="s">
        <v>1493</v>
      </c>
      <c r="H392" t="s">
        <v>22</v>
      </c>
      <c r="I392" t="s">
        <v>44</v>
      </c>
      <c r="J392" t="s">
        <v>1491</v>
      </c>
      <c r="K392" t="s">
        <v>31</v>
      </c>
      <c r="L392" s="4">
        <v>360</v>
      </c>
      <c r="M392" t="s">
        <v>345</v>
      </c>
      <c r="N392" t="s">
        <v>26</v>
      </c>
      <c r="O392" s="4">
        <v>48</v>
      </c>
      <c r="P392">
        <v>0</v>
      </c>
      <c r="Q392" s="4">
        <v>48</v>
      </c>
      <c r="R392" s="12">
        <f t="shared" si="6"/>
        <v>17280</v>
      </c>
      <c r="U392" t="s">
        <v>346</v>
      </c>
      <c r="V392" s="4">
        <v>360</v>
      </c>
      <c r="W392">
        <v>0</v>
      </c>
    </row>
    <row r="393" spans="1:23" hidden="1" x14ac:dyDescent="0.25">
      <c r="A393" s="2">
        <v>45905.407430555555</v>
      </c>
      <c r="B393">
        <v>4012</v>
      </c>
      <c r="C393" t="s">
        <v>347</v>
      </c>
      <c r="D393" s="3">
        <v>45903</v>
      </c>
      <c r="E393" s="3">
        <v>45960</v>
      </c>
      <c r="F393" t="s">
        <v>79</v>
      </c>
      <c r="H393" t="s">
        <v>22</v>
      </c>
      <c r="I393" t="s">
        <v>348</v>
      </c>
      <c r="K393" t="s">
        <v>24</v>
      </c>
      <c r="L393" s="4">
        <v>90</v>
      </c>
      <c r="M393" t="s">
        <v>349</v>
      </c>
      <c r="N393" t="s">
        <v>26</v>
      </c>
      <c r="O393" s="4">
        <v>1900</v>
      </c>
      <c r="P393">
        <v>0</v>
      </c>
      <c r="Q393" s="4">
        <v>1900</v>
      </c>
      <c r="R393" s="12">
        <f t="shared" si="6"/>
        <v>171000</v>
      </c>
      <c r="U393" t="s">
        <v>350</v>
      </c>
      <c r="V393" s="4">
        <v>90</v>
      </c>
      <c r="W393">
        <v>0</v>
      </c>
    </row>
    <row r="394" spans="1:23" hidden="1" x14ac:dyDescent="0.25">
      <c r="A394" s="2">
        <v>45975.586180555554</v>
      </c>
      <c r="B394">
        <v>4271</v>
      </c>
      <c r="C394" t="s">
        <v>347</v>
      </c>
      <c r="D394" s="3">
        <v>45975</v>
      </c>
      <c r="E394" s="3">
        <v>46142</v>
      </c>
      <c r="F394" t="s">
        <v>79</v>
      </c>
      <c r="H394" t="s">
        <v>22</v>
      </c>
      <c r="I394" t="s">
        <v>278</v>
      </c>
      <c r="K394" t="s">
        <v>24</v>
      </c>
      <c r="L394" s="4">
        <v>12.5</v>
      </c>
      <c r="M394" t="s">
        <v>351</v>
      </c>
      <c r="N394" t="s">
        <v>26</v>
      </c>
      <c r="O394" s="4">
        <v>5800</v>
      </c>
      <c r="P394">
        <v>0</v>
      </c>
      <c r="Q394" s="4">
        <v>5800</v>
      </c>
      <c r="R394" s="12">
        <f t="shared" si="6"/>
        <v>72500</v>
      </c>
      <c r="U394" t="s">
        <v>350</v>
      </c>
      <c r="V394" s="4">
        <v>12.5</v>
      </c>
      <c r="W394">
        <v>0</v>
      </c>
    </row>
    <row r="395" spans="1:23" hidden="1" x14ac:dyDescent="0.25">
      <c r="A395" s="2">
        <v>45751.611354166664</v>
      </c>
      <c r="B395">
        <v>167</v>
      </c>
      <c r="C395" t="s">
        <v>352</v>
      </c>
      <c r="D395" s="3">
        <v>45751</v>
      </c>
      <c r="E395" s="3">
        <v>46142</v>
      </c>
      <c r="F395" t="s">
        <v>52</v>
      </c>
      <c r="H395" t="s">
        <v>22</v>
      </c>
      <c r="I395" t="s">
        <v>42</v>
      </c>
      <c r="J395" t="s">
        <v>1490</v>
      </c>
      <c r="K395" t="s">
        <v>24</v>
      </c>
      <c r="L395" s="4">
        <v>200</v>
      </c>
      <c r="M395" t="s">
        <v>353</v>
      </c>
      <c r="N395" t="s">
        <v>26</v>
      </c>
      <c r="O395" s="4">
        <v>105</v>
      </c>
      <c r="P395">
        <v>0</v>
      </c>
      <c r="Q395" s="4">
        <v>105</v>
      </c>
      <c r="R395" s="12">
        <f t="shared" si="6"/>
        <v>21000</v>
      </c>
      <c r="T395" t="s">
        <v>55</v>
      </c>
      <c r="U395" t="s">
        <v>354</v>
      </c>
      <c r="V395" s="4">
        <v>200</v>
      </c>
      <c r="W395">
        <v>0</v>
      </c>
    </row>
    <row r="396" spans="1:23" hidden="1" x14ac:dyDescent="0.25">
      <c r="A396" s="2">
        <v>45751.611354166664</v>
      </c>
      <c r="B396">
        <v>167</v>
      </c>
      <c r="C396" t="s">
        <v>352</v>
      </c>
      <c r="D396" s="3">
        <v>45751</v>
      </c>
      <c r="E396" s="3">
        <v>46142</v>
      </c>
      <c r="F396" t="s">
        <v>52</v>
      </c>
      <c r="H396" t="s">
        <v>22</v>
      </c>
      <c r="I396" t="s">
        <v>278</v>
      </c>
      <c r="K396" t="s">
        <v>24</v>
      </c>
      <c r="L396" s="4">
        <v>22.5</v>
      </c>
      <c r="M396" t="s">
        <v>353</v>
      </c>
      <c r="N396" t="s">
        <v>26</v>
      </c>
      <c r="O396" s="4">
        <v>1060</v>
      </c>
      <c r="P396">
        <v>0</v>
      </c>
      <c r="Q396" s="4">
        <v>1060</v>
      </c>
      <c r="R396" s="12">
        <f t="shared" si="6"/>
        <v>23850</v>
      </c>
      <c r="T396" t="s">
        <v>55</v>
      </c>
      <c r="U396" t="s">
        <v>354</v>
      </c>
      <c r="V396" s="4">
        <v>22.5</v>
      </c>
      <c r="W396">
        <v>0</v>
      </c>
    </row>
    <row r="397" spans="1:23" hidden="1" x14ac:dyDescent="0.25">
      <c r="A397" s="2">
        <v>45751.611354166664</v>
      </c>
      <c r="B397">
        <v>167</v>
      </c>
      <c r="C397" t="s">
        <v>352</v>
      </c>
      <c r="D397" s="3">
        <v>45751</v>
      </c>
      <c r="E397" s="3">
        <v>46142</v>
      </c>
      <c r="F397" t="s">
        <v>52</v>
      </c>
      <c r="G397" t="s">
        <v>1494</v>
      </c>
      <c r="H397" t="s">
        <v>22</v>
      </c>
      <c r="I397" t="s">
        <v>41</v>
      </c>
      <c r="J397" t="s">
        <v>1491</v>
      </c>
      <c r="K397" t="s">
        <v>24</v>
      </c>
      <c r="L397" s="4">
        <v>300</v>
      </c>
      <c r="M397" t="s">
        <v>353</v>
      </c>
      <c r="N397" t="s">
        <v>26</v>
      </c>
      <c r="O397" s="4">
        <v>53</v>
      </c>
      <c r="P397">
        <v>0</v>
      </c>
      <c r="Q397" s="4">
        <v>53</v>
      </c>
      <c r="R397" s="12">
        <f t="shared" si="6"/>
        <v>15900</v>
      </c>
      <c r="T397" t="s">
        <v>55</v>
      </c>
      <c r="U397" t="s">
        <v>354</v>
      </c>
      <c r="V397" s="4">
        <v>300</v>
      </c>
      <c r="W397">
        <v>0</v>
      </c>
    </row>
    <row r="398" spans="1:23" hidden="1" x14ac:dyDescent="0.25">
      <c r="A398" s="2">
        <v>45751.611354166664</v>
      </c>
      <c r="B398">
        <v>167</v>
      </c>
      <c r="C398" t="s">
        <v>352</v>
      </c>
      <c r="D398" s="3">
        <v>45751</v>
      </c>
      <c r="E398" s="3">
        <v>46142</v>
      </c>
      <c r="F398" t="s">
        <v>52</v>
      </c>
      <c r="H398" t="s">
        <v>22</v>
      </c>
      <c r="I398" t="s">
        <v>279</v>
      </c>
      <c r="K398" t="s">
        <v>31</v>
      </c>
      <c r="L398" s="4">
        <v>235</v>
      </c>
      <c r="M398" t="s">
        <v>353</v>
      </c>
      <c r="N398" t="s">
        <v>26</v>
      </c>
      <c r="O398" s="4">
        <v>210</v>
      </c>
      <c r="P398">
        <v>0</v>
      </c>
      <c r="Q398" s="4">
        <v>210</v>
      </c>
      <c r="R398" s="12">
        <f t="shared" si="6"/>
        <v>49350</v>
      </c>
      <c r="T398" t="s">
        <v>55</v>
      </c>
      <c r="U398" t="s">
        <v>354</v>
      </c>
      <c r="V398" s="4">
        <v>235</v>
      </c>
      <c r="W398">
        <v>0</v>
      </c>
    </row>
    <row r="399" spans="1:23" hidden="1" x14ac:dyDescent="0.25">
      <c r="A399" s="2">
        <v>45751.611354166664</v>
      </c>
      <c r="B399">
        <v>167</v>
      </c>
      <c r="C399" t="s">
        <v>352</v>
      </c>
      <c r="D399" s="3">
        <v>45751</v>
      </c>
      <c r="E399" s="3">
        <v>46142</v>
      </c>
      <c r="F399" t="s">
        <v>52</v>
      </c>
      <c r="H399" t="s">
        <v>22</v>
      </c>
      <c r="I399" t="s">
        <v>272</v>
      </c>
      <c r="K399" t="s">
        <v>31</v>
      </c>
      <c r="L399" s="4">
        <v>22.5</v>
      </c>
      <c r="M399" t="s">
        <v>353</v>
      </c>
      <c r="N399" t="s">
        <v>26</v>
      </c>
      <c r="O399" s="4">
        <v>1580</v>
      </c>
      <c r="P399">
        <v>0</v>
      </c>
      <c r="Q399" s="4">
        <v>1580</v>
      </c>
      <c r="R399" s="12">
        <f t="shared" si="6"/>
        <v>35550</v>
      </c>
      <c r="T399" t="s">
        <v>55</v>
      </c>
      <c r="U399" t="s">
        <v>354</v>
      </c>
      <c r="V399" s="4">
        <v>22.5</v>
      </c>
      <c r="W399">
        <v>0</v>
      </c>
    </row>
    <row r="400" spans="1:23" hidden="1" x14ac:dyDescent="0.25">
      <c r="A400" s="2">
        <v>45751.611354166664</v>
      </c>
      <c r="B400">
        <v>167</v>
      </c>
      <c r="C400" t="s">
        <v>352</v>
      </c>
      <c r="D400" s="3">
        <v>45751</v>
      </c>
      <c r="E400" s="3">
        <v>46142</v>
      </c>
      <c r="F400" t="s">
        <v>52</v>
      </c>
      <c r="H400" t="s">
        <v>22</v>
      </c>
      <c r="I400" t="s">
        <v>355</v>
      </c>
      <c r="K400" t="s">
        <v>31</v>
      </c>
      <c r="L400" s="4">
        <v>175</v>
      </c>
      <c r="M400" t="s">
        <v>353</v>
      </c>
      <c r="N400" t="s">
        <v>26</v>
      </c>
      <c r="O400" s="4">
        <v>160</v>
      </c>
      <c r="P400">
        <v>0</v>
      </c>
      <c r="Q400" s="4">
        <v>160</v>
      </c>
      <c r="R400" s="12">
        <f t="shared" si="6"/>
        <v>28000</v>
      </c>
      <c r="T400" t="s">
        <v>55</v>
      </c>
      <c r="U400" t="s">
        <v>354</v>
      </c>
      <c r="V400" s="4">
        <v>175</v>
      </c>
      <c r="W400">
        <v>0</v>
      </c>
    </row>
    <row r="401" spans="1:23" hidden="1" x14ac:dyDescent="0.25">
      <c r="A401" s="2">
        <v>45751.611354166664</v>
      </c>
      <c r="B401">
        <v>167</v>
      </c>
      <c r="C401" t="s">
        <v>352</v>
      </c>
      <c r="D401" s="3">
        <v>45751</v>
      </c>
      <c r="E401" s="3">
        <v>46142</v>
      </c>
      <c r="F401" t="s">
        <v>52</v>
      </c>
      <c r="G401" t="s">
        <v>1494</v>
      </c>
      <c r="H401" t="s">
        <v>22</v>
      </c>
      <c r="I401" t="s">
        <v>40</v>
      </c>
      <c r="J401" t="s">
        <v>1491</v>
      </c>
      <c r="K401" t="s">
        <v>24</v>
      </c>
      <c r="L401" s="4">
        <v>295</v>
      </c>
      <c r="M401" t="s">
        <v>353</v>
      </c>
      <c r="N401" t="s">
        <v>26</v>
      </c>
      <c r="O401" s="4">
        <v>53</v>
      </c>
      <c r="P401">
        <v>0</v>
      </c>
      <c r="Q401" s="4">
        <v>53</v>
      </c>
      <c r="R401" s="12">
        <f t="shared" si="6"/>
        <v>15635</v>
      </c>
      <c r="T401" t="s">
        <v>55</v>
      </c>
      <c r="U401" t="s">
        <v>354</v>
      </c>
      <c r="V401" s="4">
        <v>295</v>
      </c>
      <c r="W401">
        <v>0</v>
      </c>
    </row>
    <row r="402" spans="1:23" hidden="1" x14ac:dyDescent="0.25">
      <c r="A402" s="2">
        <v>45751.611354166664</v>
      </c>
      <c r="B402">
        <v>167</v>
      </c>
      <c r="C402" t="s">
        <v>352</v>
      </c>
      <c r="D402" s="3">
        <v>45751</v>
      </c>
      <c r="E402" s="3">
        <v>46142</v>
      </c>
      <c r="F402" t="s">
        <v>52</v>
      </c>
      <c r="H402" t="s">
        <v>22</v>
      </c>
      <c r="I402" t="s">
        <v>89</v>
      </c>
      <c r="K402" t="s">
        <v>31</v>
      </c>
      <c r="L402" s="4">
        <v>19.5</v>
      </c>
      <c r="M402" t="s">
        <v>353</v>
      </c>
      <c r="N402" t="s">
        <v>26</v>
      </c>
      <c r="O402" s="4">
        <v>2100</v>
      </c>
      <c r="P402">
        <v>0</v>
      </c>
      <c r="Q402" s="4">
        <v>2100</v>
      </c>
      <c r="R402" s="12">
        <f t="shared" si="6"/>
        <v>40950</v>
      </c>
      <c r="T402" t="s">
        <v>55</v>
      </c>
      <c r="U402" t="s">
        <v>354</v>
      </c>
      <c r="V402" s="4">
        <v>19.5</v>
      </c>
      <c r="W402">
        <v>0</v>
      </c>
    </row>
    <row r="403" spans="1:23" hidden="1" x14ac:dyDescent="0.25">
      <c r="A403" s="2">
        <v>45751.611354166664</v>
      </c>
      <c r="B403">
        <v>167</v>
      </c>
      <c r="C403" t="s">
        <v>352</v>
      </c>
      <c r="D403" s="3">
        <v>45751</v>
      </c>
      <c r="E403" s="3">
        <v>46142</v>
      </c>
      <c r="F403" t="s">
        <v>52</v>
      </c>
      <c r="H403" t="s">
        <v>22</v>
      </c>
      <c r="I403" t="s">
        <v>37</v>
      </c>
      <c r="J403" t="s">
        <v>1490</v>
      </c>
      <c r="K403" t="s">
        <v>31</v>
      </c>
      <c r="L403" s="4">
        <v>70</v>
      </c>
      <c r="M403" t="s">
        <v>353</v>
      </c>
      <c r="N403" t="s">
        <v>26</v>
      </c>
      <c r="O403" s="4">
        <v>162</v>
      </c>
      <c r="P403">
        <v>0</v>
      </c>
      <c r="Q403" s="4">
        <v>162</v>
      </c>
      <c r="R403" s="12">
        <f t="shared" si="6"/>
        <v>11340</v>
      </c>
      <c r="T403" t="s">
        <v>55</v>
      </c>
      <c r="U403" t="s">
        <v>354</v>
      </c>
      <c r="V403" s="4">
        <v>70</v>
      </c>
      <c r="W403">
        <v>0</v>
      </c>
    </row>
    <row r="404" spans="1:23" hidden="1" x14ac:dyDescent="0.25">
      <c r="A404" s="2">
        <v>45751.611354166664</v>
      </c>
      <c r="B404">
        <v>167</v>
      </c>
      <c r="C404" t="s">
        <v>352</v>
      </c>
      <c r="D404" s="3">
        <v>45751</v>
      </c>
      <c r="E404" s="3">
        <v>46142</v>
      </c>
      <c r="F404" t="s">
        <v>52</v>
      </c>
      <c r="H404" t="s">
        <v>22</v>
      </c>
      <c r="I404" t="s">
        <v>281</v>
      </c>
      <c r="K404" t="s">
        <v>31</v>
      </c>
      <c r="L404" s="4">
        <v>32</v>
      </c>
      <c r="M404" t="s">
        <v>353</v>
      </c>
      <c r="N404" t="s">
        <v>26</v>
      </c>
      <c r="O404" s="4">
        <v>840</v>
      </c>
      <c r="P404">
        <v>0</v>
      </c>
      <c r="Q404" s="4">
        <v>840</v>
      </c>
      <c r="R404" s="12">
        <f t="shared" si="6"/>
        <v>26880</v>
      </c>
      <c r="T404" t="s">
        <v>55</v>
      </c>
      <c r="U404" t="s">
        <v>354</v>
      </c>
      <c r="V404" s="4">
        <v>32</v>
      </c>
      <c r="W404">
        <v>0</v>
      </c>
    </row>
    <row r="405" spans="1:23" hidden="1" x14ac:dyDescent="0.25">
      <c r="A405" s="2">
        <v>45751.611354166664</v>
      </c>
      <c r="B405">
        <v>167</v>
      </c>
      <c r="C405" t="s">
        <v>352</v>
      </c>
      <c r="D405" s="3">
        <v>45751</v>
      </c>
      <c r="E405" s="3">
        <v>46142</v>
      </c>
      <c r="F405" t="s">
        <v>52</v>
      </c>
      <c r="H405" t="s">
        <v>22</v>
      </c>
      <c r="I405" t="s">
        <v>177</v>
      </c>
      <c r="J405" t="s">
        <v>1490</v>
      </c>
      <c r="K405" t="s">
        <v>24</v>
      </c>
      <c r="L405" s="4">
        <v>20</v>
      </c>
      <c r="M405" t="s">
        <v>353</v>
      </c>
      <c r="N405" t="s">
        <v>26</v>
      </c>
      <c r="O405" s="4">
        <v>520</v>
      </c>
      <c r="P405">
        <v>0</v>
      </c>
      <c r="Q405" s="4">
        <v>520</v>
      </c>
      <c r="R405" s="12">
        <f t="shared" si="6"/>
        <v>10400</v>
      </c>
      <c r="T405" t="s">
        <v>55</v>
      </c>
      <c r="U405" t="s">
        <v>354</v>
      </c>
      <c r="V405" s="4">
        <v>20</v>
      </c>
      <c r="W405">
        <v>0</v>
      </c>
    </row>
    <row r="406" spans="1:23" hidden="1" x14ac:dyDescent="0.25">
      <c r="A406" s="2">
        <v>45751.611354166664</v>
      </c>
      <c r="B406">
        <v>167</v>
      </c>
      <c r="C406" t="s">
        <v>352</v>
      </c>
      <c r="D406" s="3">
        <v>45751</v>
      </c>
      <c r="E406" s="3">
        <v>46142</v>
      </c>
      <c r="F406" t="s">
        <v>52</v>
      </c>
      <c r="H406" t="s">
        <v>22</v>
      </c>
      <c r="I406" t="s">
        <v>356</v>
      </c>
      <c r="K406" t="s">
        <v>24</v>
      </c>
      <c r="L406" s="4">
        <v>16</v>
      </c>
      <c r="M406" t="s">
        <v>353</v>
      </c>
      <c r="N406" t="s">
        <v>26</v>
      </c>
      <c r="O406" s="4">
        <v>1050</v>
      </c>
      <c r="P406">
        <v>0</v>
      </c>
      <c r="Q406" s="4">
        <v>1050</v>
      </c>
      <c r="R406" s="12">
        <f t="shared" si="6"/>
        <v>16800</v>
      </c>
      <c r="T406" t="s">
        <v>55</v>
      </c>
      <c r="U406" t="s">
        <v>354</v>
      </c>
      <c r="V406" s="4">
        <v>16</v>
      </c>
      <c r="W406">
        <v>0</v>
      </c>
    </row>
    <row r="407" spans="1:23" hidden="1" x14ac:dyDescent="0.25">
      <c r="A407" s="2">
        <v>45818.474872685183</v>
      </c>
      <c r="B407">
        <v>230</v>
      </c>
      <c r="C407" t="s">
        <v>352</v>
      </c>
      <c r="D407" s="3">
        <v>45818</v>
      </c>
      <c r="E407" s="3">
        <v>46264</v>
      </c>
      <c r="F407" t="s">
        <v>52</v>
      </c>
      <c r="H407" t="s">
        <v>22</v>
      </c>
      <c r="I407" t="s">
        <v>42</v>
      </c>
      <c r="J407" t="s">
        <v>1490</v>
      </c>
      <c r="K407" t="s">
        <v>24</v>
      </c>
      <c r="L407" s="4">
        <v>250</v>
      </c>
      <c r="M407" t="s">
        <v>357</v>
      </c>
      <c r="N407" t="s">
        <v>46</v>
      </c>
      <c r="O407" s="4">
        <v>80</v>
      </c>
      <c r="P407">
        <v>0</v>
      </c>
      <c r="Q407" s="4">
        <v>80</v>
      </c>
      <c r="R407" s="12">
        <f t="shared" si="6"/>
        <v>20000</v>
      </c>
      <c r="T407" t="s">
        <v>55</v>
      </c>
      <c r="U407" t="s">
        <v>354</v>
      </c>
      <c r="V407" s="4">
        <v>250</v>
      </c>
      <c r="W407">
        <v>0</v>
      </c>
    </row>
    <row r="408" spans="1:23" hidden="1" x14ac:dyDescent="0.25">
      <c r="A408" s="2">
        <v>45818.474872685183</v>
      </c>
      <c r="B408">
        <v>230</v>
      </c>
      <c r="C408" t="s">
        <v>352</v>
      </c>
      <c r="D408" s="3">
        <v>45818</v>
      </c>
      <c r="E408" s="3">
        <v>46264</v>
      </c>
      <c r="F408" t="s">
        <v>52</v>
      </c>
      <c r="H408" t="s">
        <v>22</v>
      </c>
      <c r="I408" t="s">
        <v>32</v>
      </c>
      <c r="J408" t="s">
        <v>1490</v>
      </c>
      <c r="K408" t="s">
        <v>24</v>
      </c>
      <c r="L408" s="4">
        <v>22</v>
      </c>
      <c r="M408" t="s">
        <v>357</v>
      </c>
      <c r="N408" t="s">
        <v>46</v>
      </c>
      <c r="O408" s="4">
        <v>800</v>
      </c>
      <c r="P408">
        <v>0</v>
      </c>
      <c r="Q408" s="4">
        <v>800</v>
      </c>
      <c r="R408" s="12">
        <f t="shared" si="6"/>
        <v>17600</v>
      </c>
      <c r="T408" t="s">
        <v>55</v>
      </c>
      <c r="U408" t="s">
        <v>354</v>
      </c>
      <c r="V408" s="4">
        <v>22</v>
      </c>
      <c r="W408">
        <v>0</v>
      </c>
    </row>
    <row r="409" spans="1:23" hidden="1" x14ac:dyDescent="0.25">
      <c r="A409" s="2">
        <v>45818.474872685183</v>
      </c>
      <c r="B409">
        <v>230</v>
      </c>
      <c r="C409" t="s">
        <v>352</v>
      </c>
      <c r="D409" s="3">
        <v>45818</v>
      </c>
      <c r="E409" s="3">
        <v>46264</v>
      </c>
      <c r="F409" t="s">
        <v>52</v>
      </c>
      <c r="G409" t="s">
        <v>1494</v>
      </c>
      <c r="H409" t="s">
        <v>22</v>
      </c>
      <c r="I409" t="s">
        <v>40</v>
      </c>
      <c r="J409" t="s">
        <v>1491</v>
      </c>
      <c r="K409" t="s">
        <v>24</v>
      </c>
      <c r="L409" s="4">
        <v>340</v>
      </c>
      <c r="M409" t="s">
        <v>357</v>
      </c>
      <c r="N409" t="s">
        <v>46</v>
      </c>
      <c r="O409" s="4">
        <v>24</v>
      </c>
      <c r="P409">
        <v>0</v>
      </c>
      <c r="Q409" s="4">
        <v>24</v>
      </c>
      <c r="R409" s="12">
        <f t="shared" si="6"/>
        <v>8160</v>
      </c>
      <c r="T409" t="s">
        <v>55</v>
      </c>
      <c r="U409" t="s">
        <v>354</v>
      </c>
      <c r="V409" s="4">
        <v>340</v>
      </c>
      <c r="W409">
        <v>0</v>
      </c>
    </row>
    <row r="410" spans="1:23" hidden="1" x14ac:dyDescent="0.25">
      <c r="A410" s="2">
        <v>45818.474872685183</v>
      </c>
      <c r="B410">
        <v>230</v>
      </c>
      <c r="C410" t="s">
        <v>352</v>
      </c>
      <c r="D410" s="3">
        <v>45818</v>
      </c>
      <c r="E410" s="3">
        <v>46264</v>
      </c>
      <c r="F410" t="s">
        <v>52</v>
      </c>
      <c r="H410" t="s">
        <v>22</v>
      </c>
      <c r="I410" t="s">
        <v>36</v>
      </c>
      <c r="J410" t="s">
        <v>1490</v>
      </c>
      <c r="K410" t="s">
        <v>24</v>
      </c>
      <c r="L410" s="4">
        <v>70</v>
      </c>
      <c r="M410" t="s">
        <v>357</v>
      </c>
      <c r="N410" t="s">
        <v>46</v>
      </c>
      <c r="O410" s="4">
        <v>80</v>
      </c>
      <c r="P410">
        <v>0</v>
      </c>
      <c r="Q410" s="4">
        <v>80</v>
      </c>
      <c r="R410" s="12">
        <f t="shared" si="6"/>
        <v>5600</v>
      </c>
      <c r="T410" t="s">
        <v>55</v>
      </c>
      <c r="U410" t="s">
        <v>354</v>
      </c>
      <c r="V410" s="4">
        <v>70</v>
      </c>
      <c r="W410">
        <v>0</v>
      </c>
    </row>
    <row r="411" spans="1:23" hidden="1" x14ac:dyDescent="0.25">
      <c r="A411" s="2">
        <v>45818.474872685183</v>
      </c>
      <c r="B411">
        <v>230</v>
      </c>
      <c r="C411" t="s">
        <v>352</v>
      </c>
      <c r="D411" s="3">
        <v>45818</v>
      </c>
      <c r="E411" s="3">
        <v>46264</v>
      </c>
      <c r="F411" t="s">
        <v>52</v>
      </c>
      <c r="H411" t="s">
        <v>22</v>
      </c>
      <c r="I411" t="s">
        <v>348</v>
      </c>
      <c r="K411" t="s">
        <v>24</v>
      </c>
      <c r="L411" s="4">
        <v>157</v>
      </c>
      <c r="M411" t="s">
        <v>357</v>
      </c>
      <c r="N411" t="s">
        <v>46</v>
      </c>
      <c r="O411" s="4">
        <v>155</v>
      </c>
      <c r="P411">
        <v>0</v>
      </c>
      <c r="Q411" s="4">
        <v>155</v>
      </c>
      <c r="R411" s="12">
        <f t="shared" si="6"/>
        <v>24335</v>
      </c>
      <c r="T411" t="s">
        <v>55</v>
      </c>
      <c r="U411" t="s">
        <v>354</v>
      </c>
      <c r="V411" s="4">
        <v>157</v>
      </c>
      <c r="W411">
        <v>0</v>
      </c>
    </row>
    <row r="412" spans="1:23" hidden="1" x14ac:dyDescent="0.25">
      <c r="A412" s="2">
        <v>45818.474872685183</v>
      </c>
      <c r="B412">
        <v>230</v>
      </c>
      <c r="C412" t="s">
        <v>352</v>
      </c>
      <c r="D412" s="3">
        <v>45818</v>
      </c>
      <c r="E412" s="3">
        <v>46264</v>
      </c>
      <c r="F412" t="s">
        <v>52</v>
      </c>
      <c r="H412" t="s">
        <v>22</v>
      </c>
      <c r="I412" t="s">
        <v>30</v>
      </c>
      <c r="J412" t="s">
        <v>1490</v>
      </c>
      <c r="K412" t="s">
        <v>31</v>
      </c>
      <c r="L412" s="4">
        <v>22</v>
      </c>
      <c r="M412" t="s">
        <v>357</v>
      </c>
      <c r="N412" t="s">
        <v>46</v>
      </c>
      <c r="O412" s="4">
        <v>2400</v>
      </c>
      <c r="P412">
        <v>0</v>
      </c>
      <c r="Q412" s="4">
        <v>2400</v>
      </c>
      <c r="R412" s="12">
        <f t="shared" si="6"/>
        <v>52800</v>
      </c>
      <c r="T412" t="s">
        <v>55</v>
      </c>
      <c r="U412" t="s">
        <v>354</v>
      </c>
      <c r="V412" s="4">
        <v>22</v>
      </c>
      <c r="W412">
        <v>0</v>
      </c>
    </row>
    <row r="413" spans="1:23" hidden="1" x14ac:dyDescent="0.25">
      <c r="A413" s="2">
        <v>45818.474872685183</v>
      </c>
      <c r="B413">
        <v>230</v>
      </c>
      <c r="C413" t="s">
        <v>352</v>
      </c>
      <c r="D413" s="3">
        <v>45818</v>
      </c>
      <c r="E413" s="3">
        <v>46264</v>
      </c>
      <c r="F413" t="s">
        <v>52</v>
      </c>
      <c r="H413" t="s">
        <v>22</v>
      </c>
      <c r="I413" t="s">
        <v>35</v>
      </c>
      <c r="J413" t="s">
        <v>1490</v>
      </c>
      <c r="K413" t="s">
        <v>24</v>
      </c>
      <c r="L413" s="4">
        <v>70</v>
      </c>
      <c r="M413" t="s">
        <v>357</v>
      </c>
      <c r="N413" t="s">
        <v>46</v>
      </c>
      <c r="O413" s="4">
        <v>120</v>
      </c>
      <c r="P413">
        <v>0</v>
      </c>
      <c r="Q413" s="4">
        <v>120</v>
      </c>
      <c r="R413" s="12">
        <f t="shared" si="6"/>
        <v>8400</v>
      </c>
      <c r="T413" t="s">
        <v>55</v>
      </c>
      <c r="U413" t="s">
        <v>354</v>
      </c>
      <c r="V413" s="4">
        <v>70</v>
      </c>
      <c r="W413">
        <v>0</v>
      </c>
    </row>
    <row r="414" spans="1:23" hidden="1" x14ac:dyDescent="0.25">
      <c r="A414" s="2">
        <v>45818.474872685183</v>
      </c>
      <c r="B414">
        <v>230</v>
      </c>
      <c r="C414" t="s">
        <v>352</v>
      </c>
      <c r="D414" s="3">
        <v>45818</v>
      </c>
      <c r="E414" s="3">
        <v>46264</v>
      </c>
      <c r="F414" t="s">
        <v>52</v>
      </c>
      <c r="G414" t="s">
        <v>1494</v>
      </c>
      <c r="H414" t="s">
        <v>22</v>
      </c>
      <c r="I414" t="s">
        <v>41</v>
      </c>
      <c r="J414" t="s">
        <v>1491</v>
      </c>
      <c r="K414" t="s">
        <v>24</v>
      </c>
      <c r="L414" s="4">
        <v>340</v>
      </c>
      <c r="M414" t="s">
        <v>357</v>
      </c>
      <c r="N414" t="s">
        <v>46</v>
      </c>
      <c r="O414" s="4">
        <v>24</v>
      </c>
      <c r="P414">
        <v>0</v>
      </c>
      <c r="Q414" s="4">
        <v>24</v>
      </c>
      <c r="R414" s="12">
        <f t="shared" si="6"/>
        <v>8160</v>
      </c>
      <c r="T414" t="s">
        <v>55</v>
      </c>
      <c r="U414" t="s">
        <v>354</v>
      </c>
      <c r="V414" s="4">
        <v>340</v>
      </c>
      <c r="W414">
        <v>0</v>
      </c>
    </row>
    <row r="415" spans="1:23" hidden="1" x14ac:dyDescent="0.25">
      <c r="A415" s="2">
        <v>45818.474872685183</v>
      </c>
      <c r="B415">
        <v>230</v>
      </c>
      <c r="C415" t="s">
        <v>352</v>
      </c>
      <c r="D415" s="3">
        <v>45818</v>
      </c>
      <c r="E415" s="3">
        <v>46264</v>
      </c>
      <c r="F415" t="s">
        <v>52</v>
      </c>
      <c r="G415" t="s">
        <v>1494</v>
      </c>
      <c r="H415" t="s">
        <v>22</v>
      </c>
      <c r="I415" t="s">
        <v>63</v>
      </c>
      <c r="J415" t="s">
        <v>1491</v>
      </c>
      <c r="K415" t="s">
        <v>31</v>
      </c>
      <c r="L415" s="4">
        <v>205</v>
      </c>
      <c r="M415" t="s">
        <v>357</v>
      </c>
      <c r="N415" t="s">
        <v>46</v>
      </c>
      <c r="O415" s="4">
        <v>64</v>
      </c>
      <c r="P415">
        <v>0</v>
      </c>
      <c r="Q415" s="4">
        <v>64</v>
      </c>
      <c r="R415" s="12">
        <f t="shared" si="6"/>
        <v>13120</v>
      </c>
      <c r="T415" t="s">
        <v>55</v>
      </c>
      <c r="U415" t="s">
        <v>354</v>
      </c>
      <c r="V415" s="4">
        <v>205</v>
      </c>
      <c r="W415">
        <v>0</v>
      </c>
    </row>
    <row r="416" spans="1:23" hidden="1" x14ac:dyDescent="0.25">
      <c r="A416" s="2">
        <v>45818.474872685183</v>
      </c>
      <c r="B416">
        <v>230</v>
      </c>
      <c r="C416" t="s">
        <v>352</v>
      </c>
      <c r="D416" s="3">
        <v>45818</v>
      </c>
      <c r="E416" s="3">
        <v>46264</v>
      </c>
      <c r="F416" t="s">
        <v>52</v>
      </c>
      <c r="H416" t="s">
        <v>22</v>
      </c>
      <c r="I416" t="s">
        <v>258</v>
      </c>
      <c r="J416" t="s">
        <v>1490</v>
      </c>
      <c r="K416" t="s">
        <v>24</v>
      </c>
      <c r="L416" s="4">
        <v>12</v>
      </c>
      <c r="M416" t="s">
        <v>357</v>
      </c>
      <c r="N416" t="s">
        <v>46</v>
      </c>
      <c r="O416" s="4">
        <v>3000</v>
      </c>
      <c r="P416">
        <v>0</v>
      </c>
      <c r="Q416" s="4">
        <v>3000</v>
      </c>
      <c r="R416" s="12">
        <f t="shared" si="6"/>
        <v>36000</v>
      </c>
      <c r="T416" t="s">
        <v>55</v>
      </c>
      <c r="U416" t="s">
        <v>354</v>
      </c>
      <c r="V416" s="4">
        <v>12</v>
      </c>
      <c r="W416">
        <v>0</v>
      </c>
    </row>
    <row r="417" spans="1:23" hidden="1" x14ac:dyDescent="0.25">
      <c r="A417" s="2">
        <v>45818.474872685183</v>
      </c>
      <c r="B417">
        <v>230</v>
      </c>
      <c r="C417" t="s">
        <v>352</v>
      </c>
      <c r="D417" s="3">
        <v>45818</v>
      </c>
      <c r="E417" s="3">
        <v>46264</v>
      </c>
      <c r="F417" t="s">
        <v>52</v>
      </c>
      <c r="H417" t="s">
        <v>22</v>
      </c>
      <c r="I417" t="s">
        <v>358</v>
      </c>
      <c r="K417" t="s">
        <v>24</v>
      </c>
      <c r="L417" s="4">
        <v>12</v>
      </c>
      <c r="M417" t="s">
        <v>357</v>
      </c>
      <c r="N417" t="s">
        <v>46</v>
      </c>
      <c r="O417" s="4">
        <v>200</v>
      </c>
      <c r="P417">
        <v>0</v>
      </c>
      <c r="Q417" s="4">
        <v>200</v>
      </c>
      <c r="R417" s="12">
        <f t="shared" si="6"/>
        <v>2400</v>
      </c>
      <c r="T417" t="s">
        <v>55</v>
      </c>
      <c r="U417" t="s">
        <v>354</v>
      </c>
      <c r="V417" s="4">
        <v>12</v>
      </c>
      <c r="W417">
        <v>0</v>
      </c>
    </row>
    <row r="418" spans="1:23" hidden="1" x14ac:dyDescent="0.25">
      <c r="A418" s="2">
        <v>45818.474872685183</v>
      </c>
      <c r="B418">
        <v>230</v>
      </c>
      <c r="C418" t="s">
        <v>352</v>
      </c>
      <c r="D418" s="3">
        <v>45818</v>
      </c>
      <c r="E418" s="3">
        <v>46264</v>
      </c>
      <c r="F418" t="s">
        <v>52</v>
      </c>
      <c r="H418" t="s">
        <v>22</v>
      </c>
      <c r="I418" t="s">
        <v>277</v>
      </c>
      <c r="K418" t="s">
        <v>31</v>
      </c>
      <c r="L418" s="4">
        <v>392.5</v>
      </c>
      <c r="M418" t="s">
        <v>357</v>
      </c>
      <c r="N418" t="s">
        <v>46</v>
      </c>
      <c r="O418" s="4">
        <v>2</v>
      </c>
      <c r="P418">
        <v>0</v>
      </c>
      <c r="Q418" s="4">
        <v>2</v>
      </c>
      <c r="R418" s="12">
        <f t="shared" si="6"/>
        <v>785</v>
      </c>
      <c r="T418" t="s">
        <v>55</v>
      </c>
      <c r="U418" t="s">
        <v>354</v>
      </c>
      <c r="V418" s="4">
        <v>392.5</v>
      </c>
      <c r="W418">
        <v>0</v>
      </c>
    </row>
    <row r="419" spans="1:23" hidden="1" x14ac:dyDescent="0.25">
      <c r="A419" s="2">
        <v>45818.474872685183</v>
      </c>
      <c r="B419">
        <v>230</v>
      </c>
      <c r="C419" t="s">
        <v>352</v>
      </c>
      <c r="D419" s="3">
        <v>45818</v>
      </c>
      <c r="E419" s="3">
        <v>46264</v>
      </c>
      <c r="F419" t="s">
        <v>52</v>
      </c>
      <c r="H419" t="s">
        <v>22</v>
      </c>
      <c r="I419" t="s">
        <v>23</v>
      </c>
      <c r="J419" t="s">
        <v>1490</v>
      </c>
      <c r="K419" t="s">
        <v>24</v>
      </c>
      <c r="L419" s="4">
        <v>16</v>
      </c>
      <c r="M419" t="s">
        <v>357</v>
      </c>
      <c r="N419" t="s">
        <v>46</v>
      </c>
      <c r="O419" s="4">
        <v>800</v>
      </c>
      <c r="P419">
        <v>0</v>
      </c>
      <c r="Q419" s="4">
        <v>800</v>
      </c>
      <c r="R419" s="12">
        <f t="shared" si="6"/>
        <v>12800</v>
      </c>
      <c r="T419" t="s">
        <v>55</v>
      </c>
      <c r="U419" t="s">
        <v>354</v>
      </c>
      <c r="V419" s="4">
        <v>16</v>
      </c>
      <c r="W419">
        <v>0</v>
      </c>
    </row>
    <row r="420" spans="1:23" hidden="1" x14ac:dyDescent="0.25">
      <c r="A420" s="2">
        <v>46035.670405092591</v>
      </c>
      <c r="B420">
        <v>495</v>
      </c>
      <c r="C420" t="s">
        <v>352</v>
      </c>
      <c r="D420" s="3">
        <v>46035</v>
      </c>
      <c r="E420" s="3">
        <v>46264</v>
      </c>
      <c r="F420" t="s">
        <v>52</v>
      </c>
      <c r="G420" t="s">
        <v>1494</v>
      </c>
      <c r="H420" t="s">
        <v>22</v>
      </c>
      <c r="I420" t="s">
        <v>38</v>
      </c>
      <c r="J420" t="s">
        <v>1491</v>
      </c>
      <c r="K420" t="s">
        <v>24</v>
      </c>
      <c r="L420" s="4">
        <v>47</v>
      </c>
      <c r="M420" t="s">
        <v>359</v>
      </c>
      <c r="N420" t="s">
        <v>46</v>
      </c>
      <c r="O420" s="4">
        <v>84</v>
      </c>
      <c r="P420">
        <v>0</v>
      </c>
      <c r="Q420" s="4">
        <v>84</v>
      </c>
      <c r="R420" s="12">
        <f t="shared" si="6"/>
        <v>3948</v>
      </c>
      <c r="T420" t="s">
        <v>55</v>
      </c>
      <c r="U420" t="s">
        <v>354</v>
      </c>
      <c r="V420" s="4">
        <v>47</v>
      </c>
      <c r="W420">
        <v>0</v>
      </c>
    </row>
    <row r="421" spans="1:23" hidden="1" x14ac:dyDescent="0.25">
      <c r="A421" s="2">
        <v>46074.436412037037</v>
      </c>
      <c r="B421">
        <v>562</v>
      </c>
      <c r="C421" t="s">
        <v>352</v>
      </c>
      <c r="D421" s="3">
        <v>46074</v>
      </c>
      <c r="E421" s="3">
        <v>46264</v>
      </c>
      <c r="F421" t="s">
        <v>52</v>
      </c>
      <c r="H421" t="s">
        <v>22</v>
      </c>
      <c r="I421" t="s">
        <v>33</v>
      </c>
      <c r="J421" t="s">
        <v>1490</v>
      </c>
      <c r="K421" t="s">
        <v>31</v>
      </c>
      <c r="L421" s="4">
        <v>25</v>
      </c>
      <c r="M421" t="s">
        <v>360</v>
      </c>
      <c r="N421" t="s">
        <v>46</v>
      </c>
      <c r="O421" s="4">
        <v>400</v>
      </c>
      <c r="P421">
        <v>0</v>
      </c>
      <c r="Q421" s="4">
        <v>400</v>
      </c>
      <c r="R421" s="12">
        <f t="shared" si="6"/>
        <v>10000</v>
      </c>
      <c r="T421" t="s">
        <v>55</v>
      </c>
      <c r="U421" t="s">
        <v>354</v>
      </c>
      <c r="V421" s="4">
        <v>25</v>
      </c>
      <c r="W421">
        <v>0</v>
      </c>
    </row>
    <row r="422" spans="1:23" hidden="1" x14ac:dyDescent="0.25">
      <c r="A422" s="2">
        <v>45915.388229166667</v>
      </c>
      <c r="B422">
        <v>4037</v>
      </c>
      <c r="C422" t="s">
        <v>361</v>
      </c>
      <c r="D422" s="3">
        <v>45750</v>
      </c>
      <c r="E422" s="3">
        <v>46142</v>
      </c>
      <c r="F422" t="s">
        <v>362</v>
      </c>
      <c r="G422" t="s">
        <v>1493</v>
      </c>
      <c r="H422" t="s">
        <v>22</v>
      </c>
      <c r="I422" t="s">
        <v>63</v>
      </c>
      <c r="J422" t="s">
        <v>1491</v>
      </c>
      <c r="K422" t="s">
        <v>31</v>
      </c>
      <c r="L422" s="4">
        <v>187</v>
      </c>
      <c r="M422" t="s">
        <v>363</v>
      </c>
      <c r="N422" t="s">
        <v>26</v>
      </c>
      <c r="O422" s="4">
        <v>300</v>
      </c>
      <c r="P422">
        <v>0</v>
      </c>
      <c r="Q422" s="4">
        <v>300</v>
      </c>
      <c r="R422" s="12">
        <f t="shared" si="6"/>
        <v>56100</v>
      </c>
      <c r="T422" t="s">
        <v>364</v>
      </c>
      <c r="U422" t="s">
        <v>365</v>
      </c>
      <c r="V422" s="4">
        <v>187</v>
      </c>
      <c r="W422">
        <v>0</v>
      </c>
    </row>
    <row r="423" spans="1:23" hidden="1" x14ac:dyDescent="0.25">
      <c r="A423" s="2">
        <v>45915.388935185183</v>
      </c>
      <c r="B423">
        <v>4038</v>
      </c>
      <c r="C423" t="s">
        <v>361</v>
      </c>
      <c r="D423" s="3">
        <v>45750</v>
      </c>
      <c r="E423" s="3">
        <v>46142</v>
      </c>
      <c r="F423" t="s">
        <v>362</v>
      </c>
      <c r="G423" t="s">
        <v>1493</v>
      </c>
      <c r="H423" t="s">
        <v>22</v>
      </c>
      <c r="I423" t="s">
        <v>63</v>
      </c>
      <c r="J423" t="s">
        <v>1491</v>
      </c>
      <c r="K423" t="s">
        <v>31</v>
      </c>
      <c r="L423" s="4">
        <v>187</v>
      </c>
      <c r="M423" t="s">
        <v>366</v>
      </c>
      <c r="N423" t="s">
        <v>46</v>
      </c>
      <c r="O423" s="4">
        <v>264</v>
      </c>
      <c r="P423">
        <v>0</v>
      </c>
      <c r="Q423" s="4">
        <v>264</v>
      </c>
      <c r="R423" s="12">
        <f t="shared" si="6"/>
        <v>49368</v>
      </c>
      <c r="T423" t="s">
        <v>364</v>
      </c>
      <c r="U423" t="s">
        <v>365</v>
      </c>
      <c r="V423" s="4">
        <v>187</v>
      </c>
      <c r="W423">
        <v>0</v>
      </c>
    </row>
    <row r="424" spans="1:23" hidden="1" x14ac:dyDescent="0.25">
      <c r="A424" s="2">
        <v>45911.547372685185</v>
      </c>
      <c r="B424">
        <v>4032</v>
      </c>
      <c r="C424" t="s">
        <v>367</v>
      </c>
      <c r="D424" s="3">
        <v>45898</v>
      </c>
      <c r="E424" s="3">
        <v>45961</v>
      </c>
      <c r="F424" t="s">
        <v>21</v>
      </c>
      <c r="G424" t="s">
        <v>1493</v>
      </c>
      <c r="H424" t="s">
        <v>22</v>
      </c>
      <c r="I424" t="s">
        <v>43</v>
      </c>
      <c r="J424" t="s">
        <v>1491</v>
      </c>
      <c r="K424" t="s">
        <v>24</v>
      </c>
      <c r="L424" s="4">
        <v>48</v>
      </c>
      <c r="M424" t="s">
        <v>368</v>
      </c>
      <c r="N424" t="s">
        <v>26</v>
      </c>
      <c r="O424" s="4">
        <v>870</v>
      </c>
      <c r="P424">
        <v>0</v>
      </c>
      <c r="Q424" s="4">
        <v>870</v>
      </c>
      <c r="R424" s="12">
        <f t="shared" si="6"/>
        <v>41760</v>
      </c>
      <c r="T424" t="s">
        <v>151</v>
      </c>
      <c r="U424" t="s">
        <v>369</v>
      </c>
      <c r="V424" s="4">
        <v>48</v>
      </c>
      <c r="W424">
        <v>0</v>
      </c>
    </row>
    <row r="425" spans="1:23" hidden="1" x14ac:dyDescent="0.25">
      <c r="A425" s="2">
        <v>45911.547372685185</v>
      </c>
      <c r="B425">
        <v>4032</v>
      </c>
      <c r="C425" t="s">
        <v>367</v>
      </c>
      <c r="D425" s="3">
        <v>45898</v>
      </c>
      <c r="E425" s="3">
        <v>45961</v>
      </c>
      <c r="F425" t="s">
        <v>21</v>
      </c>
      <c r="G425" t="s">
        <v>1493</v>
      </c>
      <c r="H425" t="s">
        <v>22</v>
      </c>
      <c r="I425" t="s">
        <v>63</v>
      </c>
      <c r="J425" t="s">
        <v>1491</v>
      </c>
      <c r="K425" t="s">
        <v>31</v>
      </c>
      <c r="L425" s="4">
        <v>195</v>
      </c>
      <c r="M425" t="s">
        <v>368</v>
      </c>
      <c r="N425" t="s">
        <v>26</v>
      </c>
      <c r="O425" s="4">
        <v>174</v>
      </c>
      <c r="P425">
        <v>0</v>
      </c>
      <c r="Q425" s="4">
        <v>174</v>
      </c>
      <c r="R425" s="12">
        <f t="shared" si="6"/>
        <v>33930</v>
      </c>
      <c r="T425" t="s">
        <v>151</v>
      </c>
      <c r="U425" t="s">
        <v>369</v>
      </c>
      <c r="V425" s="4">
        <v>195</v>
      </c>
      <c r="W425">
        <v>0</v>
      </c>
    </row>
    <row r="426" spans="1:23" hidden="1" x14ac:dyDescent="0.25">
      <c r="A426" s="2">
        <v>45911.548518518517</v>
      </c>
      <c r="B426">
        <v>4033</v>
      </c>
      <c r="C426" t="s">
        <v>367</v>
      </c>
      <c r="D426" s="3">
        <v>45898</v>
      </c>
      <c r="E426" s="3">
        <v>45961</v>
      </c>
      <c r="F426" t="s">
        <v>21</v>
      </c>
      <c r="G426" t="s">
        <v>1493</v>
      </c>
      <c r="H426" t="s">
        <v>22</v>
      </c>
      <c r="I426" t="s">
        <v>43</v>
      </c>
      <c r="J426" t="s">
        <v>1491</v>
      </c>
      <c r="K426" t="s">
        <v>24</v>
      </c>
      <c r="L426" s="4">
        <v>48</v>
      </c>
      <c r="M426" t="s">
        <v>370</v>
      </c>
      <c r="N426" t="s">
        <v>26</v>
      </c>
      <c r="O426" s="4">
        <v>600</v>
      </c>
      <c r="P426">
        <v>0</v>
      </c>
      <c r="Q426" s="4">
        <v>600</v>
      </c>
      <c r="R426" s="12">
        <f t="shared" si="6"/>
        <v>28800</v>
      </c>
      <c r="T426" t="s">
        <v>371</v>
      </c>
      <c r="U426" t="s">
        <v>369</v>
      </c>
      <c r="V426" s="4">
        <v>48</v>
      </c>
      <c r="W426">
        <v>0</v>
      </c>
    </row>
    <row r="427" spans="1:23" hidden="1" x14ac:dyDescent="0.25">
      <c r="A427" s="2">
        <v>45911.548518518517</v>
      </c>
      <c r="B427">
        <v>4033</v>
      </c>
      <c r="C427" t="s">
        <v>367</v>
      </c>
      <c r="D427" s="3">
        <v>45898</v>
      </c>
      <c r="E427" s="3">
        <v>45961</v>
      </c>
      <c r="F427" t="s">
        <v>21</v>
      </c>
      <c r="G427" t="s">
        <v>1493</v>
      </c>
      <c r="H427" t="s">
        <v>22</v>
      </c>
      <c r="I427" t="s">
        <v>63</v>
      </c>
      <c r="J427" t="s">
        <v>1491</v>
      </c>
      <c r="K427" t="s">
        <v>31</v>
      </c>
      <c r="L427" s="4">
        <v>195</v>
      </c>
      <c r="M427" t="s">
        <v>370</v>
      </c>
      <c r="N427" t="s">
        <v>26</v>
      </c>
      <c r="O427" s="4">
        <v>120</v>
      </c>
      <c r="P427">
        <v>0</v>
      </c>
      <c r="Q427" s="4">
        <v>120</v>
      </c>
      <c r="R427" s="12">
        <f t="shared" si="6"/>
        <v>23400</v>
      </c>
      <c r="T427" t="s">
        <v>371</v>
      </c>
      <c r="U427" t="s">
        <v>369</v>
      </c>
      <c r="V427" s="4">
        <v>195</v>
      </c>
      <c r="W427">
        <v>0</v>
      </c>
    </row>
    <row r="428" spans="1:23" hidden="1" x14ac:dyDescent="0.25">
      <c r="A428" s="2">
        <v>46020.54960648148</v>
      </c>
      <c r="B428">
        <v>4388</v>
      </c>
      <c r="C428" t="s">
        <v>367</v>
      </c>
      <c r="D428" s="3">
        <v>46020</v>
      </c>
      <c r="E428" s="3">
        <v>46111</v>
      </c>
      <c r="F428" t="s">
        <v>21</v>
      </c>
      <c r="G428" t="s">
        <v>1493</v>
      </c>
      <c r="H428" t="s">
        <v>22</v>
      </c>
      <c r="I428" t="s">
        <v>38</v>
      </c>
      <c r="J428" t="s">
        <v>1491</v>
      </c>
      <c r="K428" t="s">
        <v>24</v>
      </c>
      <c r="L428" s="4">
        <v>45</v>
      </c>
      <c r="M428" t="s">
        <v>372</v>
      </c>
      <c r="N428" t="s">
        <v>46</v>
      </c>
      <c r="O428" s="4">
        <v>180</v>
      </c>
      <c r="P428">
        <v>0</v>
      </c>
      <c r="Q428" s="4">
        <v>180</v>
      </c>
      <c r="R428" s="12">
        <f t="shared" si="6"/>
        <v>8100</v>
      </c>
      <c r="T428" t="s">
        <v>151</v>
      </c>
      <c r="U428" t="s">
        <v>369</v>
      </c>
      <c r="V428" s="4">
        <v>45</v>
      </c>
      <c r="W428">
        <v>0</v>
      </c>
    </row>
    <row r="429" spans="1:23" hidden="1" x14ac:dyDescent="0.25">
      <c r="A429" s="2">
        <v>46020.550324074073</v>
      </c>
      <c r="B429">
        <v>4389</v>
      </c>
      <c r="C429" t="s">
        <v>367</v>
      </c>
      <c r="D429" s="3">
        <v>46020</v>
      </c>
      <c r="E429" s="3">
        <v>46111</v>
      </c>
      <c r="F429" t="s">
        <v>21</v>
      </c>
      <c r="G429" t="s">
        <v>1493</v>
      </c>
      <c r="H429" t="s">
        <v>22</v>
      </c>
      <c r="I429" t="s">
        <v>38</v>
      </c>
      <c r="J429" t="s">
        <v>1491</v>
      </c>
      <c r="K429" t="s">
        <v>24</v>
      </c>
      <c r="L429" s="4">
        <v>45</v>
      </c>
      <c r="M429" t="s">
        <v>373</v>
      </c>
      <c r="N429" t="s">
        <v>46</v>
      </c>
      <c r="O429" s="4">
        <v>120</v>
      </c>
      <c r="P429">
        <v>0</v>
      </c>
      <c r="Q429" s="4">
        <v>120</v>
      </c>
      <c r="R429" s="12">
        <f t="shared" si="6"/>
        <v>5400</v>
      </c>
      <c r="T429" t="s">
        <v>371</v>
      </c>
      <c r="U429" t="s">
        <v>369</v>
      </c>
      <c r="V429" s="4">
        <v>45</v>
      </c>
      <c r="W429">
        <v>0</v>
      </c>
    </row>
    <row r="430" spans="1:23" hidden="1" x14ac:dyDescent="0.25">
      <c r="A430" s="2">
        <v>46037.394386574073</v>
      </c>
      <c r="B430">
        <v>4448</v>
      </c>
      <c r="C430" t="s">
        <v>367</v>
      </c>
      <c r="D430" s="3">
        <v>46037</v>
      </c>
      <c r="E430" s="3">
        <v>46111</v>
      </c>
      <c r="F430" t="s">
        <v>21</v>
      </c>
      <c r="G430" t="s">
        <v>1493</v>
      </c>
      <c r="H430" t="s">
        <v>22</v>
      </c>
      <c r="I430" t="s">
        <v>38</v>
      </c>
      <c r="J430" t="s">
        <v>1491</v>
      </c>
      <c r="K430" t="s">
        <v>24</v>
      </c>
      <c r="L430" s="4">
        <v>45</v>
      </c>
      <c r="M430" t="s">
        <v>374</v>
      </c>
      <c r="N430" t="s">
        <v>46</v>
      </c>
      <c r="O430" s="4">
        <v>81</v>
      </c>
      <c r="P430">
        <v>0</v>
      </c>
      <c r="Q430" s="4">
        <v>81</v>
      </c>
      <c r="R430" s="12">
        <f t="shared" si="6"/>
        <v>3645</v>
      </c>
      <c r="T430" t="s">
        <v>371</v>
      </c>
      <c r="U430" t="s">
        <v>369</v>
      </c>
      <c r="V430" s="4">
        <v>45</v>
      </c>
      <c r="W430">
        <v>0</v>
      </c>
    </row>
    <row r="431" spans="1:23" hidden="1" x14ac:dyDescent="0.25">
      <c r="A431" s="2">
        <v>46053.396840277775</v>
      </c>
      <c r="B431">
        <v>4515</v>
      </c>
      <c r="C431" t="s">
        <v>367</v>
      </c>
      <c r="D431" s="3">
        <v>46053</v>
      </c>
      <c r="E431" s="3">
        <v>46082</v>
      </c>
      <c r="F431" t="s">
        <v>21</v>
      </c>
      <c r="H431" t="s">
        <v>22</v>
      </c>
      <c r="I431" t="s">
        <v>32</v>
      </c>
      <c r="J431" t="s">
        <v>1490</v>
      </c>
      <c r="K431" t="s">
        <v>24</v>
      </c>
      <c r="L431" s="4">
        <v>19.5</v>
      </c>
      <c r="M431" t="s">
        <v>375</v>
      </c>
      <c r="N431" t="s">
        <v>46</v>
      </c>
      <c r="O431" s="4">
        <v>160</v>
      </c>
      <c r="P431">
        <v>0</v>
      </c>
      <c r="Q431" s="4">
        <v>160</v>
      </c>
      <c r="R431" s="12">
        <f t="shared" si="6"/>
        <v>3120</v>
      </c>
      <c r="T431" t="s">
        <v>151</v>
      </c>
      <c r="U431" t="s">
        <v>369</v>
      </c>
      <c r="V431" s="4">
        <v>19.5</v>
      </c>
      <c r="W431">
        <v>0</v>
      </c>
    </row>
    <row r="432" spans="1:23" hidden="1" x14ac:dyDescent="0.25">
      <c r="A432" s="2">
        <v>45894.441817129627</v>
      </c>
      <c r="B432">
        <v>3993</v>
      </c>
      <c r="C432" t="s">
        <v>376</v>
      </c>
      <c r="D432" s="3">
        <v>45894</v>
      </c>
      <c r="E432" s="3">
        <v>46111</v>
      </c>
      <c r="F432" t="s">
        <v>79</v>
      </c>
      <c r="H432" t="s">
        <v>22</v>
      </c>
      <c r="I432" t="s">
        <v>377</v>
      </c>
      <c r="K432" t="s">
        <v>24</v>
      </c>
      <c r="L432" s="4">
        <v>35</v>
      </c>
      <c r="M432" t="s">
        <v>378</v>
      </c>
      <c r="N432" t="s">
        <v>26</v>
      </c>
      <c r="O432" s="4">
        <v>25</v>
      </c>
      <c r="P432">
        <v>0</v>
      </c>
      <c r="Q432" s="4">
        <v>25</v>
      </c>
      <c r="R432" s="12">
        <f t="shared" si="6"/>
        <v>875</v>
      </c>
      <c r="T432" t="s">
        <v>27</v>
      </c>
      <c r="U432" t="s">
        <v>379</v>
      </c>
      <c r="V432" s="4">
        <v>35</v>
      </c>
      <c r="W432">
        <v>0</v>
      </c>
    </row>
    <row r="433" spans="1:23" hidden="1" x14ac:dyDescent="0.25">
      <c r="A433" s="2">
        <v>45894.441817129627</v>
      </c>
      <c r="B433">
        <v>3993</v>
      </c>
      <c r="C433" t="s">
        <v>376</v>
      </c>
      <c r="D433" s="3">
        <v>45894</v>
      </c>
      <c r="E433" s="3">
        <v>46111</v>
      </c>
      <c r="F433" t="s">
        <v>79</v>
      </c>
      <c r="H433" t="s">
        <v>22</v>
      </c>
      <c r="I433" t="s">
        <v>380</v>
      </c>
      <c r="K433" t="s">
        <v>24</v>
      </c>
      <c r="L433" s="4">
        <v>18.7805</v>
      </c>
      <c r="M433" t="s">
        <v>378</v>
      </c>
      <c r="N433" t="s">
        <v>26</v>
      </c>
      <c r="O433" s="4">
        <v>40</v>
      </c>
      <c r="P433">
        <v>0</v>
      </c>
      <c r="Q433" s="4">
        <v>40</v>
      </c>
      <c r="R433" s="12">
        <f t="shared" si="6"/>
        <v>751.22</v>
      </c>
      <c r="T433" t="s">
        <v>27</v>
      </c>
      <c r="U433" t="s">
        <v>379</v>
      </c>
      <c r="V433" s="4">
        <v>18.7805</v>
      </c>
      <c r="W433">
        <v>0</v>
      </c>
    </row>
    <row r="434" spans="1:23" hidden="1" x14ac:dyDescent="0.25">
      <c r="A434" s="2">
        <v>45894.441817129627</v>
      </c>
      <c r="B434">
        <v>3993</v>
      </c>
      <c r="C434" t="s">
        <v>376</v>
      </c>
      <c r="D434" s="3">
        <v>45894</v>
      </c>
      <c r="E434" s="3">
        <v>46111</v>
      </c>
      <c r="F434" t="s">
        <v>79</v>
      </c>
      <c r="H434" t="s">
        <v>22</v>
      </c>
      <c r="I434" t="s">
        <v>381</v>
      </c>
      <c r="K434" t="s">
        <v>31</v>
      </c>
      <c r="L434" s="4">
        <v>330</v>
      </c>
      <c r="M434" t="s">
        <v>378</v>
      </c>
      <c r="N434" t="s">
        <v>26</v>
      </c>
      <c r="O434" s="4">
        <v>13</v>
      </c>
      <c r="P434">
        <v>0</v>
      </c>
      <c r="Q434" s="4">
        <v>13</v>
      </c>
      <c r="R434" s="12">
        <f t="shared" si="6"/>
        <v>4290</v>
      </c>
      <c r="T434" t="s">
        <v>27</v>
      </c>
      <c r="U434" t="s">
        <v>379</v>
      </c>
      <c r="V434" s="4">
        <v>330</v>
      </c>
      <c r="W434">
        <v>0</v>
      </c>
    </row>
    <row r="435" spans="1:23" hidden="1" x14ac:dyDescent="0.25">
      <c r="A435" s="2">
        <v>45894.441817129627</v>
      </c>
      <c r="B435">
        <v>3993</v>
      </c>
      <c r="C435" t="s">
        <v>376</v>
      </c>
      <c r="D435" s="3">
        <v>45894</v>
      </c>
      <c r="E435" s="3">
        <v>46111</v>
      </c>
      <c r="F435" t="s">
        <v>79</v>
      </c>
      <c r="H435" t="s">
        <v>22</v>
      </c>
      <c r="I435" t="s">
        <v>120</v>
      </c>
      <c r="K435" t="s">
        <v>24</v>
      </c>
      <c r="L435" s="4">
        <v>11</v>
      </c>
      <c r="M435" t="s">
        <v>378</v>
      </c>
      <c r="N435" t="s">
        <v>26</v>
      </c>
      <c r="O435" s="4">
        <v>250</v>
      </c>
      <c r="P435">
        <v>0</v>
      </c>
      <c r="Q435" s="4">
        <v>250</v>
      </c>
      <c r="R435" s="12">
        <f t="shared" si="6"/>
        <v>2750</v>
      </c>
      <c r="T435" t="s">
        <v>27</v>
      </c>
      <c r="U435" t="s">
        <v>379</v>
      </c>
      <c r="V435" s="4">
        <v>11</v>
      </c>
      <c r="W435">
        <v>0</v>
      </c>
    </row>
    <row r="436" spans="1:23" x14ac:dyDescent="0.25">
      <c r="A436" s="2">
        <v>45887.407488425924</v>
      </c>
      <c r="B436">
        <v>3981</v>
      </c>
      <c r="C436" t="s">
        <v>382</v>
      </c>
      <c r="D436" s="3">
        <v>45884</v>
      </c>
      <c r="E436" s="3">
        <v>46142</v>
      </c>
      <c r="F436" t="s">
        <v>98</v>
      </c>
      <c r="H436" t="s">
        <v>22</v>
      </c>
      <c r="I436" t="s">
        <v>134</v>
      </c>
      <c r="K436" t="s">
        <v>105</v>
      </c>
      <c r="L436" s="4">
        <v>1360</v>
      </c>
      <c r="M436" t="s">
        <v>383</v>
      </c>
      <c r="N436" t="s">
        <v>26</v>
      </c>
      <c r="O436" s="4">
        <v>28</v>
      </c>
      <c r="P436">
        <v>0</v>
      </c>
      <c r="Q436" s="4">
        <v>28</v>
      </c>
      <c r="R436" s="12">
        <f t="shared" si="6"/>
        <v>38080</v>
      </c>
      <c r="T436" t="s">
        <v>151</v>
      </c>
      <c r="U436" t="s">
        <v>384</v>
      </c>
      <c r="V436" s="4">
        <v>1360</v>
      </c>
      <c r="W436">
        <v>0</v>
      </c>
    </row>
    <row r="437" spans="1:23" hidden="1" x14ac:dyDescent="0.25">
      <c r="A437" s="2">
        <v>45771.600960648146</v>
      </c>
      <c r="B437">
        <v>200</v>
      </c>
      <c r="C437" t="s">
        <v>385</v>
      </c>
      <c r="D437" s="3">
        <v>45771</v>
      </c>
      <c r="E437" s="3">
        <v>46142</v>
      </c>
      <c r="F437" t="s">
        <v>66</v>
      </c>
      <c r="H437" t="s">
        <v>22</v>
      </c>
      <c r="I437" t="s">
        <v>134</v>
      </c>
      <c r="K437" t="s">
        <v>105</v>
      </c>
      <c r="L437" s="4">
        <v>1600</v>
      </c>
      <c r="M437" t="s">
        <v>386</v>
      </c>
      <c r="N437" t="s">
        <v>26</v>
      </c>
      <c r="O437" s="4">
        <v>50</v>
      </c>
      <c r="P437">
        <v>0</v>
      </c>
      <c r="Q437" s="4">
        <v>50</v>
      </c>
      <c r="R437" s="12">
        <f t="shared" si="6"/>
        <v>80000</v>
      </c>
      <c r="T437" t="s">
        <v>230</v>
      </c>
      <c r="U437" t="s">
        <v>387</v>
      </c>
      <c r="V437" s="4">
        <v>1600</v>
      </c>
      <c r="W437">
        <v>0</v>
      </c>
    </row>
    <row r="438" spans="1:23" hidden="1" x14ac:dyDescent="0.25">
      <c r="A438" s="2">
        <v>45903.360185185185</v>
      </c>
      <c r="B438">
        <v>4009</v>
      </c>
      <c r="C438" t="s">
        <v>388</v>
      </c>
      <c r="D438" s="3">
        <v>45903</v>
      </c>
      <c r="E438" s="3">
        <v>46142</v>
      </c>
      <c r="F438" t="s">
        <v>103</v>
      </c>
      <c r="H438" t="s">
        <v>22</v>
      </c>
      <c r="I438" t="s">
        <v>32</v>
      </c>
      <c r="J438" t="s">
        <v>1490</v>
      </c>
      <c r="K438" t="s">
        <v>24</v>
      </c>
      <c r="L438" s="4">
        <v>24</v>
      </c>
      <c r="M438" t="s">
        <v>389</v>
      </c>
      <c r="N438" t="s">
        <v>26</v>
      </c>
      <c r="O438" s="4">
        <v>120</v>
      </c>
      <c r="P438">
        <v>0</v>
      </c>
      <c r="Q438" s="4">
        <v>120</v>
      </c>
      <c r="R438" s="12">
        <f t="shared" si="6"/>
        <v>2880</v>
      </c>
      <c r="T438" t="s">
        <v>151</v>
      </c>
      <c r="U438" t="s">
        <v>390</v>
      </c>
      <c r="V438" s="4">
        <v>24</v>
      </c>
      <c r="W438">
        <v>0</v>
      </c>
    </row>
    <row r="439" spans="1:23" hidden="1" x14ac:dyDescent="0.25">
      <c r="A439" s="2">
        <v>45903.360185185185</v>
      </c>
      <c r="B439">
        <v>4009</v>
      </c>
      <c r="C439" t="s">
        <v>388</v>
      </c>
      <c r="D439" s="3">
        <v>45903</v>
      </c>
      <c r="E439" s="3">
        <v>46142</v>
      </c>
      <c r="F439" t="s">
        <v>103</v>
      </c>
      <c r="H439" t="s">
        <v>22</v>
      </c>
      <c r="I439" t="s">
        <v>193</v>
      </c>
      <c r="K439" t="s">
        <v>31</v>
      </c>
      <c r="L439" s="4">
        <v>30</v>
      </c>
      <c r="M439" t="s">
        <v>389</v>
      </c>
      <c r="N439" t="s">
        <v>26</v>
      </c>
      <c r="O439" s="4">
        <v>2100</v>
      </c>
      <c r="P439">
        <v>0</v>
      </c>
      <c r="Q439" s="4">
        <v>2100</v>
      </c>
      <c r="R439" s="12">
        <f t="shared" si="6"/>
        <v>63000</v>
      </c>
      <c r="T439" t="s">
        <v>151</v>
      </c>
      <c r="U439" t="s">
        <v>390</v>
      </c>
      <c r="V439" s="4">
        <v>30</v>
      </c>
      <c r="W439">
        <v>0</v>
      </c>
    </row>
    <row r="440" spans="1:23" hidden="1" x14ac:dyDescent="0.25">
      <c r="A440" s="2">
        <v>45903.360185185185</v>
      </c>
      <c r="B440">
        <v>4009</v>
      </c>
      <c r="C440" t="s">
        <v>388</v>
      </c>
      <c r="D440" s="3">
        <v>45903</v>
      </c>
      <c r="E440" s="3">
        <v>46142</v>
      </c>
      <c r="F440" t="s">
        <v>103</v>
      </c>
      <c r="H440" t="s">
        <v>22</v>
      </c>
      <c r="I440" t="s">
        <v>120</v>
      </c>
      <c r="K440" t="s">
        <v>24</v>
      </c>
      <c r="L440" s="4">
        <v>17</v>
      </c>
      <c r="M440" t="s">
        <v>389</v>
      </c>
      <c r="N440" t="s">
        <v>26</v>
      </c>
      <c r="O440" s="4">
        <v>975</v>
      </c>
      <c r="P440">
        <v>0</v>
      </c>
      <c r="Q440" s="4">
        <v>975</v>
      </c>
      <c r="R440" s="12">
        <f t="shared" si="6"/>
        <v>16575</v>
      </c>
      <c r="T440" t="s">
        <v>151</v>
      </c>
      <c r="U440" t="s">
        <v>390</v>
      </c>
      <c r="V440" s="4">
        <v>17</v>
      </c>
      <c r="W440">
        <v>0</v>
      </c>
    </row>
    <row r="441" spans="1:23" hidden="1" x14ac:dyDescent="0.25">
      <c r="A441" s="2">
        <v>45903.360185185185</v>
      </c>
      <c r="B441">
        <v>4009</v>
      </c>
      <c r="C441" t="s">
        <v>388</v>
      </c>
      <c r="D441" s="3">
        <v>45903</v>
      </c>
      <c r="E441" s="3">
        <v>46142</v>
      </c>
      <c r="F441" t="s">
        <v>103</v>
      </c>
      <c r="H441" t="s">
        <v>22</v>
      </c>
      <c r="I441" t="s">
        <v>96</v>
      </c>
      <c r="K441" t="s">
        <v>24</v>
      </c>
      <c r="L441" s="4">
        <v>78</v>
      </c>
      <c r="M441" t="s">
        <v>389</v>
      </c>
      <c r="N441" t="s">
        <v>26</v>
      </c>
      <c r="O441" s="4">
        <v>90</v>
      </c>
      <c r="P441">
        <v>0</v>
      </c>
      <c r="Q441" s="4">
        <v>90</v>
      </c>
      <c r="R441" s="12">
        <f t="shared" si="6"/>
        <v>7020</v>
      </c>
      <c r="T441" t="s">
        <v>151</v>
      </c>
      <c r="U441" t="s">
        <v>390</v>
      </c>
      <c r="V441" s="4">
        <v>78</v>
      </c>
      <c r="W441">
        <v>0</v>
      </c>
    </row>
    <row r="442" spans="1:23" hidden="1" x14ac:dyDescent="0.25">
      <c r="A442" s="2">
        <v>45903.360185185185</v>
      </c>
      <c r="B442">
        <v>4009</v>
      </c>
      <c r="C442" t="s">
        <v>388</v>
      </c>
      <c r="D442" s="3">
        <v>45903</v>
      </c>
      <c r="E442" s="3">
        <v>46142</v>
      </c>
      <c r="F442" t="s">
        <v>103</v>
      </c>
      <c r="H442" t="s">
        <v>22</v>
      </c>
      <c r="I442" t="s">
        <v>328</v>
      </c>
      <c r="K442" t="s">
        <v>24</v>
      </c>
      <c r="L442" s="4">
        <v>78</v>
      </c>
      <c r="M442" t="s">
        <v>389</v>
      </c>
      <c r="N442" t="s">
        <v>26</v>
      </c>
      <c r="O442" s="4">
        <v>180</v>
      </c>
      <c r="P442">
        <v>0</v>
      </c>
      <c r="Q442" s="4">
        <v>180</v>
      </c>
      <c r="R442" s="12">
        <f t="shared" si="6"/>
        <v>14040</v>
      </c>
      <c r="T442" t="s">
        <v>151</v>
      </c>
      <c r="U442" t="s">
        <v>390</v>
      </c>
      <c r="V442" s="4">
        <v>78</v>
      </c>
      <c r="W442">
        <v>0</v>
      </c>
    </row>
    <row r="443" spans="1:23" hidden="1" x14ac:dyDescent="0.25">
      <c r="A443" s="2">
        <v>45903.360185185185</v>
      </c>
      <c r="B443">
        <v>4009</v>
      </c>
      <c r="C443" t="s">
        <v>388</v>
      </c>
      <c r="D443" s="3">
        <v>45903</v>
      </c>
      <c r="E443" s="3">
        <v>46142</v>
      </c>
      <c r="F443" t="s">
        <v>103</v>
      </c>
      <c r="H443" t="s">
        <v>22</v>
      </c>
      <c r="I443" t="s">
        <v>36</v>
      </c>
      <c r="J443" t="s">
        <v>1490</v>
      </c>
      <c r="K443" t="s">
        <v>24</v>
      </c>
      <c r="L443" s="4">
        <v>78</v>
      </c>
      <c r="M443" t="s">
        <v>389</v>
      </c>
      <c r="N443" t="s">
        <v>26</v>
      </c>
      <c r="O443" s="4">
        <v>20</v>
      </c>
      <c r="P443">
        <v>0</v>
      </c>
      <c r="Q443" s="4">
        <v>20</v>
      </c>
      <c r="R443" s="12">
        <f t="shared" si="6"/>
        <v>1560</v>
      </c>
      <c r="T443" t="s">
        <v>151</v>
      </c>
      <c r="U443" t="s">
        <v>390</v>
      </c>
      <c r="V443" s="4">
        <v>78</v>
      </c>
      <c r="W443">
        <v>0</v>
      </c>
    </row>
    <row r="444" spans="1:23" hidden="1" x14ac:dyDescent="0.25">
      <c r="A444" s="2">
        <v>45903.360185185185</v>
      </c>
      <c r="B444">
        <v>4009</v>
      </c>
      <c r="C444" t="s">
        <v>388</v>
      </c>
      <c r="D444" s="3">
        <v>45903</v>
      </c>
      <c r="E444" s="3">
        <v>46142</v>
      </c>
      <c r="F444" t="s">
        <v>103</v>
      </c>
      <c r="H444" t="s">
        <v>22</v>
      </c>
      <c r="I444" t="s">
        <v>89</v>
      </c>
      <c r="K444" t="s">
        <v>31</v>
      </c>
      <c r="L444" s="4">
        <v>23</v>
      </c>
      <c r="M444" t="s">
        <v>389</v>
      </c>
      <c r="N444" t="s">
        <v>26</v>
      </c>
      <c r="O444" s="4">
        <v>1100</v>
      </c>
      <c r="P444">
        <v>0</v>
      </c>
      <c r="Q444" s="4">
        <v>1100</v>
      </c>
      <c r="R444" s="12">
        <f t="shared" si="6"/>
        <v>25300</v>
      </c>
      <c r="T444" t="s">
        <v>151</v>
      </c>
      <c r="U444" t="s">
        <v>390</v>
      </c>
      <c r="V444" s="4">
        <v>23</v>
      </c>
      <c r="W444">
        <v>0</v>
      </c>
    </row>
    <row r="445" spans="1:23" hidden="1" x14ac:dyDescent="0.25">
      <c r="A445" s="2">
        <v>45903.360185185185</v>
      </c>
      <c r="B445">
        <v>4009</v>
      </c>
      <c r="C445" t="s">
        <v>388</v>
      </c>
      <c r="D445" s="3">
        <v>45903</v>
      </c>
      <c r="E445" s="3">
        <v>46142</v>
      </c>
      <c r="F445" t="s">
        <v>103</v>
      </c>
      <c r="H445" t="s">
        <v>22</v>
      </c>
      <c r="I445" t="s">
        <v>37</v>
      </c>
      <c r="J445" t="s">
        <v>1490</v>
      </c>
      <c r="K445" t="s">
        <v>31</v>
      </c>
      <c r="L445" s="4">
        <v>95</v>
      </c>
      <c r="M445" t="s">
        <v>389</v>
      </c>
      <c r="N445" t="s">
        <v>26</v>
      </c>
      <c r="O445" s="4">
        <v>222</v>
      </c>
      <c r="P445">
        <v>0</v>
      </c>
      <c r="Q445" s="4">
        <v>222</v>
      </c>
      <c r="R445" s="12">
        <f t="shared" si="6"/>
        <v>21090</v>
      </c>
      <c r="T445" t="s">
        <v>151</v>
      </c>
      <c r="U445" t="s">
        <v>390</v>
      </c>
      <c r="V445" s="4">
        <v>95</v>
      </c>
      <c r="W445">
        <v>0</v>
      </c>
    </row>
    <row r="446" spans="1:23" hidden="1" x14ac:dyDescent="0.25">
      <c r="A446" s="2">
        <v>45903.360185185185</v>
      </c>
      <c r="B446">
        <v>4009</v>
      </c>
      <c r="C446" t="s">
        <v>388</v>
      </c>
      <c r="D446" s="3">
        <v>45903</v>
      </c>
      <c r="E446" s="3">
        <v>46142</v>
      </c>
      <c r="F446" t="s">
        <v>103</v>
      </c>
      <c r="H446" t="s">
        <v>22</v>
      </c>
      <c r="I446" t="s">
        <v>35</v>
      </c>
      <c r="J446" t="s">
        <v>1490</v>
      </c>
      <c r="K446" t="s">
        <v>24</v>
      </c>
      <c r="L446" s="4">
        <v>78</v>
      </c>
      <c r="M446" t="s">
        <v>389</v>
      </c>
      <c r="N446" t="s">
        <v>26</v>
      </c>
      <c r="O446" s="4">
        <v>150</v>
      </c>
      <c r="P446">
        <v>0</v>
      </c>
      <c r="Q446" s="4">
        <v>150</v>
      </c>
      <c r="R446" s="12">
        <f t="shared" si="6"/>
        <v>11700</v>
      </c>
      <c r="T446" t="s">
        <v>151</v>
      </c>
      <c r="U446" t="s">
        <v>390</v>
      </c>
      <c r="V446" s="4">
        <v>78</v>
      </c>
      <c r="W446">
        <v>0</v>
      </c>
    </row>
    <row r="447" spans="1:23" hidden="1" x14ac:dyDescent="0.25">
      <c r="A447" s="2">
        <v>45903.360185185185</v>
      </c>
      <c r="B447">
        <v>4009</v>
      </c>
      <c r="C447" t="s">
        <v>388</v>
      </c>
      <c r="D447" s="3">
        <v>45903</v>
      </c>
      <c r="E447" s="3">
        <v>46142</v>
      </c>
      <c r="F447" t="s">
        <v>103</v>
      </c>
      <c r="H447" t="s">
        <v>22</v>
      </c>
      <c r="I447" t="s">
        <v>30</v>
      </c>
      <c r="J447" t="s">
        <v>1490</v>
      </c>
      <c r="K447" t="s">
        <v>31</v>
      </c>
      <c r="L447" s="4">
        <v>30</v>
      </c>
      <c r="M447" t="s">
        <v>389</v>
      </c>
      <c r="N447" t="s">
        <v>26</v>
      </c>
      <c r="O447" s="4">
        <v>100</v>
      </c>
      <c r="P447">
        <v>0</v>
      </c>
      <c r="Q447" s="4">
        <v>100</v>
      </c>
      <c r="R447" s="12">
        <f t="shared" si="6"/>
        <v>3000</v>
      </c>
      <c r="T447" t="s">
        <v>151</v>
      </c>
      <c r="U447" t="s">
        <v>390</v>
      </c>
      <c r="V447" s="4">
        <v>30</v>
      </c>
      <c r="W447">
        <v>0</v>
      </c>
    </row>
    <row r="448" spans="1:23" hidden="1" x14ac:dyDescent="0.25">
      <c r="A448" s="2">
        <v>45903.360185185185</v>
      </c>
      <c r="B448">
        <v>4009</v>
      </c>
      <c r="C448" t="s">
        <v>388</v>
      </c>
      <c r="D448" s="3">
        <v>45903</v>
      </c>
      <c r="E448" s="3">
        <v>46142</v>
      </c>
      <c r="F448" t="s">
        <v>103</v>
      </c>
      <c r="H448" t="s">
        <v>22</v>
      </c>
      <c r="I448" t="s">
        <v>23</v>
      </c>
      <c r="J448" t="s">
        <v>1490</v>
      </c>
      <c r="K448" t="s">
        <v>24</v>
      </c>
      <c r="L448" s="4">
        <v>17</v>
      </c>
      <c r="M448" t="s">
        <v>389</v>
      </c>
      <c r="N448" t="s">
        <v>26</v>
      </c>
      <c r="O448" s="4">
        <v>120</v>
      </c>
      <c r="P448">
        <v>0</v>
      </c>
      <c r="Q448" s="4">
        <v>120</v>
      </c>
      <c r="R448" s="12">
        <f t="shared" si="6"/>
        <v>2040</v>
      </c>
      <c r="T448" t="s">
        <v>151</v>
      </c>
      <c r="U448" t="s">
        <v>390</v>
      </c>
      <c r="V448" s="4">
        <v>17</v>
      </c>
      <c r="W448">
        <v>0</v>
      </c>
    </row>
    <row r="449" spans="1:23" hidden="1" x14ac:dyDescent="0.25">
      <c r="A449" s="2">
        <v>45980.308935185189</v>
      </c>
      <c r="B449">
        <v>4278</v>
      </c>
      <c r="C449" t="s">
        <v>388</v>
      </c>
      <c r="D449" s="3">
        <v>45980</v>
      </c>
      <c r="E449" s="3">
        <v>46142</v>
      </c>
      <c r="F449" t="s">
        <v>103</v>
      </c>
      <c r="H449" t="s">
        <v>22</v>
      </c>
      <c r="I449" t="s">
        <v>177</v>
      </c>
      <c r="J449" t="s">
        <v>1490</v>
      </c>
      <c r="K449" t="s">
        <v>24</v>
      </c>
      <c r="L449" s="4">
        <v>24</v>
      </c>
      <c r="M449" t="s">
        <v>391</v>
      </c>
      <c r="N449" t="s">
        <v>26</v>
      </c>
      <c r="O449" s="4">
        <v>140</v>
      </c>
      <c r="P449">
        <v>0</v>
      </c>
      <c r="Q449" s="4">
        <v>140</v>
      </c>
      <c r="R449" s="12">
        <f t="shared" si="6"/>
        <v>3360</v>
      </c>
      <c r="T449" t="s">
        <v>151</v>
      </c>
      <c r="U449" t="s">
        <v>390</v>
      </c>
      <c r="V449" s="4">
        <v>24</v>
      </c>
      <c r="W449">
        <v>0</v>
      </c>
    </row>
    <row r="450" spans="1:23" hidden="1" x14ac:dyDescent="0.25">
      <c r="A450" s="2">
        <v>46036.41983796296</v>
      </c>
      <c r="B450">
        <v>4445</v>
      </c>
      <c r="C450" t="s">
        <v>388</v>
      </c>
      <c r="D450" s="3">
        <v>46036</v>
      </c>
      <c r="E450" s="3">
        <v>46264</v>
      </c>
      <c r="F450" t="s">
        <v>103</v>
      </c>
      <c r="H450" t="s">
        <v>22</v>
      </c>
      <c r="I450" t="s">
        <v>328</v>
      </c>
      <c r="K450" t="s">
        <v>24</v>
      </c>
      <c r="L450" s="4">
        <v>75</v>
      </c>
      <c r="M450" t="s">
        <v>392</v>
      </c>
      <c r="N450" t="s">
        <v>46</v>
      </c>
      <c r="O450" s="4">
        <v>40</v>
      </c>
      <c r="P450">
        <v>0</v>
      </c>
      <c r="Q450" s="4">
        <v>40</v>
      </c>
      <c r="R450" s="12">
        <f t="shared" si="6"/>
        <v>3000</v>
      </c>
      <c r="T450" t="s">
        <v>151</v>
      </c>
      <c r="U450" t="s">
        <v>390</v>
      </c>
      <c r="V450" s="4">
        <v>75</v>
      </c>
      <c r="W450">
        <v>0</v>
      </c>
    </row>
    <row r="451" spans="1:23" hidden="1" x14ac:dyDescent="0.25">
      <c r="A451" s="2">
        <v>46085.475266203706</v>
      </c>
      <c r="B451">
        <v>4625</v>
      </c>
      <c r="C451" t="s">
        <v>388</v>
      </c>
      <c r="D451" s="3">
        <v>46085</v>
      </c>
      <c r="E451" s="3">
        <v>46264</v>
      </c>
      <c r="F451" t="s">
        <v>103</v>
      </c>
      <c r="H451" t="s">
        <v>22</v>
      </c>
      <c r="I451" t="s">
        <v>36</v>
      </c>
      <c r="J451" t="s">
        <v>1490</v>
      </c>
      <c r="K451" t="s">
        <v>24</v>
      </c>
      <c r="L451" s="4">
        <v>78</v>
      </c>
      <c r="M451" t="s">
        <v>393</v>
      </c>
      <c r="N451" t="s">
        <v>46</v>
      </c>
      <c r="O451" s="4">
        <v>20</v>
      </c>
      <c r="P451">
        <v>0</v>
      </c>
      <c r="Q451" s="4">
        <v>20</v>
      </c>
      <c r="R451" s="12">
        <f t="shared" ref="R451:R514" si="7">Q451*L451</f>
        <v>1560</v>
      </c>
      <c r="T451" t="s">
        <v>151</v>
      </c>
      <c r="U451" t="s">
        <v>390</v>
      </c>
      <c r="V451" s="4">
        <v>78</v>
      </c>
      <c r="W451">
        <v>0</v>
      </c>
    </row>
    <row r="452" spans="1:23" hidden="1" x14ac:dyDescent="0.25">
      <c r="A452" s="2">
        <v>45903.339594907404</v>
      </c>
      <c r="B452">
        <v>4008</v>
      </c>
      <c r="C452" t="s">
        <v>394</v>
      </c>
      <c r="D452" s="3">
        <v>45903</v>
      </c>
      <c r="E452" s="3">
        <v>45903</v>
      </c>
      <c r="F452" t="s">
        <v>79</v>
      </c>
      <c r="H452" t="s">
        <v>22</v>
      </c>
      <c r="I452" t="s">
        <v>80</v>
      </c>
      <c r="K452" t="s">
        <v>31</v>
      </c>
      <c r="L452" s="4">
        <v>33</v>
      </c>
      <c r="M452" t="s">
        <v>395</v>
      </c>
      <c r="N452" t="s">
        <v>26</v>
      </c>
      <c r="O452" s="4">
        <v>105</v>
      </c>
      <c r="P452">
        <v>0</v>
      </c>
      <c r="Q452" s="4">
        <v>105</v>
      </c>
      <c r="R452" s="12">
        <f t="shared" si="7"/>
        <v>3465</v>
      </c>
      <c r="T452" t="s">
        <v>140</v>
      </c>
      <c r="U452" t="s">
        <v>396</v>
      </c>
      <c r="V452" s="4">
        <v>33</v>
      </c>
      <c r="W452">
        <v>0</v>
      </c>
    </row>
    <row r="453" spans="1:23" hidden="1" x14ac:dyDescent="0.25">
      <c r="A453" s="2">
        <v>45897.479375000003</v>
      </c>
      <c r="B453">
        <v>4003</v>
      </c>
      <c r="C453" t="s">
        <v>397</v>
      </c>
      <c r="D453" s="3">
        <v>45897</v>
      </c>
      <c r="E453" s="3">
        <v>45945</v>
      </c>
      <c r="F453" t="s">
        <v>21</v>
      </c>
      <c r="G453" t="s">
        <v>1493</v>
      </c>
      <c r="H453" t="s">
        <v>22</v>
      </c>
      <c r="I453" t="s">
        <v>63</v>
      </c>
      <c r="J453" t="s">
        <v>1491</v>
      </c>
      <c r="K453" t="s">
        <v>31</v>
      </c>
      <c r="L453" s="4">
        <v>185</v>
      </c>
      <c r="M453" t="s">
        <v>398</v>
      </c>
      <c r="N453" t="s">
        <v>26</v>
      </c>
      <c r="O453" s="4">
        <v>710</v>
      </c>
      <c r="P453">
        <v>0</v>
      </c>
      <c r="Q453" s="4">
        <v>710</v>
      </c>
      <c r="R453" s="12">
        <f t="shared" si="7"/>
        <v>131350</v>
      </c>
      <c r="T453" t="s">
        <v>27</v>
      </c>
      <c r="U453" t="s">
        <v>399</v>
      </c>
      <c r="V453" s="4">
        <v>185</v>
      </c>
      <c r="W453">
        <v>0</v>
      </c>
    </row>
    <row r="454" spans="1:23" hidden="1" x14ac:dyDescent="0.25">
      <c r="A454" s="2">
        <v>46056.353506944448</v>
      </c>
      <c r="B454">
        <v>4519</v>
      </c>
      <c r="C454" t="s">
        <v>400</v>
      </c>
      <c r="D454" s="3">
        <v>46053</v>
      </c>
      <c r="E454" s="3">
        <v>46264</v>
      </c>
      <c r="F454" t="s">
        <v>21</v>
      </c>
      <c r="H454" t="s">
        <v>22</v>
      </c>
      <c r="I454" t="s">
        <v>30</v>
      </c>
      <c r="J454" t="s">
        <v>1490</v>
      </c>
      <c r="K454" t="s">
        <v>31</v>
      </c>
      <c r="L454" s="4">
        <v>22.5</v>
      </c>
      <c r="M454" t="s">
        <v>401</v>
      </c>
      <c r="N454" t="s">
        <v>46</v>
      </c>
      <c r="O454" s="4">
        <v>150</v>
      </c>
      <c r="P454">
        <v>0</v>
      </c>
      <c r="Q454" s="4">
        <v>150</v>
      </c>
      <c r="R454" s="12">
        <f t="shared" si="7"/>
        <v>3375</v>
      </c>
      <c r="T454" t="s">
        <v>27</v>
      </c>
      <c r="U454" t="s">
        <v>402</v>
      </c>
      <c r="V454" s="4">
        <v>22.5</v>
      </c>
      <c r="W454">
        <v>0</v>
      </c>
    </row>
    <row r="455" spans="1:23" hidden="1" x14ac:dyDescent="0.25">
      <c r="A455" s="2">
        <v>45916.549409722225</v>
      </c>
      <c r="B455">
        <v>301</v>
      </c>
      <c r="C455" t="s">
        <v>403</v>
      </c>
      <c r="D455" s="3">
        <v>45916</v>
      </c>
      <c r="E455" s="3">
        <v>45925</v>
      </c>
      <c r="F455" t="s">
        <v>66</v>
      </c>
      <c r="H455" t="s">
        <v>22</v>
      </c>
      <c r="I455" t="s">
        <v>134</v>
      </c>
      <c r="K455" t="s">
        <v>105</v>
      </c>
      <c r="L455" s="4">
        <v>1000</v>
      </c>
      <c r="M455" t="s">
        <v>404</v>
      </c>
      <c r="N455" t="s">
        <v>26</v>
      </c>
      <c r="O455" s="4">
        <v>40</v>
      </c>
      <c r="P455">
        <v>0</v>
      </c>
      <c r="Q455" s="4">
        <v>40</v>
      </c>
      <c r="R455" s="12">
        <f t="shared" si="7"/>
        <v>40000</v>
      </c>
      <c r="T455" t="s">
        <v>405</v>
      </c>
      <c r="U455" t="s">
        <v>406</v>
      </c>
      <c r="V455" s="4">
        <v>1000</v>
      </c>
      <c r="W455">
        <v>0</v>
      </c>
    </row>
    <row r="456" spans="1:23" hidden="1" x14ac:dyDescent="0.25">
      <c r="A456" s="2">
        <v>45901.627592592595</v>
      </c>
      <c r="B456">
        <v>4006</v>
      </c>
      <c r="C456" t="s">
        <v>407</v>
      </c>
      <c r="D456" s="3">
        <v>45901</v>
      </c>
      <c r="E456" s="3">
        <v>46111</v>
      </c>
      <c r="F456" t="s">
        <v>52</v>
      </c>
      <c r="H456" t="s">
        <v>22</v>
      </c>
      <c r="I456" t="s">
        <v>53</v>
      </c>
      <c r="K456" t="s">
        <v>24</v>
      </c>
      <c r="L456" s="4">
        <v>148</v>
      </c>
      <c r="M456" t="s">
        <v>408</v>
      </c>
      <c r="N456" t="s">
        <v>26</v>
      </c>
      <c r="O456" s="4">
        <v>5</v>
      </c>
      <c r="P456">
        <v>0</v>
      </c>
      <c r="Q456" s="4">
        <v>5</v>
      </c>
      <c r="R456" s="12">
        <f t="shared" si="7"/>
        <v>740</v>
      </c>
      <c r="T456" t="s">
        <v>151</v>
      </c>
      <c r="U456" t="s">
        <v>409</v>
      </c>
      <c r="V456" s="4">
        <v>148</v>
      </c>
      <c r="W456">
        <v>0</v>
      </c>
    </row>
    <row r="457" spans="1:23" hidden="1" x14ac:dyDescent="0.25">
      <c r="A457" s="2">
        <v>45901.627592592595</v>
      </c>
      <c r="B457">
        <v>4006</v>
      </c>
      <c r="C457" t="s">
        <v>407</v>
      </c>
      <c r="D457" s="3">
        <v>45901</v>
      </c>
      <c r="E457" s="3">
        <v>46111</v>
      </c>
      <c r="F457" t="s">
        <v>52</v>
      </c>
      <c r="H457" t="s">
        <v>22</v>
      </c>
      <c r="I457" t="s">
        <v>328</v>
      </c>
      <c r="K457" t="s">
        <v>24</v>
      </c>
      <c r="L457" s="4">
        <v>78</v>
      </c>
      <c r="M457" t="s">
        <v>408</v>
      </c>
      <c r="N457" t="s">
        <v>26</v>
      </c>
      <c r="O457" s="4">
        <v>5</v>
      </c>
      <c r="P457">
        <v>0</v>
      </c>
      <c r="Q457" s="4">
        <v>5</v>
      </c>
      <c r="R457" s="12">
        <f t="shared" si="7"/>
        <v>390</v>
      </c>
      <c r="T457" t="s">
        <v>151</v>
      </c>
      <c r="U457" t="s">
        <v>409</v>
      </c>
      <c r="V457" s="4">
        <v>78</v>
      </c>
      <c r="W457">
        <v>0</v>
      </c>
    </row>
    <row r="458" spans="1:23" hidden="1" x14ac:dyDescent="0.25">
      <c r="A458" s="2">
        <v>45922.674583333333</v>
      </c>
      <c r="B458">
        <v>4064</v>
      </c>
      <c r="C458" t="s">
        <v>407</v>
      </c>
      <c r="D458" s="3">
        <v>45922</v>
      </c>
      <c r="E458" s="3">
        <v>46142</v>
      </c>
      <c r="F458" t="s">
        <v>52</v>
      </c>
      <c r="H458" t="s">
        <v>22</v>
      </c>
      <c r="I458" t="s">
        <v>193</v>
      </c>
      <c r="K458" t="s">
        <v>31</v>
      </c>
      <c r="L458" s="4">
        <v>35</v>
      </c>
      <c r="M458" t="s">
        <v>410</v>
      </c>
      <c r="N458" t="s">
        <v>26</v>
      </c>
      <c r="O458" s="4">
        <v>80</v>
      </c>
      <c r="P458">
        <v>0</v>
      </c>
      <c r="Q458" s="4">
        <v>80</v>
      </c>
      <c r="R458" s="12">
        <f t="shared" si="7"/>
        <v>2800</v>
      </c>
      <c r="T458" t="s">
        <v>151</v>
      </c>
      <c r="U458" t="s">
        <v>409</v>
      </c>
      <c r="V458" s="4">
        <v>35</v>
      </c>
      <c r="W458">
        <v>0</v>
      </c>
    </row>
    <row r="459" spans="1:23" hidden="1" x14ac:dyDescent="0.25">
      <c r="A459" s="2">
        <v>45922.674583333333</v>
      </c>
      <c r="B459">
        <v>4064</v>
      </c>
      <c r="C459" t="s">
        <v>407</v>
      </c>
      <c r="D459" s="3">
        <v>45922</v>
      </c>
      <c r="E459" s="3">
        <v>46142</v>
      </c>
      <c r="F459" t="s">
        <v>52</v>
      </c>
      <c r="H459" t="s">
        <v>22</v>
      </c>
      <c r="I459" t="s">
        <v>23</v>
      </c>
      <c r="J459" t="s">
        <v>1490</v>
      </c>
      <c r="K459" t="s">
        <v>24</v>
      </c>
      <c r="L459" s="4">
        <v>18</v>
      </c>
      <c r="M459" t="s">
        <v>410</v>
      </c>
      <c r="N459" t="s">
        <v>26</v>
      </c>
      <c r="O459" s="4">
        <v>100</v>
      </c>
      <c r="P459">
        <v>0</v>
      </c>
      <c r="Q459" s="4">
        <v>100</v>
      </c>
      <c r="R459" s="12">
        <f t="shared" si="7"/>
        <v>1800</v>
      </c>
      <c r="T459" t="s">
        <v>151</v>
      </c>
      <c r="U459" t="s">
        <v>409</v>
      </c>
      <c r="V459" s="4">
        <v>18</v>
      </c>
      <c r="W459">
        <v>0</v>
      </c>
    </row>
    <row r="460" spans="1:23" hidden="1" x14ac:dyDescent="0.25">
      <c r="A460" s="2">
        <v>45922.674583333333</v>
      </c>
      <c r="B460">
        <v>4064</v>
      </c>
      <c r="C460" t="s">
        <v>407</v>
      </c>
      <c r="D460" s="3">
        <v>45922</v>
      </c>
      <c r="E460" s="3">
        <v>46142</v>
      </c>
      <c r="F460" t="s">
        <v>52</v>
      </c>
      <c r="H460" t="s">
        <v>22</v>
      </c>
      <c r="I460" t="s">
        <v>29</v>
      </c>
      <c r="J460" t="s">
        <v>1490</v>
      </c>
      <c r="K460" t="s">
        <v>24</v>
      </c>
      <c r="L460" s="4">
        <v>170</v>
      </c>
      <c r="M460" t="s">
        <v>410</v>
      </c>
      <c r="N460" t="s">
        <v>26</v>
      </c>
      <c r="O460" s="4">
        <v>20</v>
      </c>
      <c r="P460">
        <v>0</v>
      </c>
      <c r="Q460" s="4">
        <v>20</v>
      </c>
      <c r="R460" s="12">
        <f t="shared" si="7"/>
        <v>3400</v>
      </c>
      <c r="T460" t="s">
        <v>151</v>
      </c>
      <c r="U460" t="s">
        <v>409</v>
      </c>
      <c r="V460" s="4">
        <v>170</v>
      </c>
      <c r="W460">
        <v>0</v>
      </c>
    </row>
    <row r="461" spans="1:23" hidden="1" x14ac:dyDescent="0.25">
      <c r="A461" s="2">
        <v>45922.674583333333</v>
      </c>
      <c r="B461">
        <v>4064</v>
      </c>
      <c r="C461" t="s">
        <v>407</v>
      </c>
      <c r="D461" s="3">
        <v>45922</v>
      </c>
      <c r="E461" s="3">
        <v>46142</v>
      </c>
      <c r="F461" t="s">
        <v>52</v>
      </c>
      <c r="H461" t="s">
        <v>22</v>
      </c>
      <c r="I461" t="s">
        <v>279</v>
      </c>
      <c r="K461" t="s">
        <v>31</v>
      </c>
      <c r="L461" s="4">
        <v>280</v>
      </c>
      <c r="M461" t="s">
        <v>410</v>
      </c>
      <c r="N461" t="s">
        <v>26</v>
      </c>
      <c r="O461" s="4">
        <v>5</v>
      </c>
      <c r="P461">
        <v>0</v>
      </c>
      <c r="Q461" s="4">
        <v>5</v>
      </c>
      <c r="R461" s="12">
        <f t="shared" si="7"/>
        <v>1400</v>
      </c>
      <c r="T461" t="s">
        <v>151</v>
      </c>
      <c r="U461" t="s">
        <v>409</v>
      </c>
      <c r="V461" s="4">
        <v>280</v>
      </c>
      <c r="W461">
        <v>0</v>
      </c>
    </row>
    <row r="462" spans="1:23" hidden="1" x14ac:dyDescent="0.25">
      <c r="A462" s="2">
        <v>45922.674583333333</v>
      </c>
      <c r="B462">
        <v>4064</v>
      </c>
      <c r="C462" t="s">
        <v>407</v>
      </c>
      <c r="D462" s="3">
        <v>45922</v>
      </c>
      <c r="E462" s="3">
        <v>46142</v>
      </c>
      <c r="F462" t="s">
        <v>52</v>
      </c>
      <c r="H462" t="s">
        <v>22</v>
      </c>
      <c r="I462" t="s">
        <v>36</v>
      </c>
      <c r="J462" t="s">
        <v>1490</v>
      </c>
      <c r="K462" t="s">
        <v>24</v>
      </c>
      <c r="L462" s="4">
        <v>74</v>
      </c>
      <c r="M462" t="s">
        <v>410</v>
      </c>
      <c r="N462" t="s">
        <v>26</v>
      </c>
      <c r="O462" s="4">
        <v>20</v>
      </c>
      <c r="P462">
        <v>0</v>
      </c>
      <c r="Q462" s="4">
        <v>20</v>
      </c>
      <c r="R462" s="12">
        <f t="shared" si="7"/>
        <v>1480</v>
      </c>
      <c r="T462" t="s">
        <v>151</v>
      </c>
      <c r="U462" t="s">
        <v>409</v>
      </c>
      <c r="V462" s="4">
        <v>74</v>
      </c>
      <c r="W462">
        <v>0</v>
      </c>
    </row>
    <row r="463" spans="1:23" x14ac:dyDescent="0.25">
      <c r="A463" s="2">
        <v>45923.458449074074</v>
      </c>
      <c r="B463">
        <v>4070</v>
      </c>
      <c r="C463" t="s">
        <v>411</v>
      </c>
      <c r="D463" s="3">
        <v>45923</v>
      </c>
      <c r="E463" s="3">
        <v>46142</v>
      </c>
      <c r="F463" t="s">
        <v>98</v>
      </c>
      <c r="G463" t="s">
        <v>1493</v>
      </c>
      <c r="H463" t="s">
        <v>22</v>
      </c>
      <c r="I463" t="s">
        <v>101</v>
      </c>
      <c r="J463" t="s">
        <v>1491</v>
      </c>
      <c r="K463" t="s">
        <v>31</v>
      </c>
      <c r="L463" s="4">
        <v>595</v>
      </c>
      <c r="M463" t="s">
        <v>412</v>
      </c>
      <c r="N463" t="s">
        <v>26</v>
      </c>
      <c r="O463" s="4">
        <v>3</v>
      </c>
      <c r="P463">
        <v>0</v>
      </c>
      <c r="Q463" s="4">
        <v>3</v>
      </c>
      <c r="R463" s="12">
        <f t="shared" si="7"/>
        <v>1785</v>
      </c>
      <c r="T463" t="s">
        <v>151</v>
      </c>
      <c r="U463" t="s">
        <v>413</v>
      </c>
      <c r="V463" s="4">
        <v>595</v>
      </c>
      <c r="W463">
        <v>0</v>
      </c>
    </row>
    <row r="464" spans="1:23" x14ac:dyDescent="0.25">
      <c r="A464" s="2">
        <v>45923.458449074074</v>
      </c>
      <c r="B464">
        <v>4070</v>
      </c>
      <c r="C464" t="s">
        <v>411</v>
      </c>
      <c r="D464" s="3">
        <v>45923</v>
      </c>
      <c r="E464" s="3">
        <v>46142</v>
      </c>
      <c r="F464" t="s">
        <v>98</v>
      </c>
      <c r="G464" t="s">
        <v>1493</v>
      </c>
      <c r="H464" t="s">
        <v>22</v>
      </c>
      <c r="I464" t="s">
        <v>44</v>
      </c>
      <c r="J464" t="s">
        <v>1491</v>
      </c>
      <c r="K464" t="s">
        <v>31</v>
      </c>
      <c r="L464" s="4">
        <v>395</v>
      </c>
      <c r="M464" t="s">
        <v>412</v>
      </c>
      <c r="N464" t="s">
        <v>26</v>
      </c>
      <c r="O464" s="4">
        <v>3</v>
      </c>
      <c r="P464">
        <v>0</v>
      </c>
      <c r="Q464" s="4">
        <v>3</v>
      </c>
      <c r="R464" s="12">
        <f t="shared" si="7"/>
        <v>1185</v>
      </c>
      <c r="T464" t="s">
        <v>151</v>
      </c>
      <c r="U464" t="s">
        <v>413</v>
      </c>
      <c r="V464" s="4">
        <v>395</v>
      </c>
      <c r="W464">
        <v>0</v>
      </c>
    </row>
    <row r="465" spans="1:23" x14ac:dyDescent="0.25">
      <c r="A465" s="2">
        <v>45923.458449074074</v>
      </c>
      <c r="B465">
        <v>4070</v>
      </c>
      <c r="C465" t="s">
        <v>411</v>
      </c>
      <c r="D465" s="3">
        <v>45923</v>
      </c>
      <c r="E465" s="3">
        <v>46142</v>
      </c>
      <c r="F465" t="s">
        <v>98</v>
      </c>
      <c r="G465" t="s">
        <v>1493</v>
      </c>
      <c r="H465" t="s">
        <v>22</v>
      </c>
      <c r="I465" t="s">
        <v>43</v>
      </c>
      <c r="J465" t="s">
        <v>1491</v>
      </c>
      <c r="K465" t="s">
        <v>24</v>
      </c>
      <c r="L465" s="4">
        <v>45</v>
      </c>
      <c r="M465" t="s">
        <v>412</v>
      </c>
      <c r="N465" t="s">
        <v>26</v>
      </c>
      <c r="O465" s="4">
        <v>12</v>
      </c>
      <c r="P465">
        <v>0</v>
      </c>
      <c r="Q465" s="4">
        <v>12</v>
      </c>
      <c r="R465" s="12">
        <f t="shared" si="7"/>
        <v>540</v>
      </c>
      <c r="T465" t="s">
        <v>151</v>
      </c>
      <c r="U465" t="s">
        <v>413</v>
      </c>
      <c r="V465" s="4">
        <v>45</v>
      </c>
      <c r="W465">
        <v>0</v>
      </c>
    </row>
    <row r="466" spans="1:23" x14ac:dyDescent="0.25">
      <c r="A466" s="2">
        <v>45923.458449074074</v>
      </c>
      <c r="B466">
        <v>4070</v>
      </c>
      <c r="C466" t="s">
        <v>411</v>
      </c>
      <c r="D466" s="3">
        <v>45923</v>
      </c>
      <c r="E466" s="3">
        <v>46142</v>
      </c>
      <c r="F466" t="s">
        <v>98</v>
      </c>
      <c r="G466" t="s">
        <v>1493</v>
      </c>
      <c r="H466" t="s">
        <v>22</v>
      </c>
      <c r="I466" t="s">
        <v>38</v>
      </c>
      <c r="J466" t="s">
        <v>1491</v>
      </c>
      <c r="K466" t="s">
        <v>24</v>
      </c>
      <c r="L466" s="4">
        <v>46</v>
      </c>
      <c r="M466" t="s">
        <v>412</v>
      </c>
      <c r="N466" t="s">
        <v>26</v>
      </c>
      <c r="O466" s="4">
        <v>6</v>
      </c>
      <c r="P466">
        <v>0</v>
      </c>
      <c r="Q466" s="4">
        <v>6</v>
      </c>
      <c r="R466" s="12">
        <f t="shared" si="7"/>
        <v>276</v>
      </c>
      <c r="T466" t="s">
        <v>151</v>
      </c>
      <c r="U466" t="s">
        <v>413</v>
      </c>
      <c r="V466" s="4">
        <v>46</v>
      </c>
      <c r="W466">
        <v>0</v>
      </c>
    </row>
    <row r="467" spans="1:23" x14ac:dyDescent="0.25">
      <c r="A467" s="2">
        <v>45923.458449074074</v>
      </c>
      <c r="B467">
        <v>4070</v>
      </c>
      <c r="C467" t="s">
        <v>411</v>
      </c>
      <c r="D467" s="3">
        <v>45923</v>
      </c>
      <c r="E467" s="3">
        <v>46142</v>
      </c>
      <c r="F467" t="s">
        <v>98</v>
      </c>
      <c r="G467" t="s">
        <v>1493</v>
      </c>
      <c r="H467" t="s">
        <v>22</v>
      </c>
      <c r="I467" t="s">
        <v>41</v>
      </c>
      <c r="J467" t="s">
        <v>1491</v>
      </c>
      <c r="K467" t="s">
        <v>24</v>
      </c>
      <c r="L467" s="4">
        <v>341</v>
      </c>
      <c r="M467" t="s">
        <v>412</v>
      </c>
      <c r="N467" t="s">
        <v>26</v>
      </c>
      <c r="O467" s="4">
        <v>5</v>
      </c>
      <c r="P467">
        <v>0</v>
      </c>
      <c r="Q467" s="4">
        <v>5</v>
      </c>
      <c r="R467" s="12">
        <f t="shared" si="7"/>
        <v>1705</v>
      </c>
      <c r="T467" t="s">
        <v>151</v>
      </c>
      <c r="U467" t="s">
        <v>413</v>
      </c>
      <c r="V467" s="4">
        <v>341</v>
      </c>
      <c r="W467">
        <v>0</v>
      </c>
    </row>
    <row r="468" spans="1:23" hidden="1" x14ac:dyDescent="0.25">
      <c r="A468" s="2">
        <v>45967.717615740738</v>
      </c>
      <c r="B468">
        <v>4242</v>
      </c>
      <c r="C468" t="s">
        <v>414</v>
      </c>
      <c r="D468" s="3">
        <v>45967</v>
      </c>
      <c r="E468" s="3">
        <v>45967</v>
      </c>
      <c r="F468" t="s">
        <v>79</v>
      </c>
      <c r="H468" t="s">
        <v>22</v>
      </c>
      <c r="I468" t="s">
        <v>80</v>
      </c>
      <c r="K468" t="s">
        <v>31</v>
      </c>
      <c r="L468" s="4">
        <v>43.333333000000003</v>
      </c>
      <c r="M468" t="s">
        <v>415</v>
      </c>
      <c r="N468" t="s">
        <v>26</v>
      </c>
      <c r="O468" s="4">
        <v>15</v>
      </c>
      <c r="P468">
        <v>0</v>
      </c>
      <c r="Q468" s="4">
        <v>15</v>
      </c>
      <c r="R468" s="12">
        <f t="shared" si="7"/>
        <v>649.99999500000001</v>
      </c>
      <c r="T468" t="s">
        <v>218</v>
      </c>
      <c r="U468" t="s">
        <v>416</v>
      </c>
      <c r="V468" s="4">
        <v>43.333333000000003</v>
      </c>
      <c r="W468">
        <v>0</v>
      </c>
    </row>
    <row r="469" spans="1:23" hidden="1" x14ac:dyDescent="0.25">
      <c r="A469" s="2">
        <v>45953.599282407406</v>
      </c>
      <c r="B469">
        <v>379</v>
      </c>
      <c r="C469" t="s">
        <v>417</v>
      </c>
      <c r="D469" s="3">
        <v>45953</v>
      </c>
      <c r="E469" s="3">
        <v>46142</v>
      </c>
      <c r="F469" t="s">
        <v>418</v>
      </c>
      <c r="H469" t="s">
        <v>22</v>
      </c>
      <c r="I469" t="s">
        <v>130</v>
      </c>
      <c r="K469" t="s">
        <v>24</v>
      </c>
      <c r="L469" s="4">
        <v>160</v>
      </c>
      <c r="M469" t="s">
        <v>419</v>
      </c>
      <c r="N469" t="s">
        <v>26</v>
      </c>
      <c r="O469" s="4">
        <v>2</v>
      </c>
      <c r="P469">
        <v>0</v>
      </c>
      <c r="Q469" s="4">
        <v>2</v>
      </c>
      <c r="R469" s="12">
        <f t="shared" si="7"/>
        <v>320</v>
      </c>
      <c r="T469" t="s">
        <v>55</v>
      </c>
      <c r="U469" t="s">
        <v>420</v>
      </c>
      <c r="V469" s="4">
        <v>160</v>
      </c>
      <c r="W469">
        <v>0</v>
      </c>
    </row>
    <row r="470" spans="1:23" hidden="1" x14ac:dyDescent="0.25">
      <c r="A470" s="2">
        <v>45911.346053240741</v>
      </c>
      <c r="B470">
        <v>4024</v>
      </c>
      <c r="C470" t="s">
        <v>421</v>
      </c>
      <c r="D470" s="3">
        <v>45911</v>
      </c>
      <c r="E470" s="3">
        <v>46111</v>
      </c>
      <c r="F470" t="s">
        <v>247</v>
      </c>
      <c r="H470" t="s">
        <v>22</v>
      </c>
      <c r="I470" t="s">
        <v>53</v>
      </c>
      <c r="K470" t="s">
        <v>24</v>
      </c>
      <c r="L470" s="4">
        <v>140</v>
      </c>
      <c r="M470" t="s">
        <v>422</v>
      </c>
      <c r="N470" t="s">
        <v>26</v>
      </c>
      <c r="O470" s="4">
        <v>3</v>
      </c>
      <c r="P470">
        <v>0</v>
      </c>
      <c r="Q470" s="4">
        <v>3</v>
      </c>
      <c r="R470" s="12">
        <f t="shared" si="7"/>
        <v>420</v>
      </c>
      <c r="T470" t="s">
        <v>151</v>
      </c>
      <c r="U470" t="s">
        <v>423</v>
      </c>
      <c r="V470" s="4">
        <v>140</v>
      </c>
      <c r="W470">
        <v>0</v>
      </c>
    </row>
    <row r="471" spans="1:23" hidden="1" x14ac:dyDescent="0.25">
      <c r="A471" s="2">
        <v>45761.337083333332</v>
      </c>
      <c r="B471">
        <v>175</v>
      </c>
      <c r="C471" t="s">
        <v>424</v>
      </c>
      <c r="D471" s="3">
        <v>45761</v>
      </c>
      <c r="E471" s="3">
        <v>46295</v>
      </c>
      <c r="F471" t="s">
        <v>66</v>
      </c>
      <c r="H471" t="s">
        <v>22</v>
      </c>
      <c r="I471" t="s">
        <v>134</v>
      </c>
      <c r="K471" t="s">
        <v>105</v>
      </c>
      <c r="L471" s="4">
        <v>1330</v>
      </c>
      <c r="M471" t="s">
        <v>425</v>
      </c>
      <c r="N471" t="s">
        <v>46</v>
      </c>
      <c r="O471" s="4">
        <v>100</v>
      </c>
      <c r="P471">
        <v>0</v>
      </c>
      <c r="Q471" s="4">
        <v>100</v>
      </c>
      <c r="R471" s="12">
        <f t="shared" si="7"/>
        <v>133000</v>
      </c>
      <c r="T471" t="s">
        <v>68</v>
      </c>
      <c r="U471" t="s">
        <v>426</v>
      </c>
      <c r="V471" s="4">
        <v>1330</v>
      </c>
      <c r="W471">
        <v>0</v>
      </c>
    </row>
    <row r="472" spans="1:23" hidden="1" x14ac:dyDescent="0.25">
      <c r="A472" s="2">
        <v>46020.705428240741</v>
      </c>
      <c r="B472">
        <v>4392</v>
      </c>
      <c r="C472" t="s">
        <v>427</v>
      </c>
      <c r="D472" s="3">
        <v>46020</v>
      </c>
      <c r="E472" s="3">
        <v>46021</v>
      </c>
      <c r="F472" t="s">
        <v>418</v>
      </c>
      <c r="H472" t="s">
        <v>22</v>
      </c>
      <c r="I472" t="s">
        <v>80</v>
      </c>
      <c r="K472" t="s">
        <v>31</v>
      </c>
      <c r="L472" s="4">
        <v>40</v>
      </c>
      <c r="M472" t="s">
        <v>428</v>
      </c>
      <c r="N472" t="s">
        <v>26</v>
      </c>
      <c r="O472" s="4">
        <v>15</v>
      </c>
      <c r="P472">
        <v>0</v>
      </c>
      <c r="Q472" s="4">
        <v>15</v>
      </c>
      <c r="R472" s="12">
        <f t="shared" si="7"/>
        <v>600</v>
      </c>
      <c r="T472" t="s">
        <v>429</v>
      </c>
      <c r="U472" t="s">
        <v>430</v>
      </c>
      <c r="V472" s="4">
        <v>40</v>
      </c>
      <c r="W472">
        <v>0</v>
      </c>
    </row>
    <row r="473" spans="1:23" hidden="1" x14ac:dyDescent="0.25">
      <c r="A473" s="2">
        <v>45915.443599537037</v>
      </c>
      <c r="B473">
        <v>4039</v>
      </c>
      <c r="C473" t="s">
        <v>431</v>
      </c>
      <c r="D473" s="3">
        <v>45915</v>
      </c>
      <c r="E473" s="3">
        <v>46111</v>
      </c>
      <c r="F473" t="s">
        <v>79</v>
      </c>
      <c r="G473" t="s">
        <v>1493</v>
      </c>
      <c r="H473" t="s">
        <v>22</v>
      </c>
      <c r="I473" t="s">
        <v>41</v>
      </c>
      <c r="J473" t="s">
        <v>1491</v>
      </c>
      <c r="K473" t="s">
        <v>24</v>
      </c>
      <c r="L473" s="4">
        <v>325</v>
      </c>
      <c r="M473" t="s">
        <v>432</v>
      </c>
      <c r="N473" t="s">
        <v>26</v>
      </c>
      <c r="O473" s="4">
        <v>90</v>
      </c>
      <c r="P473">
        <v>0</v>
      </c>
      <c r="Q473" s="4">
        <v>90</v>
      </c>
      <c r="R473" s="12">
        <f t="shared" si="7"/>
        <v>29250</v>
      </c>
      <c r="U473" t="s">
        <v>433</v>
      </c>
      <c r="V473" s="4">
        <v>325</v>
      </c>
      <c r="W473">
        <v>0</v>
      </c>
    </row>
    <row r="474" spans="1:23" hidden="1" x14ac:dyDescent="0.25">
      <c r="A474" s="2">
        <v>45974.586909722224</v>
      </c>
      <c r="B474">
        <v>4264</v>
      </c>
      <c r="C474" t="s">
        <v>431</v>
      </c>
      <c r="D474" s="3">
        <v>45974</v>
      </c>
      <c r="E474" s="3">
        <v>46001</v>
      </c>
      <c r="F474" t="s">
        <v>79</v>
      </c>
      <c r="G474" t="s">
        <v>1493</v>
      </c>
      <c r="H474" t="s">
        <v>22</v>
      </c>
      <c r="I474" t="s">
        <v>41</v>
      </c>
      <c r="J474" t="s">
        <v>1491</v>
      </c>
      <c r="K474" t="s">
        <v>24</v>
      </c>
      <c r="L474" s="4">
        <v>325</v>
      </c>
      <c r="M474" t="s">
        <v>434</v>
      </c>
      <c r="N474" t="s">
        <v>26</v>
      </c>
      <c r="O474" s="4">
        <v>140</v>
      </c>
      <c r="P474">
        <v>0</v>
      </c>
      <c r="Q474" s="4">
        <v>140</v>
      </c>
      <c r="R474" s="12">
        <f t="shared" si="7"/>
        <v>45500</v>
      </c>
      <c r="U474" t="s">
        <v>433</v>
      </c>
      <c r="V474" s="4">
        <v>325</v>
      </c>
      <c r="W474">
        <v>0</v>
      </c>
    </row>
    <row r="475" spans="1:23" hidden="1" x14ac:dyDescent="0.25">
      <c r="A475" s="2">
        <v>46000.411099537036</v>
      </c>
      <c r="B475">
        <v>4334</v>
      </c>
      <c r="C475" t="s">
        <v>431</v>
      </c>
      <c r="D475" s="3">
        <v>46000</v>
      </c>
      <c r="E475" s="3">
        <v>46037</v>
      </c>
      <c r="F475" t="s">
        <v>21</v>
      </c>
      <c r="G475" t="s">
        <v>1493</v>
      </c>
      <c r="H475" t="s">
        <v>22</v>
      </c>
      <c r="I475" t="s">
        <v>63</v>
      </c>
      <c r="J475" t="s">
        <v>1491</v>
      </c>
      <c r="K475" t="s">
        <v>31</v>
      </c>
      <c r="L475" s="4">
        <v>178</v>
      </c>
      <c r="M475" t="s">
        <v>435</v>
      </c>
      <c r="N475" t="s">
        <v>46</v>
      </c>
      <c r="O475" s="4">
        <v>80</v>
      </c>
      <c r="P475">
        <v>0</v>
      </c>
      <c r="Q475" s="4">
        <v>80</v>
      </c>
      <c r="R475" s="12">
        <f t="shared" si="7"/>
        <v>14240</v>
      </c>
      <c r="U475" t="s">
        <v>433</v>
      </c>
      <c r="V475" s="4">
        <v>178</v>
      </c>
      <c r="W475">
        <v>0</v>
      </c>
    </row>
    <row r="476" spans="1:23" hidden="1" x14ac:dyDescent="0.25">
      <c r="A476" s="2">
        <v>46010.637777777774</v>
      </c>
      <c r="B476">
        <v>4371</v>
      </c>
      <c r="C476" t="s">
        <v>431</v>
      </c>
      <c r="D476" s="3">
        <v>46010</v>
      </c>
      <c r="E476" s="3">
        <v>46081</v>
      </c>
      <c r="F476" t="s">
        <v>79</v>
      </c>
      <c r="G476" t="s">
        <v>1493</v>
      </c>
      <c r="H476" t="s">
        <v>22</v>
      </c>
      <c r="I476" t="s">
        <v>41</v>
      </c>
      <c r="J476" t="s">
        <v>1491</v>
      </c>
      <c r="K476" t="s">
        <v>24</v>
      </c>
      <c r="L476" s="4">
        <v>325</v>
      </c>
      <c r="M476" t="s">
        <v>436</v>
      </c>
      <c r="N476" t="s">
        <v>46</v>
      </c>
      <c r="O476" s="4">
        <v>45</v>
      </c>
      <c r="P476">
        <v>0</v>
      </c>
      <c r="Q476" s="4">
        <v>45</v>
      </c>
      <c r="R476" s="12">
        <f t="shared" si="7"/>
        <v>14625</v>
      </c>
      <c r="U476" t="s">
        <v>433</v>
      </c>
      <c r="V476" s="4">
        <v>325</v>
      </c>
      <c r="W476">
        <v>0</v>
      </c>
    </row>
    <row r="477" spans="1:23" hidden="1" x14ac:dyDescent="0.25">
      <c r="A477" s="2">
        <v>46041.709097222221</v>
      </c>
      <c r="B477">
        <v>4462</v>
      </c>
      <c r="C477" t="s">
        <v>431</v>
      </c>
      <c r="D477" s="3">
        <v>46041</v>
      </c>
      <c r="E477" s="3">
        <v>46111</v>
      </c>
      <c r="F477" t="s">
        <v>79</v>
      </c>
      <c r="H477" t="s">
        <v>22</v>
      </c>
      <c r="I477" t="s">
        <v>80</v>
      </c>
      <c r="K477" t="s">
        <v>31</v>
      </c>
      <c r="L477" s="4">
        <v>40</v>
      </c>
      <c r="M477" t="s">
        <v>437</v>
      </c>
      <c r="N477" t="s">
        <v>46</v>
      </c>
      <c r="O477" s="4">
        <v>510</v>
      </c>
      <c r="P477">
        <v>0</v>
      </c>
      <c r="Q477" s="4">
        <v>510</v>
      </c>
      <c r="R477" s="12">
        <f t="shared" si="7"/>
        <v>20400</v>
      </c>
      <c r="U477" t="s">
        <v>433</v>
      </c>
      <c r="V477" s="4">
        <v>40</v>
      </c>
      <c r="W477">
        <v>0</v>
      </c>
    </row>
    <row r="478" spans="1:23" hidden="1" x14ac:dyDescent="0.25">
      <c r="A478" s="2">
        <v>46079.668402777781</v>
      </c>
      <c r="B478">
        <v>4612</v>
      </c>
      <c r="C478" t="s">
        <v>438</v>
      </c>
      <c r="D478" s="3">
        <v>46079</v>
      </c>
      <c r="E478" s="3">
        <v>46264</v>
      </c>
      <c r="F478" t="s">
        <v>79</v>
      </c>
      <c r="H478" t="s">
        <v>22</v>
      </c>
      <c r="I478" t="s">
        <v>439</v>
      </c>
      <c r="J478" t="s">
        <v>1490</v>
      </c>
      <c r="K478" t="s">
        <v>31</v>
      </c>
      <c r="L478" s="4">
        <v>28</v>
      </c>
      <c r="M478" t="s">
        <v>440</v>
      </c>
      <c r="N478" t="s">
        <v>46</v>
      </c>
      <c r="O478" s="4">
        <v>1400</v>
      </c>
      <c r="P478">
        <v>0</v>
      </c>
      <c r="Q478" s="4">
        <v>1400</v>
      </c>
      <c r="R478" s="12">
        <f t="shared" si="7"/>
        <v>39200</v>
      </c>
      <c r="T478" t="s">
        <v>68</v>
      </c>
      <c r="U478" t="s">
        <v>441</v>
      </c>
      <c r="V478" s="4">
        <v>28</v>
      </c>
      <c r="W478">
        <v>0</v>
      </c>
    </row>
    <row r="479" spans="1:23" hidden="1" x14ac:dyDescent="0.25">
      <c r="A479" s="2">
        <v>45875.354467592595</v>
      </c>
      <c r="B479">
        <v>261</v>
      </c>
      <c r="C479" t="s">
        <v>438</v>
      </c>
      <c r="D479" s="3">
        <v>45875</v>
      </c>
      <c r="E479" s="3">
        <v>46142</v>
      </c>
      <c r="F479" t="s">
        <v>66</v>
      </c>
      <c r="G479" t="s">
        <v>1494</v>
      </c>
      <c r="H479" t="s">
        <v>22</v>
      </c>
      <c r="I479" t="s">
        <v>101</v>
      </c>
      <c r="J479" t="s">
        <v>1491</v>
      </c>
      <c r="K479" t="s">
        <v>31</v>
      </c>
      <c r="L479" s="4">
        <v>530</v>
      </c>
      <c r="M479" t="s">
        <v>442</v>
      </c>
      <c r="N479" t="s">
        <v>26</v>
      </c>
      <c r="O479" s="4">
        <v>242</v>
      </c>
      <c r="P479">
        <v>0</v>
      </c>
      <c r="Q479" s="4">
        <v>242</v>
      </c>
      <c r="R479" s="12">
        <f t="shared" si="7"/>
        <v>128260</v>
      </c>
      <c r="T479" t="s">
        <v>68</v>
      </c>
      <c r="U479" t="s">
        <v>441</v>
      </c>
      <c r="V479" s="4">
        <v>530</v>
      </c>
      <c r="W479">
        <v>0</v>
      </c>
    </row>
    <row r="480" spans="1:23" hidden="1" x14ac:dyDescent="0.25">
      <c r="A480" s="2">
        <v>45875.354467592595</v>
      </c>
      <c r="B480">
        <v>261</v>
      </c>
      <c r="C480" t="s">
        <v>438</v>
      </c>
      <c r="D480" s="3">
        <v>45875</v>
      </c>
      <c r="E480" s="3">
        <v>46142</v>
      </c>
      <c r="F480" t="s">
        <v>66</v>
      </c>
      <c r="G480" t="s">
        <v>1494</v>
      </c>
      <c r="H480" t="s">
        <v>22</v>
      </c>
      <c r="I480" t="s">
        <v>63</v>
      </c>
      <c r="J480" t="s">
        <v>1491</v>
      </c>
      <c r="K480" t="s">
        <v>31</v>
      </c>
      <c r="L480" s="4">
        <v>175</v>
      </c>
      <c r="M480" t="s">
        <v>442</v>
      </c>
      <c r="N480" t="s">
        <v>26</v>
      </c>
      <c r="O480" s="4">
        <v>588</v>
      </c>
      <c r="P480">
        <v>0</v>
      </c>
      <c r="Q480" s="4">
        <v>588</v>
      </c>
      <c r="R480" s="12">
        <f t="shared" si="7"/>
        <v>102900</v>
      </c>
      <c r="T480" t="s">
        <v>68</v>
      </c>
      <c r="U480" t="s">
        <v>441</v>
      </c>
      <c r="V480" s="4">
        <v>175</v>
      </c>
      <c r="W480">
        <v>0</v>
      </c>
    </row>
    <row r="481" spans="1:23" hidden="1" x14ac:dyDescent="0.25">
      <c r="A481" s="2">
        <v>45875.354467592595</v>
      </c>
      <c r="B481">
        <v>261</v>
      </c>
      <c r="C481" t="s">
        <v>438</v>
      </c>
      <c r="D481" s="3">
        <v>45875</v>
      </c>
      <c r="E481" s="3">
        <v>46142</v>
      </c>
      <c r="F481" t="s">
        <v>66</v>
      </c>
      <c r="G481" t="s">
        <v>1494</v>
      </c>
      <c r="H481" t="s">
        <v>22</v>
      </c>
      <c r="I481" t="s">
        <v>41</v>
      </c>
      <c r="J481" t="s">
        <v>1491</v>
      </c>
      <c r="K481" t="s">
        <v>24</v>
      </c>
      <c r="L481" s="4">
        <v>275</v>
      </c>
      <c r="M481" t="s">
        <v>442</v>
      </c>
      <c r="N481" t="s">
        <v>26</v>
      </c>
      <c r="O481" s="4">
        <v>519</v>
      </c>
      <c r="P481">
        <v>0</v>
      </c>
      <c r="Q481" s="4">
        <v>519</v>
      </c>
      <c r="R481" s="12">
        <f t="shared" si="7"/>
        <v>142725</v>
      </c>
      <c r="T481" t="s">
        <v>68</v>
      </c>
      <c r="U481" t="s">
        <v>441</v>
      </c>
      <c r="V481" s="4">
        <v>275</v>
      </c>
      <c r="W481">
        <v>0</v>
      </c>
    </row>
    <row r="482" spans="1:23" hidden="1" x14ac:dyDescent="0.25">
      <c r="A482" s="2">
        <v>45888.361724537041</v>
      </c>
      <c r="B482">
        <v>268</v>
      </c>
      <c r="C482" t="s">
        <v>438</v>
      </c>
      <c r="D482" s="3">
        <v>45888</v>
      </c>
      <c r="E482" s="3">
        <v>46142</v>
      </c>
      <c r="F482" t="s">
        <v>66</v>
      </c>
      <c r="H482" t="s">
        <v>22</v>
      </c>
      <c r="I482" t="s">
        <v>207</v>
      </c>
      <c r="K482" t="s">
        <v>24</v>
      </c>
      <c r="L482" s="4">
        <v>350</v>
      </c>
      <c r="M482" t="s">
        <v>443</v>
      </c>
      <c r="N482" t="s">
        <v>26</v>
      </c>
      <c r="O482" s="4">
        <v>100</v>
      </c>
      <c r="P482">
        <v>0</v>
      </c>
      <c r="Q482" s="4">
        <v>100</v>
      </c>
      <c r="R482" s="12">
        <f t="shared" si="7"/>
        <v>35000</v>
      </c>
      <c r="T482" t="s">
        <v>68</v>
      </c>
      <c r="U482" t="s">
        <v>441</v>
      </c>
      <c r="V482" s="4">
        <v>350</v>
      </c>
      <c r="W482">
        <v>0</v>
      </c>
    </row>
    <row r="483" spans="1:23" hidden="1" x14ac:dyDescent="0.25">
      <c r="A483" s="2">
        <v>45888.361724537041</v>
      </c>
      <c r="B483">
        <v>268</v>
      </c>
      <c r="C483" t="s">
        <v>438</v>
      </c>
      <c r="D483" s="3">
        <v>45888</v>
      </c>
      <c r="E483" s="3">
        <v>46142</v>
      </c>
      <c r="F483" t="s">
        <v>66</v>
      </c>
      <c r="G483" t="s">
        <v>1494</v>
      </c>
      <c r="H483" t="s">
        <v>22</v>
      </c>
      <c r="I483" t="s">
        <v>38</v>
      </c>
      <c r="J483" t="s">
        <v>1491</v>
      </c>
      <c r="K483" t="s">
        <v>24</v>
      </c>
      <c r="L483" s="4">
        <v>43</v>
      </c>
      <c r="M483" t="s">
        <v>443</v>
      </c>
      <c r="N483" t="s">
        <v>26</v>
      </c>
      <c r="O483" s="4">
        <v>312</v>
      </c>
      <c r="P483">
        <v>0</v>
      </c>
      <c r="Q483" s="4">
        <v>312</v>
      </c>
      <c r="R483" s="12">
        <f t="shared" si="7"/>
        <v>13416</v>
      </c>
      <c r="T483" t="s">
        <v>68</v>
      </c>
      <c r="U483" t="s">
        <v>441</v>
      </c>
      <c r="V483" s="4">
        <v>43</v>
      </c>
      <c r="W483">
        <v>0</v>
      </c>
    </row>
    <row r="484" spans="1:23" hidden="1" x14ac:dyDescent="0.25">
      <c r="A484" s="2">
        <v>45888.361724537041</v>
      </c>
      <c r="B484">
        <v>268</v>
      </c>
      <c r="C484" t="s">
        <v>438</v>
      </c>
      <c r="D484" s="3">
        <v>45888</v>
      </c>
      <c r="E484" s="3">
        <v>46142</v>
      </c>
      <c r="F484" t="s">
        <v>66</v>
      </c>
      <c r="G484" t="s">
        <v>1494</v>
      </c>
      <c r="H484" t="s">
        <v>22</v>
      </c>
      <c r="I484" t="s">
        <v>43</v>
      </c>
      <c r="J484" t="s">
        <v>1491</v>
      </c>
      <c r="K484" t="s">
        <v>24</v>
      </c>
      <c r="L484" s="4">
        <v>36</v>
      </c>
      <c r="M484" t="s">
        <v>443</v>
      </c>
      <c r="N484" t="s">
        <v>26</v>
      </c>
      <c r="O484" s="4">
        <v>921</v>
      </c>
      <c r="P484">
        <v>0</v>
      </c>
      <c r="Q484" s="4">
        <v>921</v>
      </c>
      <c r="R484" s="12">
        <f t="shared" si="7"/>
        <v>33156</v>
      </c>
      <c r="T484" t="s">
        <v>68</v>
      </c>
      <c r="U484" t="s">
        <v>441</v>
      </c>
      <c r="V484" s="4">
        <v>36</v>
      </c>
      <c r="W484">
        <v>0</v>
      </c>
    </row>
    <row r="485" spans="1:23" hidden="1" x14ac:dyDescent="0.25">
      <c r="A485" s="2">
        <v>45909.598680555559</v>
      </c>
      <c r="B485">
        <v>290</v>
      </c>
      <c r="C485" t="s">
        <v>438</v>
      </c>
      <c r="D485" s="3">
        <v>45909</v>
      </c>
      <c r="E485" s="3">
        <v>46142</v>
      </c>
      <c r="F485" t="s">
        <v>66</v>
      </c>
      <c r="G485" t="s">
        <v>1494</v>
      </c>
      <c r="H485" t="s">
        <v>22</v>
      </c>
      <c r="I485" t="s">
        <v>101</v>
      </c>
      <c r="J485" t="s">
        <v>1491</v>
      </c>
      <c r="K485" t="s">
        <v>31</v>
      </c>
      <c r="L485" s="4">
        <v>530</v>
      </c>
      <c r="M485" t="s">
        <v>444</v>
      </c>
      <c r="N485" t="s">
        <v>26</v>
      </c>
      <c r="O485" s="4">
        <v>43</v>
      </c>
      <c r="P485">
        <v>0</v>
      </c>
      <c r="Q485" s="4">
        <v>43</v>
      </c>
      <c r="R485" s="12">
        <f t="shared" si="7"/>
        <v>22790</v>
      </c>
      <c r="T485" t="s">
        <v>68</v>
      </c>
      <c r="U485" t="s">
        <v>441</v>
      </c>
      <c r="V485" s="4">
        <v>530</v>
      </c>
      <c r="W485">
        <v>0</v>
      </c>
    </row>
    <row r="486" spans="1:23" hidden="1" x14ac:dyDescent="0.25">
      <c r="A486" s="2">
        <v>45909.598680555559</v>
      </c>
      <c r="B486">
        <v>290</v>
      </c>
      <c r="C486" t="s">
        <v>438</v>
      </c>
      <c r="D486" s="3">
        <v>45909</v>
      </c>
      <c r="E486" s="3">
        <v>46142</v>
      </c>
      <c r="F486" t="s">
        <v>66</v>
      </c>
      <c r="G486" t="s">
        <v>1494</v>
      </c>
      <c r="H486" t="s">
        <v>22</v>
      </c>
      <c r="I486" t="s">
        <v>41</v>
      </c>
      <c r="J486" t="s">
        <v>1491</v>
      </c>
      <c r="K486" t="s">
        <v>24</v>
      </c>
      <c r="L486" s="4">
        <v>275</v>
      </c>
      <c r="M486" t="s">
        <v>444</v>
      </c>
      <c r="N486" t="s">
        <v>26</v>
      </c>
      <c r="O486" s="4">
        <v>91</v>
      </c>
      <c r="P486">
        <v>0</v>
      </c>
      <c r="Q486" s="4">
        <v>91</v>
      </c>
      <c r="R486" s="12">
        <f t="shared" si="7"/>
        <v>25025</v>
      </c>
      <c r="T486" t="s">
        <v>68</v>
      </c>
      <c r="U486" t="s">
        <v>441</v>
      </c>
      <c r="V486" s="4">
        <v>275</v>
      </c>
      <c r="W486">
        <v>0</v>
      </c>
    </row>
    <row r="487" spans="1:23" hidden="1" x14ac:dyDescent="0.25">
      <c r="A487" s="2">
        <v>45911.315833333334</v>
      </c>
      <c r="B487">
        <v>292</v>
      </c>
      <c r="C487" t="s">
        <v>438</v>
      </c>
      <c r="D487" s="3">
        <v>45911</v>
      </c>
      <c r="E487" s="3">
        <v>46142</v>
      </c>
      <c r="F487" t="s">
        <v>66</v>
      </c>
      <c r="G487" t="s">
        <v>1494</v>
      </c>
      <c r="H487" t="s">
        <v>22</v>
      </c>
      <c r="I487" t="s">
        <v>40</v>
      </c>
      <c r="J487" t="s">
        <v>1491</v>
      </c>
      <c r="K487" t="s">
        <v>24</v>
      </c>
      <c r="L487" s="4">
        <v>285</v>
      </c>
      <c r="M487" t="s">
        <v>445</v>
      </c>
      <c r="N487" t="s">
        <v>26</v>
      </c>
      <c r="O487" s="4">
        <v>5</v>
      </c>
      <c r="P487">
        <v>0</v>
      </c>
      <c r="Q487" s="4">
        <v>5</v>
      </c>
      <c r="R487" s="12">
        <f t="shared" si="7"/>
        <v>1425</v>
      </c>
      <c r="T487" t="s">
        <v>68</v>
      </c>
      <c r="U487" t="s">
        <v>441</v>
      </c>
      <c r="V487" s="4">
        <v>285</v>
      </c>
      <c r="W487">
        <v>0</v>
      </c>
    </row>
    <row r="488" spans="1:23" hidden="1" x14ac:dyDescent="0.25">
      <c r="A488" s="2">
        <v>45911.315833333334</v>
      </c>
      <c r="B488">
        <v>292</v>
      </c>
      <c r="C488" t="s">
        <v>438</v>
      </c>
      <c r="D488" s="3">
        <v>45911</v>
      </c>
      <c r="E488" s="3">
        <v>46142</v>
      </c>
      <c r="F488" t="s">
        <v>66</v>
      </c>
      <c r="G488" t="s">
        <v>1494</v>
      </c>
      <c r="H488" t="s">
        <v>22</v>
      </c>
      <c r="I488" t="s">
        <v>63</v>
      </c>
      <c r="J488" t="s">
        <v>1491</v>
      </c>
      <c r="K488" t="s">
        <v>31</v>
      </c>
      <c r="L488" s="4">
        <v>175</v>
      </c>
      <c r="M488" t="s">
        <v>445</v>
      </c>
      <c r="N488" t="s">
        <v>26</v>
      </c>
      <c r="O488" s="4">
        <v>41</v>
      </c>
      <c r="P488">
        <v>0</v>
      </c>
      <c r="Q488" s="4">
        <v>41</v>
      </c>
      <c r="R488" s="12">
        <f t="shared" si="7"/>
        <v>7175</v>
      </c>
      <c r="T488" t="s">
        <v>68</v>
      </c>
      <c r="U488" t="s">
        <v>441</v>
      </c>
      <c r="V488" s="4">
        <v>175</v>
      </c>
      <c r="W488">
        <v>0</v>
      </c>
    </row>
    <row r="489" spans="1:23" hidden="1" x14ac:dyDescent="0.25">
      <c r="A489" s="2">
        <v>45911.315833333334</v>
      </c>
      <c r="B489">
        <v>292</v>
      </c>
      <c r="C489" t="s">
        <v>438</v>
      </c>
      <c r="D489" s="3">
        <v>45911</v>
      </c>
      <c r="E489" s="3">
        <v>46142</v>
      </c>
      <c r="F489" t="s">
        <v>66</v>
      </c>
      <c r="G489" t="s">
        <v>1494</v>
      </c>
      <c r="H489" t="s">
        <v>22</v>
      </c>
      <c r="I489" t="s">
        <v>41</v>
      </c>
      <c r="J489" t="s">
        <v>1491</v>
      </c>
      <c r="K489" t="s">
        <v>24</v>
      </c>
      <c r="L489" s="4">
        <v>275</v>
      </c>
      <c r="M489" t="s">
        <v>445</v>
      </c>
      <c r="N489" t="s">
        <v>26</v>
      </c>
      <c r="O489" s="4">
        <v>36</v>
      </c>
      <c r="P489">
        <v>0</v>
      </c>
      <c r="Q489" s="4">
        <v>36</v>
      </c>
      <c r="R489" s="12">
        <f t="shared" si="7"/>
        <v>9900</v>
      </c>
      <c r="T489" t="s">
        <v>68</v>
      </c>
      <c r="U489" t="s">
        <v>441</v>
      </c>
      <c r="V489" s="4">
        <v>275</v>
      </c>
      <c r="W489">
        <v>0</v>
      </c>
    </row>
    <row r="490" spans="1:23" hidden="1" x14ac:dyDescent="0.25">
      <c r="A490" s="2">
        <v>45925.480393518519</v>
      </c>
      <c r="B490">
        <v>316</v>
      </c>
      <c r="C490" t="s">
        <v>438</v>
      </c>
      <c r="D490" s="3">
        <v>45925</v>
      </c>
      <c r="E490" s="3">
        <v>46142</v>
      </c>
      <c r="F490" t="s">
        <v>66</v>
      </c>
      <c r="G490" t="s">
        <v>1494</v>
      </c>
      <c r="H490" t="s">
        <v>22</v>
      </c>
      <c r="I490" t="s">
        <v>43</v>
      </c>
      <c r="J490" t="s">
        <v>1491</v>
      </c>
      <c r="K490" t="s">
        <v>24</v>
      </c>
      <c r="L490" s="4">
        <v>36</v>
      </c>
      <c r="M490" t="s">
        <v>446</v>
      </c>
      <c r="N490" t="s">
        <v>26</v>
      </c>
      <c r="O490" s="4">
        <v>24</v>
      </c>
      <c r="P490">
        <v>0</v>
      </c>
      <c r="Q490" s="4">
        <v>24</v>
      </c>
      <c r="R490" s="12">
        <f t="shared" si="7"/>
        <v>864</v>
      </c>
      <c r="T490" t="s">
        <v>68</v>
      </c>
      <c r="U490" t="s">
        <v>441</v>
      </c>
      <c r="V490" s="4">
        <v>36</v>
      </c>
      <c r="W490">
        <v>0</v>
      </c>
    </row>
    <row r="491" spans="1:23" hidden="1" x14ac:dyDescent="0.25">
      <c r="A491" s="2">
        <v>45946.631273148145</v>
      </c>
      <c r="B491">
        <v>359</v>
      </c>
      <c r="C491" t="s">
        <v>438</v>
      </c>
      <c r="D491" s="3">
        <v>45946</v>
      </c>
      <c r="E491" s="3">
        <v>46142</v>
      </c>
      <c r="F491" t="s">
        <v>66</v>
      </c>
      <c r="G491" t="s">
        <v>1494</v>
      </c>
      <c r="H491" t="s">
        <v>22</v>
      </c>
      <c r="I491" t="s">
        <v>43</v>
      </c>
      <c r="J491" t="s">
        <v>1491</v>
      </c>
      <c r="K491" t="s">
        <v>24</v>
      </c>
      <c r="L491" s="4">
        <v>36</v>
      </c>
      <c r="M491" t="s">
        <v>447</v>
      </c>
      <c r="N491" t="s">
        <v>26</v>
      </c>
      <c r="O491" s="4">
        <v>240</v>
      </c>
      <c r="P491">
        <v>0</v>
      </c>
      <c r="Q491" s="4">
        <v>240</v>
      </c>
      <c r="R491" s="12">
        <f t="shared" si="7"/>
        <v>8640</v>
      </c>
      <c r="T491" t="s">
        <v>68</v>
      </c>
      <c r="U491" t="s">
        <v>441</v>
      </c>
      <c r="V491" s="4">
        <v>36</v>
      </c>
      <c r="W491">
        <v>0</v>
      </c>
    </row>
    <row r="492" spans="1:23" hidden="1" x14ac:dyDescent="0.25">
      <c r="A492" s="2">
        <v>46029.312905092593</v>
      </c>
      <c r="B492">
        <v>480</v>
      </c>
      <c r="C492" t="s">
        <v>438</v>
      </c>
      <c r="D492" s="3">
        <v>46029</v>
      </c>
      <c r="E492" s="3">
        <v>46264</v>
      </c>
      <c r="F492" t="s">
        <v>66</v>
      </c>
      <c r="G492" t="s">
        <v>1494</v>
      </c>
      <c r="H492" t="s">
        <v>22</v>
      </c>
      <c r="I492" t="s">
        <v>63</v>
      </c>
      <c r="J492" t="s">
        <v>1491</v>
      </c>
      <c r="K492" t="s">
        <v>31</v>
      </c>
      <c r="L492" s="4">
        <v>175</v>
      </c>
      <c r="M492" t="s">
        <v>448</v>
      </c>
      <c r="N492" t="s">
        <v>46</v>
      </c>
      <c r="O492" s="4">
        <v>124</v>
      </c>
      <c r="P492">
        <v>0</v>
      </c>
      <c r="Q492" s="4">
        <v>124</v>
      </c>
      <c r="R492" s="12">
        <f t="shared" si="7"/>
        <v>21700</v>
      </c>
      <c r="T492" t="s">
        <v>68</v>
      </c>
      <c r="U492" t="s">
        <v>441</v>
      </c>
      <c r="V492" s="4">
        <v>175</v>
      </c>
      <c r="W492">
        <v>0</v>
      </c>
    </row>
    <row r="493" spans="1:23" hidden="1" x14ac:dyDescent="0.25">
      <c r="A493" s="2">
        <v>46029.325856481482</v>
      </c>
      <c r="B493">
        <v>483</v>
      </c>
      <c r="C493" t="s">
        <v>438</v>
      </c>
      <c r="D493" s="3">
        <v>46029</v>
      </c>
      <c r="E493" s="3">
        <v>46264</v>
      </c>
      <c r="F493" t="s">
        <v>324</v>
      </c>
      <c r="H493" t="s">
        <v>22</v>
      </c>
      <c r="I493" t="s">
        <v>207</v>
      </c>
      <c r="K493" t="s">
        <v>24</v>
      </c>
      <c r="L493" s="4">
        <v>350</v>
      </c>
      <c r="M493" t="s">
        <v>449</v>
      </c>
      <c r="N493" t="s">
        <v>46</v>
      </c>
      <c r="O493" s="4">
        <v>15</v>
      </c>
      <c r="P493">
        <v>0</v>
      </c>
      <c r="Q493" s="4">
        <v>15</v>
      </c>
      <c r="R493" s="12">
        <f t="shared" si="7"/>
        <v>5250</v>
      </c>
      <c r="T493" t="s">
        <v>68</v>
      </c>
      <c r="U493" t="s">
        <v>441</v>
      </c>
      <c r="V493" s="4">
        <v>350</v>
      </c>
      <c r="W493">
        <v>0</v>
      </c>
    </row>
    <row r="494" spans="1:23" hidden="1" x14ac:dyDescent="0.25">
      <c r="A494" s="2">
        <v>46031.551921296297</v>
      </c>
      <c r="B494">
        <v>484</v>
      </c>
      <c r="C494" t="s">
        <v>438</v>
      </c>
      <c r="D494" s="3">
        <v>46031</v>
      </c>
      <c r="E494" s="3">
        <v>46264</v>
      </c>
      <c r="F494" t="s">
        <v>66</v>
      </c>
      <c r="G494" t="s">
        <v>1494</v>
      </c>
      <c r="H494" t="s">
        <v>22</v>
      </c>
      <c r="I494" t="s">
        <v>41</v>
      </c>
      <c r="J494" t="s">
        <v>1491</v>
      </c>
      <c r="K494" t="s">
        <v>24</v>
      </c>
      <c r="L494" s="4">
        <v>275</v>
      </c>
      <c r="M494" t="s">
        <v>450</v>
      </c>
      <c r="N494" t="s">
        <v>46</v>
      </c>
      <c r="O494" s="4">
        <v>97</v>
      </c>
      <c r="P494">
        <v>0</v>
      </c>
      <c r="Q494" s="4">
        <v>97</v>
      </c>
      <c r="R494" s="12">
        <f t="shared" si="7"/>
        <v>26675</v>
      </c>
      <c r="T494" t="s">
        <v>68</v>
      </c>
      <c r="U494" t="s">
        <v>441</v>
      </c>
      <c r="V494" s="4">
        <v>275</v>
      </c>
      <c r="W494">
        <v>0</v>
      </c>
    </row>
    <row r="495" spans="1:23" hidden="1" x14ac:dyDescent="0.25">
      <c r="A495" s="2">
        <v>46031.551921296297</v>
      </c>
      <c r="B495">
        <v>484</v>
      </c>
      <c r="C495" t="s">
        <v>438</v>
      </c>
      <c r="D495" s="3">
        <v>46031</v>
      </c>
      <c r="E495" s="3">
        <v>46264</v>
      </c>
      <c r="F495" t="s">
        <v>66</v>
      </c>
      <c r="G495" t="s">
        <v>1494</v>
      </c>
      <c r="H495" t="s">
        <v>22</v>
      </c>
      <c r="I495" t="s">
        <v>101</v>
      </c>
      <c r="J495" t="s">
        <v>1491</v>
      </c>
      <c r="K495" t="s">
        <v>31</v>
      </c>
      <c r="L495" s="4">
        <v>530</v>
      </c>
      <c r="M495" t="s">
        <v>450</v>
      </c>
      <c r="N495" t="s">
        <v>46</v>
      </c>
      <c r="O495" s="4">
        <v>82</v>
      </c>
      <c r="P495">
        <v>0</v>
      </c>
      <c r="Q495" s="4">
        <v>82</v>
      </c>
      <c r="R495" s="12">
        <f t="shared" si="7"/>
        <v>43460</v>
      </c>
      <c r="T495" t="s">
        <v>68</v>
      </c>
      <c r="U495" t="s">
        <v>441</v>
      </c>
      <c r="V495" s="4">
        <v>530</v>
      </c>
      <c r="W495">
        <v>0</v>
      </c>
    </row>
    <row r="496" spans="1:23" hidden="1" x14ac:dyDescent="0.25">
      <c r="A496" s="2">
        <v>46031.551921296297</v>
      </c>
      <c r="B496">
        <v>484</v>
      </c>
      <c r="C496" t="s">
        <v>438</v>
      </c>
      <c r="D496" s="3">
        <v>46031</v>
      </c>
      <c r="E496" s="3">
        <v>46264</v>
      </c>
      <c r="F496" t="s">
        <v>66</v>
      </c>
      <c r="G496" t="s">
        <v>1494</v>
      </c>
      <c r="H496" t="s">
        <v>22</v>
      </c>
      <c r="I496" t="s">
        <v>63</v>
      </c>
      <c r="J496" t="s">
        <v>1491</v>
      </c>
      <c r="K496" t="s">
        <v>31</v>
      </c>
      <c r="L496" s="4">
        <v>175</v>
      </c>
      <c r="M496" t="s">
        <v>450</v>
      </c>
      <c r="N496" t="s">
        <v>46</v>
      </c>
      <c r="O496" s="4">
        <v>130</v>
      </c>
      <c r="P496">
        <v>0</v>
      </c>
      <c r="Q496" s="4">
        <v>130</v>
      </c>
      <c r="R496" s="12">
        <f t="shared" si="7"/>
        <v>22750</v>
      </c>
      <c r="T496" t="s">
        <v>68</v>
      </c>
      <c r="U496" t="s">
        <v>441</v>
      </c>
      <c r="V496" s="4">
        <v>175</v>
      </c>
      <c r="W496">
        <v>0</v>
      </c>
    </row>
    <row r="497" spans="1:23" hidden="1" x14ac:dyDescent="0.25">
      <c r="A497" s="2">
        <v>46031.553726851853</v>
      </c>
      <c r="B497">
        <v>485</v>
      </c>
      <c r="C497" t="s">
        <v>438</v>
      </c>
      <c r="D497" s="3">
        <v>46031</v>
      </c>
      <c r="E497" s="3">
        <v>46264</v>
      </c>
      <c r="F497" t="s">
        <v>66</v>
      </c>
      <c r="G497" t="s">
        <v>1494</v>
      </c>
      <c r="H497" t="s">
        <v>22</v>
      </c>
      <c r="I497" t="s">
        <v>63</v>
      </c>
      <c r="J497" t="s">
        <v>1491</v>
      </c>
      <c r="K497" t="s">
        <v>31</v>
      </c>
      <c r="L497" s="4">
        <v>175</v>
      </c>
      <c r="M497" t="s">
        <v>451</v>
      </c>
      <c r="N497" t="s">
        <v>46</v>
      </c>
      <c r="O497" s="4">
        <v>19</v>
      </c>
      <c r="P497">
        <v>0</v>
      </c>
      <c r="Q497" s="4">
        <v>19</v>
      </c>
      <c r="R497" s="12">
        <f t="shared" si="7"/>
        <v>3325</v>
      </c>
      <c r="T497" t="s">
        <v>68</v>
      </c>
      <c r="U497" t="s">
        <v>441</v>
      </c>
      <c r="V497" s="4">
        <v>175</v>
      </c>
      <c r="W497">
        <v>0</v>
      </c>
    </row>
    <row r="498" spans="1:23" hidden="1" x14ac:dyDescent="0.25">
      <c r="A498" s="2">
        <v>46031.56082175926</v>
      </c>
      <c r="B498">
        <v>488</v>
      </c>
      <c r="C498" t="s">
        <v>438</v>
      </c>
      <c r="D498" s="3">
        <v>46031</v>
      </c>
      <c r="E498" s="3">
        <v>46264</v>
      </c>
      <c r="F498" t="s">
        <v>66</v>
      </c>
      <c r="G498" t="s">
        <v>1494</v>
      </c>
      <c r="H498" t="s">
        <v>22</v>
      </c>
      <c r="I498" t="s">
        <v>38</v>
      </c>
      <c r="J498" t="s">
        <v>1491</v>
      </c>
      <c r="K498" t="s">
        <v>24</v>
      </c>
      <c r="L498" s="4">
        <v>40</v>
      </c>
      <c r="M498" t="s">
        <v>452</v>
      </c>
      <c r="N498" t="s">
        <v>46</v>
      </c>
      <c r="O498" s="4">
        <v>81</v>
      </c>
      <c r="P498">
        <v>0</v>
      </c>
      <c r="Q498" s="4">
        <v>81</v>
      </c>
      <c r="R498" s="12">
        <f t="shared" si="7"/>
        <v>3240</v>
      </c>
      <c r="T498" t="s">
        <v>68</v>
      </c>
      <c r="U498" t="s">
        <v>441</v>
      </c>
      <c r="V498" s="4">
        <v>40</v>
      </c>
      <c r="W498">
        <v>0</v>
      </c>
    </row>
    <row r="499" spans="1:23" hidden="1" x14ac:dyDescent="0.25">
      <c r="A499" s="2">
        <v>46062.608738425923</v>
      </c>
      <c r="B499">
        <v>538</v>
      </c>
      <c r="C499" t="s">
        <v>438</v>
      </c>
      <c r="D499" s="3">
        <v>46062</v>
      </c>
      <c r="E499" s="3">
        <v>46264</v>
      </c>
      <c r="F499" t="s">
        <v>66</v>
      </c>
      <c r="G499" t="s">
        <v>1494</v>
      </c>
      <c r="H499" t="s">
        <v>22</v>
      </c>
      <c r="I499" t="s">
        <v>63</v>
      </c>
      <c r="J499" t="s">
        <v>1491</v>
      </c>
      <c r="K499" t="s">
        <v>31</v>
      </c>
      <c r="L499" s="4">
        <v>175</v>
      </c>
      <c r="M499" t="s">
        <v>453</v>
      </c>
      <c r="N499" t="s">
        <v>46</v>
      </c>
      <c r="O499" s="4">
        <v>9</v>
      </c>
      <c r="P499">
        <v>0</v>
      </c>
      <c r="Q499" s="4">
        <v>9</v>
      </c>
      <c r="R499" s="12">
        <f t="shared" si="7"/>
        <v>1575</v>
      </c>
      <c r="U499" t="s">
        <v>441</v>
      </c>
      <c r="V499" s="4">
        <v>175</v>
      </c>
      <c r="W499">
        <v>0</v>
      </c>
    </row>
    <row r="500" spans="1:23" x14ac:dyDescent="0.25">
      <c r="A500" s="2">
        <v>45918.443912037037</v>
      </c>
      <c r="B500">
        <v>4055</v>
      </c>
      <c r="C500" t="s">
        <v>454</v>
      </c>
      <c r="D500" s="3">
        <v>45917</v>
      </c>
      <c r="E500" s="3">
        <v>46111</v>
      </c>
      <c r="F500" t="s">
        <v>98</v>
      </c>
      <c r="H500" t="s">
        <v>22</v>
      </c>
      <c r="I500" t="s">
        <v>35</v>
      </c>
      <c r="J500" t="s">
        <v>1490</v>
      </c>
      <c r="K500" t="s">
        <v>24</v>
      </c>
      <c r="L500" s="4">
        <v>65</v>
      </c>
      <c r="M500" t="s">
        <v>455</v>
      </c>
      <c r="N500" t="s">
        <v>26</v>
      </c>
      <c r="O500" s="4">
        <v>300</v>
      </c>
      <c r="P500">
        <v>0</v>
      </c>
      <c r="Q500" s="4">
        <v>300</v>
      </c>
      <c r="R500" s="12">
        <f t="shared" si="7"/>
        <v>19500</v>
      </c>
      <c r="U500" t="s">
        <v>456</v>
      </c>
      <c r="V500" s="4">
        <v>65</v>
      </c>
      <c r="W500">
        <v>0</v>
      </c>
    </row>
    <row r="501" spans="1:23" x14ac:dyDescent="0.25">
      <c r="A501" s="2">
        <v>45987.62572916667</v>
      </c>
      <c r="B501">
        <v>4304</v>
      </c>
      <c r="C501" t="s">
        <v>454</v>
      </c>
      <c r="D501" s="3">
        <v>45987</v>
      </c>
      <c r="E501" s="3">
        <v>46111</v>
      </c>
      <c r="F501" t="s">
        <v>98</v>
      </c>
      <c r="H501" t="s">
        <v>22</v>
      </c>
      <c r="I501" t="s">
        <v>35</v>
      </c>
      <c r="J501" t="s">
        <v>1490</v>
      </c>
      <c r="K501" t="s">
        <v>24</v>
      </c>
      <c r="L501" s="4">
        <v>65</v>
      </c>
      <c r="M501" t="s">
        <v>457</v>
      </c>
      <c r="N501" t="s">
        <v>26</v>
      </c>
      <c r="O501" s="4">
        <v>120</v>
      </c>
      <c r="P501">
        <v>0</v>
      </c>
      <c r="Q501" s="4">
        <v>120</v>
      </c>
      <c r="R501" s="12">
        <f t="shared" si="7"/>
        <v>7800</v>
      </c>
      <c r="U501" t="s">
        <v>456</v>
      </c>
      <c r="V501" s="4">
        <v>65</v>
      </c>
      <c r="W501">
        <v>0</v>
      </c>
    </row>
    <row r="502" spans="1:23" hidden="1" x14ac:dyDescent="0.25">
      <c r="A502" s="2">
        <v>45901.655358796299</v>
      </c>
      <c r="B502">
        <v>4007</v>
      </c>
      <c r="C502" t="s">
        <v>458</v>
      </c>
      <c r="D502" s="3">
        <v>45901</v>
      </c>
      <c r="E502" s="3">
        <v>46111</v>
      </c>
      <c r="F502" t="s">
        <v>112</v>
      </c>
      <c r="G502" t="s">
        <v>1493</v>
      </c>
      <c r="H502" t="s">
        <v>22</v>
      </c>
      <c r="I502" t="s">
        <v>63</v>
      </c>
      <c r="J502" t="s">
        <v>1491</v>
      </c>
      <c r="K502" t="s">
        <v>31</v>
      </c>
      <c r="L502" s="4">
        <v>190</v>
      </c>
      <c r="M502" t="s">
        <v>459</v>
      </c>
      <c r="N502" t="s">
        <v>26</v>
      </c>
      <c r="O502" s="4">
        <v>55</v>
      </c>
      <c r="P502">
        <v>0</v>
      </c>
      <c r="Q502" s="4">
        <v>55</v>
      </c>
      <c r="R502" s="12">
        <f t="shared" si="7"/>
        <v>10450</v>
      </c>
      <c r="T502" t="s">
        <v>68</v>
      </c>
      <c r="U502" t="s">
        <v>460</v>
      </c>
      <c r="V502" s="4">
        <v>190</v>
      </c>
      <c r="W502">
        <v>0</v>
      </c>
    </row>
    <row r="503" spans="1:23" hidden="1" x14ac:dyDescent="0.25">
      <c r="A503" s="2">
        <v>45901.655358796299</v>
      </c>
      <c r="B503">
        <v>4007</v>
      </c>
      <c r="C503" t="s">
        <v>458</v>
      </c>
      <c r="D503" s="3">
        <v>45901</v>
      </c>
      <c r="E503" s="3">
        <v>46111</v>
      </c>
      <c r="F503" t="s">
        <v>112</v>
      </c>
      <c r="G503" t="s">
        <v>1493</v>
      </c>
      <c r="H503" t="s">
        <v>22</v>
      </c>
      <c r="I503" t="s">
        <v>38</v>
      </c>
      <c r="J503" t="s">
        <v>1491</v>
      </c>
      <c r="K503" t="s">
        <v>24</v>
      </c>
      <c r="L503" s="4">
        <v>45</v>
      </c>
      <c r="M503" t="s">
        <v>459</v>
      </c>
      <c r="N503" t="s">
        <v>26</v>
      </c>
      <c r="O503" s="4">
        <v>57</v>
      </c>
      <c r="P503">
        <v>0</v>
      </c>
      <c r="Q503" s="4">
        <v>57</v>
      </c>
      <c r="R503" s="12">
        <f t="shared" si="7"/>
        <v>2565</v>
      </c>
      <c r="T503" t="s">
        <v>68</v>
      </c>
      <c r="U503" t="s">
        <v>460</v>
      </c>
      <c r="V503" s="4">
        <v>45</v>
      </c>
      <c r="W503">
        <v>0</v>
      </c>
    </row>
    <row r="504" spans="1:23" hidden="1" x14ac:dyDescent="0.25">
      <c r="A504" s="2">
        <v>45901.655358796299</v>
      </c>
      <c r="B504">
        <v>4007</v>
      </c>
      <c r="C504" t="s">
        <v>458</v>
      </c>
      <c r="D504" s="3">
        <v>45901</v>
      </c>
      <c r="E504" s="3">
        <v>46111</v>
      </c>
      <c r="F504" t="s">
        <v>112</v>
      </c>
      <c r="G504" t="s">
        <v>1493</v>
      </c>
      <c r="H504" t="s">
        <v>22</v>
      </c>
      <c r="I504" t="s">
        <v>40</v>
      </c>
      <c r="J504" t="s">
        <v>1491</v>
      </c>
      <c r="K504" t="s">
        <v>24</v>
      </c>
      <c r="L504" s="4">
        <v>340</v>
      </c>
      <c r="M504" t="s">
        <v>459</v>
      </c>
      <c r="N504" t="s">
        <v>26</v>
      </c>
      <c r="O504" s="4">
        <v>28</v>
      </c>
      <c r="P504">
        <v>0</v>
      </c>
      <c r="Q504" s="4">
        <v>28</v>
      </c>
      <c r="R504" s="12">
        <f t="shared" si="7"/>
        <v>9520</v>
      </c>
      <c r="T504" t="s">
        <v>68</v>
      </c>
      <c r="U504" t="s">
        <v>460</v>
      </c>
      <c r="V504" s="4">
        <v>340</v>
      </c>
      <c r="W504">
        <v>0</v>
      </c>
    </row>
    <row r="505" spans="1:23" hidden="1" x14ac:dyDescent="0.25">
      <c r="A505" s="2">
        <v>45901.655358796299</v>
      </c>
      <c r="B505">
        <v>4007</v>
      </c>
      <c r="C505" t="s">
        <v>458</v>
      </c>
      <c r="D505" s="3">
        <v>45901</v>
      </c>
      <c r="E505" s="3">
        <v>46111</v>
      </c>
      <c r="F505" t="s">
        <v>112</v>
      </c>
      <c r="G505" t="s">
        <v>1493</v>
      </c>
      <c r="H505" t="s">
        <v>22</v>
      </c>
      <c r="I505" t="s">
        <v>41</v>
      </c>
      <c r="J505" t="s">
        <v>1491</v>
      </c>
      <c r="K505" t="s">
        <v>24</v>
      </c>
      <c r="L505" s="4">
        <v>340</v>
      </c>
      <c r="M505" t="s">
        <v>459</v>
      </c>
      <c r="N505" t="s">
        <v>26</v>
      </c>
      <c r="O505" s="4">
        <v>28</v>
      </c>
      <c r="P505">
        <v>0</v>
      </c>
      <c r="Q505" s="4">
        <v>28</v>
      </c>
      <c r="R505" s="12">
        <f t="shared" si="7"/>
        <v>9520</v>
      </c>
      <c r="T505" t="s">
        <v>68</v>
      </c>
      <c r="U505" t="s">
        <v>460</v>
      </c>
      <c r="V505" s="4">
        <v>340</v>
      </c>
      <c r="W505">
        <v>0</v>
      </c>
    </row>
    <row r="506" spans="1:23" hidden="1" x14ac:dyDescent="0.25">
      <c r="A506" s="2">
        <v>45901.655358796299</v>
      </c>
      <c r="B506">
        <v>4007</v>
      </c>
      <c r="C506" t="s">
        <v>458</v>
      </c>
      <c r="D506" s="3">
        <v>45901</v>
      </c>
      <c r="E506" s="3">
        <v>46111</v>
      </c>
      <c r="F506" t="s">
        <v>112</v>
      </c>
      <c r="H506" t="s">
        <v>22</v>
      </c>
      <c r="I506" t="s">
        <v>42</v>
      </c>
      <c r="J506" t="s">
        <v>1490</v>
      </c>
      <c r="K506" t="s">
        <v>24</v>
      </c>
      <c r="L506" s="4">
        <v>240</v>
      </c>
      <c r="M506" t="s">
        <v>459</v>
      </c>
      <c r="N506" t="s">
        <v>26</v>
      </c>
      <c r="O506" s="4">
        <v>55</v>
      </c>
      <c r="P506">
        <v>0</v>
      </c>
      <c r="Q506" s="4">
        <v>55</v>
      </c>
      <c r="R506" s="12">
        <f t="shared" si="7"/>
        <v>13200</v>
      </c>
      <c r="T506" t="s">
        <v>68</v>
      </c>
      <c r="U506" t="s">
        <v>460</v>
      </c>
      <c r="V506" s="4">
        <v>240</v>
      </c>
      <c r="W506">
        <v>0</v>
      </c>
    </row>
    <row r="507" spans="1:23" hidden="1" x14ac:dyDescent="0.25">
      <c r="A507" s="2">
        <v>45901.655358796299</v>
      </c>
      <c r="B507">
        <v>4007</v>
      </c>
      <c r="C507" t="s">
        <v>458</v>
      </c>
      <c r="D507" s="3">
        <v>45901</v>
      </c>
      <c r="E507" s="3">
        <v>46111</v>
      </c>
      <c r="F507" t="s">
        <v>112</v>
      </c>
      <c r="G507" t="s">
        <v>1493</v>
      </c>
      <c r="H507" t="s">
        <v>22</v>
      </c>
      <c r="I507" t="s">
        <v>43</v>
      </c>
      <c r="J507" t="s">
        <v>1491</v>
      </c>
      <c r="K507" t="s">
        <v>24</v>
      </c>
      <c r="L507" s="4">
        <v>42</v>
      </c>
      <c r="M507" t="s">
        <v>459</v>
      </c>
      <c r="N507" t="s">
        <v>26</v>
      </c>
      <c r="O507" s="4">
        <v>111</v>
      </c>
      <c r="P507">
        <v>0</v>
      </c>
      <c r="Q507" s="4">
        <v>111</v>
      </c>
      <c r="R507" s="12">
        <f t="shared" si="7"/>
        <v>4662</v>
      </c>
      <c r="T507" t="s">
        <v>68</v>
      </c>
      <c r="U507" t="s">
        <v>460</v>
      </c>
      <c r="V507" s="4">
        <v>42</v>
      </c>
      <c r="W507">
        <v>0</v>
      </c>
    </row>
    <row r="508" spans="1:23" hidden="1" x14ac:dyDescent="0.25">
      <c r="A508" s="2">
        <v>45911.325196759259</v>
      </c>
      <c r="B508">
        <v>4023</v>
      </c>
      <c r="C508" t="s">
        <v>458</v>
      </c>
      <c r="D508" s="3">
        <v>45911</v>
      </c>
      <c r="E508" s="3">
        <v>46111</v>
      </c>
      <c r="F508" t="s">
        <v>112</v>
      </c>
      <c r="G508" t="s">
        <v>1493</v>
      </c>
      <c r="H508" t="s">
        <v>22</v>
      </c>
      <c r="I508" t="s">
        <v>43</v>
      </c>
      <c r="J508" t="s">
        <v>1491</v>
      </c>
      <c r="K508" t="s">
        <v>24</v>
      </c>
      <c r="L508" s="4">
        <v>42</v>
      </c>
      <c r="M508" t="s">
        <v>461</v>
      </c>
      <c r="N508" t="s">
        <v>26</v>
      </c>
      <c r="O508" s="4">
        <v>60</v>
      </c>
      <c r="P508">
        <v>0</v>
      </c>
      <c r="Q508" s="4">
        <v>60</v>
      </c>
      <c r="R508" s="12">
        <f t="shared" si="7"/>
        <v>2520</v>
      </c>
      <c r="T508" t="s">
        <v>68</v>
      </c>
      <c r="U508" t="s">
        <v>460</v>
      </c>
      <c r="V508" s="4">
        <v>42</v>
      </c>
      <c r="W508">
        <v>0</v>
      </c>
    </row>
    <row r="509" spans="1:23" hidden="1" x14ac:dyDescent="0.25">
      <c r="A509" s="2">
        <v>45918.415405092594</v>
      </c>
      <c r="B509">
        <v>4053</v>
      </c>
      <c r="C509" t="s">
        <v>458</v>
      </c>
      <c r="D509" s="3">
        <v>45918</v>
      </c>
      <c r="E509" s="3">
        <v>46111</v>
      </c>
      <c r="F509" t="s">
        <v>112</v>
      </c>
      <c r="G509" t="s">
        <v>1493</v>
      </c>
      <c r="H509" t="s">
        <v>22</v>
      </c>
      <c r="I509" t="s">
        <v>40</v>
      </c>
      <c r="J509" t="s">
        <v>1491</v>
      </c>
      <c r="K509" t="s">
        <v>24</v>
      </c>
      <c r="L509" s="4">
        <v>340</v>
      </c>
      <c r="M509" t="s">
        <v>462</v>
      </c>
      <c r="N509" t="s">
        <v>26</v>
      </c>
      <c r="O509" s="4">
        <v>20</v>
      </c>
      <c r="P509">
        <v>0</v>
      </c>
      <c r="Q509" s="4">
        <v>20</v>
      </c>
      <c r="R509" s="12">
        <f t="shared" si="7"/>
        <v>6800</v>
      </c>
      <c r="T509" t="s">
        <v>68</v>
      </c>
      <c r="U509" t="s">
        <v>460</v>
      </c>
      <c r="V509" s="4">
        <v>340</v>
      </c>
      <c r="W509">
        <v>0</v>
      </c>
    </row>
    <row r="510" spans="1:23" hidden="1" x14ac:dyDescent="0.25">
      <c r="A510" s="2">
        <v>45918.415405092594</v>
      </c>
      <c r="B510">
        <v>4053</v>
      </c>
      <c r="C510" t="s">
        <v>458</v>
      </c>
      <c r="D510" s="3">
        <v>45918</v>
      </c>
      <c r="E510" s="3">
        <v>46111</v>
      </c>
      <c r="F510" t="s">
        <v>112</v>
      </c>
      <c r="G510" t="s">
        <v>1493</v>
      </c>
      <c r="H510" t="s">
        <v>22</v>
      </c>
      <c r="I510" t="s">
        <v>63</v>
      </c>
      <c r="J510" t="s">
        <v>1491</v>
      </c>
      <c r="K510" t="s">
        <v>31</v>
      </c>
      <c r="L510" s="4">
        <v>190</v>
      </c>
      <c r="M510" t="s">
        <v>462</v>
      </c>
      <c r="N510" t="s">
        <v>26</v>
      </c>
      <c r="O510" s="4">
        <v>40</v>
      </c>
      <c r="P510">
        <v>0</v>
      </c>
      <c r="Q510" s="4">
        <v>40</v>
      </c>
      <c r="R510" s="12">
        <f t="shared" si="7"/>
        <v>7600</v>
      </c>
      <c r="T510" t="s">
        <v>68</v>
      </c>
      <c r="U510" t="s">
        <v>460</v>
      </c>
      <c r="V510" s="4">
        <v>190</v>
      </c>
      <c r="W510">
        <v>0</v>
      </c>
    </row>
    <row r="511" spans="1:23" hidden="1" x14ac:dyDescent="0.25">
      <c r="A511" s="2">
        <v>45918.415405092594</v>
      </c>
      <c r="B511">
        <v>4053</v>
      </c>
      <c r="C511" t="s">
        <v>458</v>
      </c>
      <c r="D511" s="3">
        <v>45918</v>
      </c>
      <c r="E511" s="3">
        <v>46111</v>
      </c>
      <c r="F511" t="s">
        <v>112</v>
      </c>
      <c r="G511" t="s">
        <v>1493</v>
      </c>
      <c r="H511" t="s">
        <v>22</v>
      </c>
      <c r="I511" t="s">
        <v>41</v>
      </c>
      <c r="J511" t="s">
        <v>1491</v>
      </c>
      <c r="K511" t="s">
        <v>24</v>
      </c>
      <c r="L511" s="4">
        <v>340</v>
      </c>
      <c r="M511" t="s">
        <v>462</v>
      </c>
      <c r="N511" t="s">
        <v>26</v>
      </c>
      <c r="O511" s="4">
        <v>20</v>
      </c>
      <c r="P511">
        <v>0</v>
      </c>
      <c r="Q511" s="4">
        <v>20</v>
      </c>
      <c r="R511" s="12">
        <f t="shared" si="7"/>
        <v>6800</v>
      </c>
      <c r="T511" t="s">
        <v>68</v>
      </c>
      <c r="U511" t="s">
        <v>460</v>
      </c>
      <c r="V511" s="4">
        <v>340</v>
      </c>
      <c r="W511">
        <v>0</v>
      </c>
    </row>
    <row r="512" spans="1:23" hidden="1" x14ac:dyDescent="0.25">
      <c r="A512" s="2">
        <v>45918.415405092594</v>
      </c>
      <c r="B512">
        <v>4053</v>
      </c>
      <c r="C512" t="s">
        <v>458</v>
      </c>
      <c r="D512" s="3">
        <v>45918</v>
      </c>
      <c r="E512" s="3">
        <v>46111</v>
      </c>
      <c r="F512" t="s">
        <v>112</v>
      </c>
      <c r="G512" t="s">
        <v>1493</v>
      </c>
      <c r="H512" t="s">
        <v>22</v>
      </c>
      <c r="I512" t="s">
        <v>38</v>
      </c>
      <c r="J512" t="s">
        <v>1491</v>
      </c>
      <c r="K512" t="s">
        <v>24</v>
      </c>
      <c r="L512" s="4">
        <v>45</v>
      </c>
      <c r="M512" t="s">
        <v>462</v>
      </c>
      <c r="N512" t="s">
        <v>26</v>
      </c>
      <c r="O512" s="4">
        <v>42</v>
      </c>
      <c r="P512">
        <v>0</v>
      </c>
      <c r="Q512" s="4">
        <v>42</v>
      </c>
      <c r="R512" s="12">
        <f t="shared" si="7"/>
        <v>1890</v>
      </c>
      <c r="T512" t="s">
        <v>68</v>
      </c>
      <c r="U512" t="s">
        <v>460</v>
      </c>
      <c r="V512" s="4">
        <v>45</v>
      </c>
      <c r="W512">
        <v>0</v>
      </c>
    </row>
    <row r="513" spans="1:23" hidden="1" x14ac:dyDescent="0.25">
      <c r="A513" s="2">
        <v>45918.415405092594</v>
      </c>
      <c r="B513">
        <v>4053</v>
      </c>
      <c r="C513" t="s">
        <v>458</v>
      </c>
      <c r="D513" s="3">
        <v>45918</v>
      </c>
      <c r="E513" s="3">
        <v>46111</v>
      </c>
      <c r="F513" t="s">
        <v>112</v>
      </c>
      <c r="G513" t="s">
        <v>1493</v>
      </c>
      <c r="H513" t="s">
        <v>22</v>
      </c>
      <c r="I513" t="s">
        <v>43</v>
      </c>
      <c r="J513" t="s">
        <v>1491</v>
      </c>
      <c r="K513" t="s">
        <v>24</v>
      </c>
      <c r="L513" s="4">
        <v>42</v>
      </c>
      <c r="M513" t="s">
        <v>462</v>
      </c>
      <c r="N513" t="s">
        <v>26</v>
      </c>
      <c r="O513" s="4">
        <v>96</v>
      </c>
      <c r="P513">
        <v>0</v>
      </c>
      <c r="Q513" s="4">
        <v>96</v>
      </c>
      <c r="R513" s="12">
        <f t="shared" si="7"/>
        <v>4032</v>
      </c>
      <c r="T513" t="s">
        <v>68</v>
      </c>
      <c r="U513" t="s">
        <v>460</v>
      </c>
      <c r="V513" s="4">
        <v>42</v>
      </c>
      <c r="W513">
        <v>0</v>
      </c>
    </row>
    <row r="514" spans="1:23" hidden="1" x14ac:dyDescent="0.25">
      <c r="A514" s="2">
        <v>45918.415405092594</v>
      </c>
      <c r="B514">
        <v>4053</v>
      </c>
      <c r="C514" t="s">
        <v>458</v>
      </c>
      <c r="D514" s="3">
        <v>45918</v>
      </c>
      <c r="E514" s="3">
        <v>46111</v>
      </c>
      <c r="F514" t="s">
        <v>112</v>
      </c>
      <c r="H514" t="s">
        <v>22</v>
      </c>
      <c r="I514" t="s">
        <v>42</v>
      </c>
      <c r="J514" t="s">
        <v>1490</v>
      </c>
      <c r="K514" t="s">
        <v>24</v>
      </c>
      <c r="L514" s="4">
        <v>240</v>
      </c>
      <c r="M514" t="s">
        <v>462</v>
      </c>
      <c r="N514" t="s">
        <v>26</v>
      </c>
      <c r="O514" s="4">
        <v>40</v>
      </c>
      <c r="P514">
        <v>0</v>
      </c>
      <c r="Q514" s="4">
        <v>40</v>
      </c>
      <c r="R514" s="12">
        <f t="shared" si="7"/>
        <v>9600</v>
      </c>
      <c r="T514" t="s">
        <v>68</v>
      </c>
      <c r="U514" t="s">
        <v>460</v>
      </c>
      <c r="V514" s="4">
        <v>240</v>
      </c>
      <c r="W514">
        <v>0</v>
      </c>
    </row>
    <row r="515" spans="1:23" hidden="1" x14ac:dyDescent="0.25">
      <c r="A515" s="2">
        <v>45992.349768518521</v>
      </c>
      <c r="B515">
        <v>4312</v>
      </c>
      <c r="C515" t="s">
        <v>458</v>
      </c>
      <c r="D515" s="3">
        <v>45992</v>
      </c>
      <c r="E515" s="3">
        <v>46111</v>
      </c>
      <c r="F515" t="s">
        <v>112</v>
      </c>
      <c r="H515" t="s">
        <v>22</v>
      </c>
      <c r="I515" t="s">
        <v>176</v>
      </c>
      <c r="K515" t="s">
        <v>24</v>
      </c>
      <c r="L515" s="4">
        <v>35</v>
      </c>
      <c r="M515" t="s">
        <v>463</v>
      </c>
      <c r="N515" t="s">
        <v>26</v>
      </c>
      <c r="O515" s="4">
        <v>200</v>
      </c>
      <c r="P515">
        <v>0</v>
      </c>
      <c r="Q515" s="4">
        <v>200</v>
      </c>
      <c r="R515" s="12">
        <f t="shared" ref="R515:R578" si="8">Q515*L515</f>
        <v>7000</v>
      </c>
      <c r="T515" t="s">
        <v>68</v>
      </c>
      <c r="U515" t="s">
        <v>460</v>
      </c>
      <c r="V515" s="4">
        <v>35</v>
      </c>
      <c r="W515">
        <v>0</v>
      </c>
    </row>
    <row r="516" spans="1:23" hidden="1" x14ac:dyDescent="0.25">
      <c r="A516" s="2">
        <v>46024.381689814814</v>
      </c>
      <c r="B516">
        <v>4401</v>
      </c>
      <c r="C516" t="s">
        <v>458</v>
      </c>
      <c r="D516" s="3">
        <v>46024</v>
      </c>
      <c r="E516" s="3">
        <v>46264</v>
      </c>
      <c r="F516" t="s">
        <v>112</v>
      </c>
      <c r="G516" t="s">
        <v>1493</v>
      </c>
      <c r="H516" t="s">
        <v>22</v>
      </c>
      <c r="I516" t="s">
        <v>41</v>
      </c>
      <c r="J516" t="s">
        <v>1491</v>
      </c>
      <c r="K516" t="s">
        <v>24</v>
      </c>
      <c r="L516" s="4">
        <v>340</v>
      </c>
      <c r="M516" t="s">
        <v>464</v>
      </c>
      <c r="N516" t="s">
        <v>46</v>
      </c>
      <c r="O516" s="4">
        <v>27</v>
      </c>
      <c r="P516">
        <v>0</v>
      </c>
      <c r="Q516" s="4">
        <v>27</v>
      </c>
      <c r="R516" s="12">
        <f t="shared" si="8"/>
        <v>9180</v>
      </c>
      <c r="T516" t="s">
        <v>68</v>
      </c>
      <c r="U516" t="s">
        <v>460</v>
      </c>
      <c r="V516" s="4">
        <v>340</v>
      </c>
      <c r="W516">
        <v>0</v>
      </c>
    </row>
    <row r="517" spans="1:23" hidden="1" x14ac:dyDescent="0.25">
      <c r="A517" s="2">
        <v>46024.381689814814</v>
      </c>
      <c r="B517">
        <v>4401</v>
      </c>
      <c r="C517" t="s">
        <v>458</v>
      </c>
      <c r="D517" s="3">
        <v>46024</v>
      </c>
      <c r="E517" s="3">
        <v>46264</v>
      </c>
      <c r="F517" t="s">
        <v>112</v>
      </c>
      <c r="G517" t="s">
        <v>1493</v>
      </c>
      <c r="H517" t="s">
        <v>22</v>
      </c>
      <c r="I517" t="s">
        <v>40</v>
      </c>
      <c r="J517" t="s">
        <v>1491</v>
      </c>
      <c r="K517" t="s">
        <v>24</v>
      </c>
      <c r="L517" s="4">
        <v>340</v>
      </c>
      <c r="M517" t="s">
        <v>464</v>
      </c>
      <c r="N517" t="s">
        <v>46</v>
      </c>
      <c r="O517" s="4">
        <v>27</v>
      </c>
      <c r="P517">
        <v>0</v>
      </c>
      <c r="Q517" s="4">
        <v>27</v>
      </c>
      <c r="R517" s="12">
        <f t="shared" si="8"/>
        <v>9180</v>
      </c>
      <c r="T517" t="s">
        <v>68</v>
      </c>
      <c r="U517" t="s">
        <v>460</v>
      </c>
      <c r="V517" s="4">
        <v>340</v>
      </c>
      <c r="W517">
        <v>0</v>
      </c>
    </row>
    <row r="518" spans="1:23" hidden="1" x14ac:dyDescent="0.25">
      <c r="A518" s="2">
        <v>46024.381689814814</v>
      </c>
      <c r="B518">
        <v>4401</v>
      </c>
      <c r="C518" t="s">
        <v>458</v>
      </c>
      <c r="D518" s="3">
        <v>46024</v>
      </c>
      <c r="E518" s="3">
        <v>46264</v>
      </c>
      <c r="F518" t="s">
        <v>112</v>
      </c>
      <c r="G518" t="s">
        <v>1493</v>
      </c>
      <c r="H518" t="s">
        <v>22</v>
      </c>
      <c r="I518" t="s">
        <v>63</v>
      </c>
      <c r="J518" t="s">
        <v>1491</v>
      </c>
      <c r="K518" t="s">
        <v>31</v>
      </c>
      <c r="L518" s="4">
        <v>190</v>
      </c>
      <c r="M518" t="s">
        <v>464</v>
      </c>
      <c r="N518" t="s">
        <v>46</v>
      </c>
      <c r="O518" s="4">
        <v>58</v>
      </c>
      <c r="P518">
        <v>0</v>
      </c>
      <c r="Q518" s="4">
        <v>58</v>
      </c>
      <c r="R518" s="12">
        <f t="shared" si="8"/>
        <v>11020</v>
      </c>
      <c r="T518" t="s">
        <v>68</v>
      </c>
      <c r="U518" t="s">
        <v>460</v>
      </c>
      <c r="V518" s="4">
        <v>190</v>
      </c>
      <c r="W518">
        <v>0</v>
      </c>
    </row>
    <row r="519" spans="1:23" hidden="1" x14ac:dyDescent="0.25">
      <c r="A519" s="2">
        <v>46024.381689814814</v>
      </c>
      <c r="B519">
        <v>4401</v>
      </c>
      <c r="C519" t="s">
        <v>458</v>
      </c>
      <c r="D519" s="3">
        <v>46024</v>
      </c>
      <c r="E519" s="3">
        <v>46264</v>
      </c>
      <c r="F519" t="s">
        <v>112</v>
      </c>
      <c r="H519" t="s">
        <v>22</v>
      </c>
      <c r="I519" t="s">
        <v>42</v>
      </c>
      <c r="J519" t="s">
        <v>1490</v>
      </c>
      <c r="K519" t="s">
        <v>24</v>
      </c>
      <c r="L519" s="4">
        <v>240</v>
      </c>
      <c r="M519" t="s">
        <v>464</v>
      </c>
      <c r="N519" t="s">
        <v>46</v>
      </c>
      <c r="O519" s="4">
        <v>55</v>
      </c>
      <c r="P519">
        <v>0</v>
      </c>
      <c r="Q519" s="4">
        <v>55</v>
      </c>
      <c r="R519" s="12">
        <f t="shared" si="8"/>
        <v>13200</v>
      </c>
      <c r="T519" t="s">
        <v>68</v>
      </c>
      <c r="U519" t="s">
        <v>460</v>
      </c>
      <c r="V519" s="4">
        <v>240</v>
      </c>
      <c r="W519">
        <v>0</v>
      </c>
    </row>
    <row r="520" spans="1:23" hidden="1" x14ac:dyDescent="0.25">
      <c r="A520" s="2">
        <v>46024.381689814814</v>
      </c>
      <c r="B520">
        <v>4401</v>
      </c>
      <c r="C520" t="s">
        <v>458</v>
      </c>
      <c r="D520" s="3">
        <v>46024</v>
      </c>
      <c r="E520" s="3">
        <v>46264</v>
      </c>
      <c r="F520" t="s">
        <v>112</v>
      </c>
      <c r="G520" t="s">
        <v>1493</v>
      </c>
      <c r="H520" t="s">
        <v>22</v>
      </c>
      <c r="I520" t="s">
        <v>38</v>
      </c>
      <c r="J520" t="s">
        <v>1491</v>
      </c>
      <c r="K520" t="s">
        <v>24</v>
      </c>
      <c r="L520" s="4">
        <v>52</v>
      </c>
      <c r="M520" t="s">
        <v>464</v>
      </c>
      <c r="N520" t="s">
        <v>46</v>
      </c>
      <c r="O520" s="4">
        <v>126</v>
      </c>
      <c r="P520">
        <v>0</v>
      </c>
      <c r="Q520" s="4">
        <v>126</v>
      </c>
      <c r="R520" s="12">
        <f t="shared" si="8"/>
        <v>6552</v>
      </c>
      <c r="T520" t="s">
        <v>68</v>
      </c>
      <c r="U520" t="s">
        <v>460</v>
      </c>
      <c r="V520" s="4">
        <v>52</v>
      </c>
      <c r="W520">
        <v>0</v>
      </c>
    </row>
    <row r="521" spans="1:23" hidden="1" x14ac:dyDescent="0.25">
      <c r="A521" s="2">
        <v>46024.381689814814</v>
      </c>
      <c r="B521">
        <v>4401</v>
      </c>
      <c r="C521" t="s">
        <v>458</v>
      </c>
      <c r="D521" s="3">
        <v>46024</v>
      </c>
      <c r="E521" s="3">
        <v>46264</v>
      </c>
      <c r="F521" t="s">
        <v>112</v>
      </c>
      <c r="H521" t="s">
        <v>22</v>
      </c>
      <c r="I521" t="s">
        <v>29</v>
      </c>
      <c r="J521" t="s">
        <v>1490</v>
      </c>
      <c r="K521" t="s">
        <v>24</v>
      </c>
      <c r="L521" s="4">
        <v>165</v>
      </c>
      <c r="M521" t="s">
        <v>464</v>
      </c>
      <c r="N521" t="s">
        <v>46</v>
      </c>
      <c r="O521" s="4">
        <v>80</v>
      </c>
      <c r="P521">
        <v>0</v>
      </c>
      <c r="Q521" s="4">
        <v>80</v>
      </c>
      <c r="R521" s="12">
        <f t="shared" si="8"/>
        <v>13200</v>
      </c>
      <c r="T521" t="s">
        <v>68</v>
      </c>
      <c r="U521" t="s">
        <v>460</v>
      </c>
      <c r="V521" s="4">
        <v>165</v>
      </c>
      <c r="W521">
        <v>0</v>
      </c>
    </row>
    <row r="522" spans="1:23" hidden="1" x14ac:dyDescent="0.25">
      <c r="A522" s="2">
        <v>46042.641793981478</v>
      </c>
      <c r="B522">
        <v>4466</v>
      </c>
      <c r="C522" t="s">
        <v>458</v>
      </c>
      <c r="D522" s="3">
        <v>46042</v>
      </c>
      <c r="E522" s="3">
        <v>46264</v>
      </c>
      <c r="F522" t="s">
        <v>112</v>
      </c>
      <c r="G522" t="s">
        <v>1493</v>
      </c>
      <c r="H522" t="s">
        <v>22</v>
      </c>
      <c r="I522" t="s">
        <v>41</v>
      </c>
      <c r="J522" t="s">
        <v>1491</v>
      </c>
      <c r="K522" t="s">
        <v>24</v>
      </c>
      <c r="L522" s="4">
        <v>340</v>
      </c>
      <c r="M522" t="s">
        <v>465</v>
      </c>
      <c r="N522" t="s">
        <v>46</v>
      </c>
      <c r="O522" s="4">
        <v>15</v>
      </c>
      <c r="P522">
        <v>0</v>
      </c>
      <c r="Q522" s="4">
        <v>15</v>
      </c>
      <c r="R522" s="12">
        <f t="shared" si="8"/>
        <v>5100</v>
      </c>
      <c r="T522" t="s">
        <v>68</v>
      </c>
      <c r="U522" t="s">
        <v>460</v>
      </c>
      <c r="V522" s="4">
        <v>340</v>
      </c>
      <c r="W522">
        <v>0</v>
      </c>
    </row>
    <row r="523" spans="1:23" hidden="1" x14ac:dyDescent="0.25">
      <c r="A523" s="2">
        <v>46042.641793981478</v>
      </c>
      <c r="B523">
        <v>4466</v>
      </c>
      <c r="C523" t="s">
        <v>458</v>
      </c>
      <c r="D523" s="3">
        <v>46042</v>
      </c>
      <c r="E523" s="3">
        <v>46264</v>
      </c>
      <c r="F523" t="s">
        <v>112</v>
      </c>
      <c r="H523" t="s">
        <v>22</v>
      </c>
      <c r="I523" t="s">
        <v>42</v>
      </c>
      <c r="J523" t="s">
        <v>1490</v>
      </c>
      <c r="K523" t="s">
        <v>24</v>
      </c>
      <c r="L523" s="4">
        <v>240</v>
      </c>
      <c r="M523" t="s">
        <v>465</v>
      </c>
      <c r="N523" t="s">
        <v>46</v>
      </c>
      <c r="O523" s="4">
        <v>30</v>
      </c>
      <c r="P523">
        <v>0</v>
      </c>
      <c r="Q523" s="4">
        <v>30</v>
      </c>
      <c r="R523" s="12">
        <f t="shared" si="8"/>
        <v>7200</v>
      </c>
      <c r="T523" t="s">
        <v>68</v>
      </c>
      <c r="U523" t="s">
        <v>460</v>
      </c>
      <c r="V523" s="4">
        <v>240</v>
      </c>
      <c r="W523">
        <v>0</v>
      </c>
    </row>
    <row r="524" spans="1:23" hidden="1" x14ac:dyDescent="0.25">
      <c r="A524" s="2">
        <v>46042.641793981478</v>
      </c>
      <c r="B524">
        <v>4466</v>
      </c>
      <c r="C524" t="s">
        <v>458</v>
      </c>
      <c r="D524" s="3">
        <v>46042</v>
      </c>
      <c r="E524" s="3">
        <v>46264</v>
      </c>
      <c r="F524" t="s">
        <v>112</v>
      </c>
      <c r="G524" t="s">
        <v>1493</v>
      </c>
      <c r="H524" t="s">
        <v>22</v>
      </c>
      <c r="I524" t="s">
        <v>38</v>
      </c>
      <c r="J524" t="s">
        <v>1491</v>
      </c>
      <c r="K524" t="s">
        <v>24</v>
      </c>
      <c r="L524" s="4">
        <v>52</v>
      </c>
      <c r="M524" t="s">
        <v>465</v>
      </c>
      <c r="N524" t="s">
        <v>46</v>
      </c>
      <c r="O524" s="4">
        <v>36</v>
      </c>
      <c r="P524">
        <v>0</v>
      </c>
      <c r="Q524" s="4">
        <v>36</v>
      </c>
      <c r="R524" s="12">
        <f t="shared" si="8"/>
        <v>1872</v>
      </c>
      <c r="T524" t="s">
        <v>68</v>
      </c>
      <c r="U524" t="s">
        <v>460</v>
      </c>
      <c r="V524" s="4">
        <v>52</v>
      </c>
      <c r="W524">
        <v>0</v>
      </c>
    </row>
    <row r="525" spans="1:23" hidden="1" x14ac:dyDescent="0.25">
      <c r="A525" s="2">
        <v>46042.641793981478</v>
      </c>
      <c r="B525">
        <v>4466</v>
      </c>
      <c r="C525" t="s">
        <v>458</v>
      </c>
      <c r="D525" s="3">
        <v>46042</v>
      </c>
      <c r="E525" s="3">
        <v>46264</v>
      </c>
      <c r="F525" t="s">
        <v>112</v>
      </c>
      <c r="G525" t="s">
        <v>1493</v>
      </c>
      <c r="H525" t="s">
        <v>22</v>
      </c>
      <c r="I525" t="s">
        <v>63</v>
      </c>
      <c r="J525" t="s">
        <v>1491</v>
      </c>
      <c r="K525" t="s">
        <v>31</v>
      </c>
      <c r="L525" s="4">
        <v>190</v>
      </c>
      <c r="M525" t="s">
        <v>465</v>
      </c>
      <c r="N525" t="s">
        <v>46</v>
      </c>
      <c r="O525" s="4">
        <v>36</v>
      </c>
      <c r="P525">
        <v>0</v>
      </c>
      <c r="Q525" s="4">
        <v>36</v>
      </c>
      <c r="R525" s="12">
        <f t="shared" si="8"/>
        <v>6840</v>
      </c>
      <c r="T525" t="s">
        <v>68</v>
      </c>
      <c r="U525" t="s">
        <v>460</v>
      </c>
      <c r="V525" s="4">
        <v>190</v>
      </c>
      <c r="W525">
        <v>0</v>
      </c>
    </row>
    <row r="526" spans="1:23" hidden="1" x14ac:dyDescent="0.25">
      <c r="A526" s="2">
        <v>46042.641793981478</v>
      </c>
      <c r="B526">
        <v>4466</v>
      </c>
      <c r="C526" t="s">
        <v>458</v>
      </c>
      <c r="D526" s="3">
        <v>46042</v>
      </c>
      <c r="E526" s="3">
        <v>46264</v>
      </c>
      <c r="F526" t="s">
        <v>112</v>
      </c>
      <c r="G526" t="s">
        <v>1493</v>
      </c>
      <c r="H526" t="s">
        <v>22</v>
      </c>
      <c r="I526" t="s">
        <v>40</v>
      </c>
      <c r="J526" t="s">
        <v>1491</v>
      </c>
      <c r="K526" t="s">
        <v>24</v>
      </c>
      <c r="L526" s="4">
        <v>340</v>
      </c>
      <c r="M526" t="s">
        <v>465</v>
      </c>
      <c r="N526" t="s">
        <v>46</v>
      </c>
      <c r="O526" s="4">
        <v>15</v>
      </c>
      <c r="P526">
        <v>0</v>
      </c>
      <c r="Q526" s="4">
        <v>15</v>
      </c>
      <c r="R526" s="12">
        <f t="shared" si="8"/>
        <v>5100</v>
      </c>
      <c r="T526" t="s">
        <v>68</v>
      </c>
      <c r="U526" t="s">
        <v>460</v>
      </c>
      <c r="V526" s="4">
        <v>340</v>
      </c>
      <c r="W526">
        <v>0</v>
      </c>
    </row>
    <row r="527" spans="1:23" hidden="1" x14ac:dyDescent="0.25">
      <c r="A527" s="2">
        <v>46043.330254629633</v>
      </c>
      <c r="B527">
        <v>4471</v>
      </c>
      <c r="C527" t="s">
        <v>458</v>
      </c>
      <c r="D527" s="3">
        <v>46043</v>
      </c>
      <c r="E527" s="3">
        <v>46264</v>
      </c>
      <c r="F527" t="s">
        <v>112</v>
      </c>
      <c r="H527" t="s">
        <v>22</v>
      </c>
      <c r="I527" t="s">
        <v>35</v>
      </c>
      <c r="J527" t="s">
        <v>1490</v>
      </c>
      <c r="K527" t="s">
        <v>24</v>
      </c>
      <c r="L527" s="4">
        <v>70</v>
      </c>
      <c r="M527" t="s">
        <v>466</v>
      </c>
      <c r="N527" t="s">
        <v>46</v>
      </c>
      <c r="O527" s="4">
        <v>40</v>
      </c>
      <c r="P527">
        <v>0</v>
      </c>
      <c r="Q527" s="4">
        <v>40</v>
      </c>
      <c r="R527" s="12">
        <f t="shared" si="8"/>
        <v>2800</v>
      </c>
      <c r="T527" t="s">
        <v>68</v>
      </c>
      <c r="U527" t="s">
        <v>460</v>
      </c>
      <c r="V527" s="4">
        <v>70</v>
      </c>
      <c r="W527">
        <v>0</v>
      </c>
    </row>
    <row r="528" spans="1:23" hidden="1" x14ac:dyDescent="0.25">
      <c r="A528" s="2">
        <v>46043.380752314813</v>
      </c>
      <c r="B528">
        <v>4472</v>
      </c>
      <c r="C528" t="s">
        <v>458</v>
      </c>
      <c r="D528" s="3">
        <v>46043</v>
      </c>
      <c r="E528" s="3">
        <v>46264</v>
      </c>
      <c r="F528" t="s">
        <v>112</v>
      </c>
      <c r="G528" t="s">
        <v>1493</v>
      </c>
      <c r="H528" t="s">
        <v>22</v>
      </c>
      <c r="I528" t="s">
        <v>38</v>
      </c>
      <c r="J528" t="s">
        <v>1491</v>
      </c>
      <c r="K528" t="s">
        <v>24</v>
      </c>
      <c r="L528" s="4">
        <v>52</v>
      </c>
      <c r="M528" t="s">
        <v>467</v>
      </c>
      <c r="N528" t="s">
        <v>46</v>
      </c>
      <c r="O528" s="4">
        <v>27</v>
      </c>
      <c r="P528">
        <v>0</v>
      </c>
      <c r="Q528" s="4">
        <v>27</v>
      </c>
      <c r="R528" s="12">
        <f t="shared" si="8"/>
        <v>1404</v>
      </c>
      <c r="T528" t="s">
        <v>68</v>
      </c>
      <c r="U528" t="s">
        <v>460</v>
      </c>
      <c r="V528" s="4">
        <v>52</v>
      </c>
      <c r="W528">
        <v>0</v>
      </c>
    </row>
    <row r="529" spans="1:23" hidden="1" x14ac:dyDescent="0.25">
      <c r="A529" s="2">
        <v>46044.321585648147</v>
      </c>
      <c r="B529">
        <v>4481</v>
      </c>
      <c r="C529" t="s">
        <v>458</v>
      </c>
      <c r="D529" s="3">
        <v>46044</v>
      </c>
      <c r="E529" s="3">
        <v>46264</v>
      </c>
      <c r="F529" t="s">
        <v>112</v>
      </c>
      <c r="G529" t="s">
        <v>1493</v>
      </c>
      <c r="H529" t="s">
        <v>22</v>
      </c>
      <c r="I529" t="s">
        <v>468</v>
      </c>
      <c r="J529" t="s">
        <v>1491</v>
      </c>
      <c r="K529" t="s">
        <v>24</v>
      </c>
      <c r="L529" s="4">
        <v>45</v>
      </c>
      <c r="M529" t="s">
        <v>469</v>
      </c>
      <c r="N529" t="s">
        <v>46</v>
      </c>
      <c r="O529" s="4">
        <v>40</v>
      </c>
      <c r="P529">
        <v>0</v>
      </c>
      <c r="Q529" s="4">
        <v>40</v>
      </c>
      <c r="R529" s="12">
        <f t="shared" si="8"/>
        <v>1800</v>
      </c>
      <c r="T529" t="s">
        <v>68</v>
      </c>
      <c r="U529" t="s">
        <v>460</v>
      </c>
      <c r="V529" s="4">
        <v>45</v>
      </c>
      <c r="W529">
        <v>0</v>
      </c>
    </row>
    <row r="530" spans="1:23" hidden="1" x14ac:dyDescent="0.25">
      <c r="A530" s="2">
        <v>46065.466527777775</v>
      </c>
      <c r="B530">
        <v>4558</v>
      </c>
      <c r="C530" t="s">
        <v>458</v>
      </c>
      <c r="D530" s="3">
        <v>46065</v>
      </c>
      <c r="E530" s="3">
        <v>46264</v>
      </c>
      <c r="F530" t="s">
        <v>112</v>
      </c>
      <c r="G530" t="s">
        <v>1493</v>
      </c>
      <c r="H530" t="s">
        <v>22</v>
      </c>
      <c r="I530" t="s">
        <v>41</v>
      </c>
      <c r="J530" t="s">
        <v>1491</v>
      </c>
      <c r="K530" t="s">
        <v>24</v>
      </c>
      <c r="L530" s="4">
        <v>340</v>
      </c>
      <c r="M530" t="s">
        <v>470</v>
      </c>
      <c r="N530" t="s">
        <v>46</v>
      </c>
      <c r="O530" s="4">
        <v>1</v>
      </c>
      <c r="P530">
        <v>0</v>
      </c>
      <c r="Q530" s="4">
        <v>1</v>
      </c>
      <c r="R530" s="12">
        <f t="shared" si="8"/>
        <v>340</v>
      </c>
      <c r="T530" t="s">
        <v>68</v>
      </c>
      <c r="U530" t="s">
        <v>460</v>
      </c>
      <c r="V530" s="4">
        <v>340</v>
      </c>
      <c r="W530">
        <v>0</v>
      </c>
    </row>
    <row r="531" spans="1:23" hidden="1" x14ac:dyDescent="0.25">
      <c r="A531" s="2">
        <v>46065.466527777775</v>
      </c>
      <c r="B531">
        <v>4558</v>
      </c>
      <c r="C531" t="s">
        <v>458</v>
      </c>
      <c r="D531" s="3">
        <v>46065</v>
      </c>
      <c r="E531" s="3">
        <v>46264</v>
      </c>
      <c r="F531" t="s">
        <v>112</v>
      </c>
      <c r="H531" t="s">
        <v>22</v>
      </c>
      <c r="I531" t="s">
        <v>29</v>
      </c>
      <c r="J531" t="s">
        <v>1490</v>
      </c>
      <c r="K531" t="s">
        <v>24</v>
      </c>
      <c r="L531" s="4">
        <v>165</v>
      </c>
      <c r="M531" t="s">
        <v>470</v>
      </c>
      <c r="N531" t="s">
        <v>46</v>
      </c>
      <c r="O531" s="4">
        <v>60</v>
      </c>
      <c r="P531">
        <v>0</v>
      </c>
      <c r="Q531" s="4">
        <v>60</v>
      </c>
      <c r="R531" s="12">
        <f t="shared" si="8"/>
        <v>9900</v>
      </c>
      <c r="T531" t="s">
        <v>68</v>
      </c>
      <c r="U531" t="s">
        <v>460</v>
      </c>
      <c r="V531" s="4">
        <v>165</v>
      </c>
      <c r="W531">
        <v>0</v>
      </c>
    </row>
    <row r="532" spans="1:23" hidden="1" x14ac:dyDescent="0.25">
      <c r="A532" s="2">
        <v>46065.466527777775</v>
      </c>
      <c r="B532">
        <v>4558</v>
      </c>
      <c r="C532" t="s">
        <v>458</v>
      </c>
      <c r="D532" s="3">
        <v>46065</v>
      </c>
      <c r="E532" s="3">
        <v>46264</v>
      </c>
      <c r="F532" t="s">
        <v>112</v>
      </c>
      <c r="H532" t="s">
        <v>22</v>
      </c>
      <c r="I532" t="s">
        <v>471</v>
      </c>
      <c r="K532" t="s">
        <v>24</v>
      </c>
      <c r="L532" s="4">
        <v>54</v>
      </c>
      <c r="M532" t="s">
        <v>470</v>
      </c>
      <c r="N532" t="s">
        <v>46</v>
      </c>
      <c r="O532" s="4">
        <v>24</v>
      </c>
      <c r="P532">
        <v>0</v>
      </c>
      <c r="Q532" s="4">
        <v>24</v>
      </c>
      <c r="R532" s="12">
        <f t="shared" si="8"/>
        <v>1296</v>
      </c>
      <c r="T532" t="s">
        <v>68</v>
      </c>
      <c r="U532" t="s">
        <v>460</v>
      </c>
      <c r="V532" s="4">
        <v>54</v>
      </c>
      <c r="W532">
        <v>0</v>
      </c>
    </row>
    <row r="533" spans="1:23" hidden="1" x14ac:dyDescent="0.25">
      <c r="A533" s="2">
        <v>46065.466527777775</v>
      </c>
      <c r="B533">
        <v>4558</v>
      </c>
      <c r="C533" t="s">
        <v>458</v>
      </c>
      <c r="D533" s="3">
        <v>46065</v>
      </c>
      <c r="E533" s="3">
        <v>46264</v>
      </c>
      <c r="F533" t="s">
        <v>112</v>
      </c>
      <c r="G533" t="s">
        <v>1493</v>
      </c>
      <c r="H533" t="s">
        <v>22</v>
      </c>
      <c r="I533" t="s">
        <v>38</v>
      </c>
      <c r="J533" t="s">
        <v>1491</v>
      </c>
      <c r="K533" t="s">
        <v>24</v>
      </c>
      <c r="L533" s="4">
        <v>52</v>
      </c>
      <c r="M533" t="s">
        <v>470</v>
      </c>
      <c r="N533" t="s">
        <v>46</v>
      </c>
      <c r="O533" s="4">
        <v>3</v>
      </c>
      <c r="P533">
        <v>0</v>
      </c>
      <c r="Q533" s="4">
        <v>3</v>
      </c>
      <c r="R533" s="12">
        <f t="shared" si="8"/>
        <v>156</v>
      </c>
      <c r="T533" t="s">
        <v>68</v>
      </c>
      <c r="U533" t="s">
        <v>460</v>
      </c>
      <c r="V533" s="4">
        <v>52</v>
      </c>
      <c r="W533">
        <v>0</v>
      </c>
    </row>
    <row r="534" spans="1:23" hidden="1" x14ac:dyDescent="0.25">
      <c r="A534" s="2">
        <v>46065.466527777775</v>
      </c>
      <c r="B534">
        <v>4558</v>
      </c>
      <c r="C534" t="s">
        <v>458</v>
      </c>
      <c r="D534" s="3">
        <v>46065</v>
      </c>
      <c r="E534" s="3">
        <v>46264</v>
      </c>
      <c r="F534" t="s">
        <v>112</v>
      </c>
      <c r="G534" t="s">
        <v>1493</v>
      </c>
      <c r="H534" t="s">
        <v>22</v>
      </c>
      <c r="I534" t="s">
        <v>40</v>
      </c>
      <c r="J534" t="s">
        <v>1491</v>
      </c>
      <c r="K534" t="s">
        <v>24</v>
      </c>
      <c r="L534" s="4">
        <v>340</v>
      </c>
      <c r="M534" t="s">
        <v>470</v>
      </c>
      <c r="N534" t="s">
        <v>46</v>
      </c>
      <c r="O534" s="4">
        <v>1</v>
      </c>
      <c r="P534">
        <v>0</v>
      </c>
      <c r="Q534" s="4">
        <v>1</v>
      </c>
      <c r="R534" s="12">
        <f t="shared" si="8"/>
        <v>340</v>
      </c>
      <c r="T534" t="s">
        <v>68</v>
      </c>
      <c r="U534" t="s">
        <v>460</v>
      </c>
      <c r="V534" s="4">
        <v>340</v>
      </c>
      <c r="W534">
        <v>0</v>
      </c>
    </row>
    <row r="535" spans="1:23" x14ac:dyDescent="0.25">
      <c r="A535" s="2">
        <v>45758.559490740743</v>
      </c>
      <c r="B535">
        <v>3805</v>
      </c>
      <c r="C535" t="s">
        <v>472</v>
      </c>
      <c r="D535" s="3">
        <v>45754</v>
      </c>
      <c r="E535" s="3">
        <v>46142</v>
      </c>
      <c r="F535" t="s">
        <v>98</v>
      </c>
      <c r="H535" t="s">
        <v>22</v>
      </c>
      <c r="I535" t="s">
        <v>134</v>
      </c>
      <c r="K535" t="s">
        <v>105</v>
      </c>
      <c r="L535" s="4">
        <v>1667</v>
      </c>
      <c r="M535" t="s">
        <v>473</v>
      </c>
      <c r="N535" t="s">
        <v>26</v>
      </c>
      <c r="O535" s="4">
        <v>40</v>
      </c>
      <c r="P535">
        <v>0</v>
      </c>
      <c r="Q535" s="4">
        <v>40</v>
      </c>
      <c r="R535" s="12">
        <f t="shared" si="8"/>
        <v>66680</v>
      </c>
      <c r="T535" t="s">
        <v>27</v>
      </c>
      <c r="U535" t="s">
        <v>474</v>
      </c>
      <c r="V535" s="4">
        <v>1667</v>
      </c>
      <c r="W535">
        <v>0</v>
      </c>
    </row>
    <row r="536" spans="1:23" hidden="1" x14ac:dyDescent="0.25">
      <c r="A536" s="2">
        <v>45911.545370370368</v>
      </c>
      <c r="B536">
        <v>4031</v>
      </c>
      <c r="C536" t="s">
        <v>475</v>
      </c>
      <c r="D536" s="3">
        <v>45911</v>
      </c>
      <c r="E536" s="3">
        <v>45961</v>
      </c>
      <c r="F536" t="s">
        <v>21</v>
      </c>
      <c r="G536" t="s">
        <v>1493</v>
      </c>
      <c r="H536" t="s">
        <v>22</v>
      </c>
      <c r="I536" t="s">
        <v>40</v>
      </c>
      <c r="J536" t="s">
        <v>1491</v>
      </c>
      <c r="K536" t="s">
        <v>24</v>
      </c>
      <c r="L536" s="4">
        <v>290.15625</v>
      </c>
      <c r="M536" t="s">
        <v>476</v>
      </c>
      <c r="N536" t="s">
        <v>26</v>
      </c>
      <c r="O536" s="4">
        <v>18</v>
      </c>
      <c r="P536">
        <v>0</v>
      </c>
      <c r="Q536" s="4">
        <v>18</v>
      </c>
      <c r="R536" s="12">
        <f t="shared" si="8"/>
        <v>5222.8125</v>
      </c>
      <c r="T536" t="s">
        <v>477</v>
      </c>
      <c r="U536" t="s">
        <v>478</v>
      </c>
      <c r="V536" s="4">
        <v>290.15625</v>
      </c>
      <c r="W536">
        <v>0</v>
      </c>
    </row>
    <row r="537" spans="1:23" hidden="1" x14ac:dyDescent="0.25">
      <c r="A537" s="2">
        <v>45911.545370370368</v>
      </c>
      <c r="B537">
        <v>4031</v>
      </c>
      <c r="C537" t="s">
        <v>475</v>
      </c>
      <c r="D537" s="3">
        <v>45911</v>
      </c>
      <c r="E537" s="3">
        <v>45961</v>
      </c>
      <c r="F537" t="s">
        <v>21</v>
      </c>
      <c r="G537" t="s">
        <v>1493</v>
      </c>
      <c r="H537" t="s">
        <v>22</v>
      </c>
      <c r="I537" t="s">
        <v>63</v>
      </c>
      <c r="J537" t="s">
        <v>1491</v>
      </c>
      <c r="K537" t="s">
        <v>31</v>
      </c>
      <c r="L537" s="4">
        <v>169.257812</v>
      </c>
      <c r="M537" t="s">
        <v>476</v>
      </c>
      <c r="N537" t="s">
        <v>26</v>
      </c>
      <c r="O537" s="4">
        <v>36</v>
      </c>
      <c r="P537">
        <v>0</v>
      </c>
      <c r="Q537" s="4">
        <v>36</v>
      </c>
      <c r="R537" s="12">
        <f t="shared" si="8"/>
        <v>6093.2812320000003</v>
      </c>
      <c r="T537" t="s">
        <v>477</v>
      </c>
      <c r="U537" t="s">
        <v>478</v>
      </c>
      <c r="V537" s="4">
        <v>169.257812</v>
      </c>
      <c r="W537">
        <v>0</v>
      </c>
    </row>
    <row r="538" spans="1:23" hidden="1" x14ac:dyDescent="0.25">
      <c r="A538" s="2">
        <v>45911.545370370368</v>
      </c>
      <c r="B538">
        <v>4031</v>
      </c>
      <c r="C538" t="s">
        <v>475</v>
      </c>
      <c r="D538" s="3">
        <v>45911</v>
      </c>
      <c r="E538" s="3">
        <v>45961</v>
      </c>
      <c r="F538" t="s">
        <v>21</v>
      </c>
      <c r="G538" t="s">
        <v>1493</v>
      </c>
      <c r="H538" t="s">
        <v>22</v>
      </c>
      <c r="I538" t="s">
        <v>38</v>
      </c>
      <c r="J538" t="s">
        <v>1491</v>
      </c>
      <c r="K538" t="s">
        <v>24</v>
      </c>
      <c r="L538" s="4">
        <v>46.747396000000002</v>
      </c>
      <c r="M538" t="s">
        <v>476</v>
      </c>
      <c r="N538" t="s">
        <v>26</v>
      </c>
      <c r="O538" s="4">
        <v>36</v>
      </c>
      <c r="P538">
        <v>0</v>
      </c>
      <c r="Q538" s="4">
        <v>36</v>
      </c>
      <c r="R538" s="12">
        <f t="shared" si="8"/>
        <v>1682.906256</v>
      </c>
      <c r="T538" t="s">
        <v>477</v>
      </c>
      <c r="U538" t="s">
        <v>478</v>
      </c>
      <c r="V538" s="4">
        <v>46.747396000000002</v>
      </c>
      <c r="W538">
        <v>0</v>
      </c>
    </row>
    <row r="539" spans="1:23" hidden="1" x14ac:dyDescent="0.25">
      <c r="A539" s="2">
        <v>46034.402662037035</v>
      </c>
      <c r="B539">
        <v>4428</v>
      </c>
      <c r="C539" t="s">
        <v>475</v>
      </c>
      <c r="D539" s="3">
        <v>46034</v>
      </c>
      <c r="E539" s="3">
        <v>46264</v>
      </c>
      <c r="F539" t="s">
        <v>21</v>
      </c>
      <c r="G539" t="s">
        <v>1493</v>
      </c>
      <c r="H539" t="s">
        <v>22</v>
      </c>
      <c r="I539" t="s">
        <v>38</v>
      </c>
      <c r="J539" t="s">
        <v>1491</v>
      </c>
      <c r="K539" t="s">
        <v>24</v>
      </c>
      <c r="L539" s="4">
        <v>46.75</v>
      </c>
      <c r="M539" t="s">
        <v>479</v>
      </c>
      <c r="N539" t="s">
        <v>46</v>
      </c>
      <c r="O539" s="4">
        <v>12</v>
      </c>
      <c r="P539">
        <v>0</v>
      </c>
      <c r="Q539" s="4">
        <v>12</v>
      </c>
      <c r="R539" s="12">
        <f t="shared" si="8"/>
        <v>561</v>
      </c>
      <c r="T539" t="s">
        <v>477</v>
      </c>
      <c r="U539" t="s">
        <v>478</v>
      </c>
      <c r="V539" s="4">
        <v>46.75</v>
      </c>
      <c r="W539">
        <v>0</v>
      </c>
    </row>
    <row r="540" spans="1:23" hidden="1" x14ac:dyDescent="0.25">
      <c r="A540" s="2">
        <v>46034.402662037035</v>
      </c>
      <c r="B540">
        <v>4428</v>
      </c>
      <c r="C540" t="s">
        <v>475</v>
      </c>
      <c r="D540" s="3">
        <v>46034</v>
      </c>
      <c r="E540" s="3">
        <v>46264</v>
      </c>
      <c r="F540" t="s">
        <v>21</v>
      </c>
      <c r="G540" t="s">
        <v>1493</v>
      </c>
      <c r="H540" t="s">
        <v>22</v>
      </c>
      <c r="I540" t="s">
        <v>44</v>
      </c>
      <c r="J540" t="s">
        <v>1491</v>
      </c>
      <c r="K540" t="s">
        <v>31</v>
      </c>
      <c r="L540" s="4">
        <v>385</v>
      </c>
      <c r="M540" t="s">
        <v>479</v>
      </c>
      <c r="N540" t="s">
        <v>46</v>
      </c>
      <c r="O540" s="4">
        <v>5</v>
      </c>
      <c r="P540">
        <v>0</v>
      </c>
      <c r="Q540" s="4">
        <v>5</v>
      </c>
      <c r="R540" s="12">
        <f t="shared" si="8"/>
        <v>1925</v>
      </c>
      <c r="T540" t="s">
        <v>477</v>
      </c>
      <c r="U540" t="s">
        <v>478</v>
      </c>
      <c r="V540" s="4">
        <v>385</v>
      </c>
      <c r="W540">
        <v>0</v>
      </c>
    </row>
    <row r="541" spans="1:23" x14ac:dyDescent="0.25">
      <c r="A541" s="2">
        <v>45810.344293981485</v>
      </c>
      <c r="B541">
        <v>3871</v>
      </c>
      <c r="C541" t="s">
        <v>480</v>
      </c>
      <c r="D541" s="3">
        <v>45810</v>
      </c>
      <c r="E541" s="3">
        <v>46142</v>
      </c>
      <c r="F541" t="s">
        <v>98</v>
      </c>
      <c r="H541" t="s">
        <v>22</v>
      </c>
      <c r="I541" t="s">
        <v>104</v>
      </c>
      <c r="K541" t="s">
        <v>105</v>
      </c>
      <c r="L541" s="4">
        <v>1900</v>
      </c>
      <c r="M541" t="s">
        <v>481</v>
      </c>
      <c r="N541" t="s">
        <v>26</v>
      </c>
      <c r="O541" s="4">
        <v>3</v>
      </c>
      <c r="P541">
        <v>0</v>
      </c>
      <c r="Q541" s="4">
        <v>3</v>
      </c>
      <c r="R541" s="12">
        <f t="shared" si="8"/>
        <v>5700</v>
      </c>
      <c r="T541" t="s">
        <v>151</v>
      </c>
      <c r="U541" t="s">
        <v>482</v>
      </c>
      <c r="V541" s="4">
        <v>1900</v>
      </c>
      <c r="W541">
        <v>0</v>
      </c>
    </row>
    <row r="542" spans="1:23" hidden="1" x14ac:dyDescent="0.25">
      <c r="A542" s="2">
        <v>45848.576412037037</v>
      </c>
      <c r="B542">
        <v>244</v>
      </c>
      <c r="C542" t="s">
        <v>483</v>
      </c>
      <c r="D542" s="3">
        <v>45848</v>
      </c>
      <c r="E542" s="3">
        <v>46142</v>
      </c>
      <c r="F542" t="s">
        <v>66</v>
      </c>
      <c r="G542" t="s">
        <v>1494</v>
      </c>
      <c r="H542" t="s">
        <v>484</v>
      </c>
      <c r="I542" t="s">
        <v>38</v>
      </c>
      <c r="J542" t="s">
        <v>1491</v>
      </c>
      <c r="K542" t="s">
        <v>24</v>
      </c>
      <c r="L542" s="4">
        <v>45</v>
      </c>
      <c r="M542" t="s">
        <v>485</v>
      </c>
      <c r="N542" t="s">
        <v>26</v>
      </c>
      <c r="O542" s="4">
        <v>96</v>
      </c>
      <c r="P542">
        <v>0</v>
      </c>
      <c r="Q542" s="4">
        <v>96</v>
      </c>
      <c r="R542" s="12">
        <f t="shared" si="8"/>
        <v>4320</v>
      </c>
      <c r="T542" t="s">
        <v>486</v>
      </c>
      <c r="U542" t="s">
        <v>487</v>
      </c>
      <c r="V542" s="4">
        <v>45</v>
      </c>
      <c r="W542">
        <v>0</v>
      </c>
    </row>
    <row r="543" spans="1:23" hidden="1" x14ac:dyDescent="0.25">
      <c r="A543" s="2">
        <v>45848.576412037037</v>
      </c>
      <c r="B543">
        <v>244</v>
      </c>
      <c r="C543" t="s">
        <v>483</v>
      </c>
      <c r="D543" s="3">
        <v>45848</v>
      </c>
      <c r="E543" s="3">
        <v>46142</v>
      </c>
      <c r="F543" t="s">
        <v>66</v>
      </c>
      <c r="G543" t="s">
        <v>1494</v>
      </c>
      <c r="H543" t="s">
        <v>484</v>
      </c>
      <c r="I543" t="s">
        <v>43</v>
      </c>
      <c r="J543" t="s">
        <v>1491</v>
      </c>
      <c r="K543" t="s">
        <v>24</v>
      </c>
      <c r="L543" s="4">
        <v>41</v>
      </c>
      <c r="M543" t="s">
        <v>485</v>
      </c>
      <c r="N543" t="s">
        <v>26</v>
      </c>
      <c r="O543" s="4">
        <v>285</v>
      </c>
      <c r="P543">
        <v>0</v>
      </c>
      <c r="Q543" s="4">
        <v>285</v>
      </c>
      <c r="R543" s="12">
        <f t="shared" si="8"/>
        <v>11685</v>
      </c>
      <c r="T543" t="s">
        <v>486</v>
      </c>
      <c r="U543" t="s">
        <v>487</v>
      </c>
      <c r="V543" s="4">
        <v>41</v>
      </c>
      <c r="W543">
        <v>0</v>
      </c>
    </row>
    <row r="544" spans="1:23" hidden="1" x14ac:dyDescent="0.25">
      <c r="A544" s="2">
        <v>45848.576412037037</v>
      </c>
      <c r="B544">
        <v>244</v>
      </c>
      <c r="C544" t="s">
        <v>483</v>
      </c>
      <c r="D544" s="3">
        <v>45848</v>
      </c>
      <c r="E544" s="3">
        <v>46142</v>
      </c>
      <c r="F544" t="s">
        <v>66</v>
      </c>
      <c r="H544" t="s">
        <v>484</v>
      </c>
      <c r="I544" t="s">
        <v>96</v>
      </c>
      <c r="K544" t="s">
        <v>24</v>
      </c>
      <c r="L544" s="4">
        <v>65</v>
      </c>
      <c r="M544" t="s">
        <v>485</v>
      </c>
      <c r="N544" t="s">
        <v>26</v>
      </c>
      <c r="O544" s="4">
        <v>300</v>
      </c>
      <c r="P544">
        <v>0</v>
      </c>
      <c r="Q544" s="4">
        <v>300</v>
      </c>
      <c r="R544" s="12">
        <f t="shared" si="8"/>
        <v>19500</v>
      </c>
      <c r="T544" t="s">
        <v>486</v>
      </c>
      <c r="U544" t="s">
        <v>487</v>
      </c>
      <c r="V544" s="4">
        <v>65</v>
      </c>
      <c r="W544">
        <v>0</v>
      </c>
    </row>
    <row r="545" spans="1:23" hidden="1" x14ac:dyDescent="0.25">
      <c r="A545" s="2">
        <v>45848.576412037037</v>
      </c>
      <c r="B545">
        <v>244</v>
      </c>
      <c r="C545" t="s">
        <v>483</v>
      </c>
      <c r="D545" s="3">
        <v>45848</v>
      </c>
      <c r="E545" s="3">
        <v>46142</v>
      </c>
      <c r="F545" t="s">
        <v>66</v>
      </c>
      <c r="G545" t="s">
        <v>1494</v>
      </c>
      <c r="H545" t="s">
        <v>484</v>
      </c>
      <c r="I545" t="s">
        <v>63</v>
      </c>
      <c r="J545" t="s">
        <v>1491</v>
      </c>
      <c r="K545" t="s">
        <v>31</v>
      </c>
      <c r="L545" s="4">
        <v>189</v>
      </c>
      <c r="M545" t="s">
        <v>485</v>
      </c>
      <c r="N545" t="s">
        <v>26</v>
      </c>
      <c r="O545" s="4">
        <v>57</v>
      </c>
      <c r="P545">
        <v>0</v>
      </c>
      <c r="Q545" s="4">
        <v>57</v>
      </c>
      <c r="R545" s="12">
        <f t="shared" si="8"/>
        <v>10773</v>
      </c>
      <c r="T545" t="s">
        <v>486</v>
      </c>
      <c r="U545" t="s">
        <v>487</v>
      </c>
      <c r="V545" s="4">
        <v>189</v>
      </c>
      <c r="W545">
        <v>0</v>
      </c>
    </row>
    <row r="546" spans="1:23" hidden="1" x14ac:dyDescent="0.25">
      <c r="A546" s="2">
        <v>45968.691423611112</v>
      </c>
      <c r="B546">
        <v>402</v>
      </c>
      <c r="C546" t="s">
        <v>483</v>
      </c>
      <c r="D546" s="3">
        <v>45968</v>
      </c>
      <c r="E546" s="3">
        <v>46142</v>
      </c>
      <c r="F546" t="s">
        <v>66</v>
      </c>
      <c r="H546" t="s">
        <v>484</v>
      </c>
      <c r="I546" t="s">
        <v>173</v>
      </c>
      <c r="K546" t="s">
        <v>24</v>
      </c>
      <c r="L546" s="4">
        <v>24</v>
      </c>
      <c r="M546" t="s">
        <v>488</v>
      </c>
      <c r="N546" t="s">
        <v>26</v>
      </c>
      <c r="O546" s="4">
        <v>300</v>
      </c>
      <c r="P546">
        <v>0</v>
      </c>
      <c r="Q546" s="4">
        <v>300</v>
      </c>
      <c r="R546" s="12">
        <f t="shared" si="8"/>
        <v>7200</v>
      </c>
      <c r="T546" t="s">
        <v>486</v>
      </c>
      <c r="U546" t="s">
        <v>487</v>
      </c>
      <c r="V546" s="4">
        <v>24</v>
      </c>
      <c r="W546">
        <v>0</v>
      </c>
    </row>
    <row r="547" spans="1:23" hidden="1" x14ac:dyDescent="0.25">
      <c r="A547" s="2">
        <v>46076.636342592596</v>
      </c>
      <c r="B547">
        <v>4602</v>
      </c>
      <c r="C547" t="s">
        <v>489</v>
      </c>
      <c r="D547" s="3">
        <v>46076</v>
      </c>
      <c r="E547" s="3">
        <v>46264</v>
      </c>
      <c r="F547" t="s">
        <v>21</v>
      </c>
      <c r="H547" t="s">
        <v>22</v>
      </c>
      <c r="I547" t="s">
        <v>80</v>
      </c>
      <c r="K547" t="s">
        <v>31</v>
      </c>
      <c r="L547" s="4">
        <v>45</v>
      </c>
      <c r="M547" t="s">
        <v>490</v>
      </c>
      <c r="N547" t="s">
        <v>46</v>
      </c>
      <c r="O547" s="4">
        <v>60</v>
      </c>
      <c r="P547">
        <v>0</v>
      </c>
      <c r="Q547" s="4">
        <v>60</v>
      </c>
      <c r="R547" s="12">
        <f t="shared" si="8"/>
        <v>2700</v>
      </c>
      <c r="U547" t="s">
        <v>491</v>
      </c>
      <c r="V547" s="4">
        <v>45</v>
      </c>
      <c r="W547">
        <v>0</v>
      </c>
    </row>
    <row r="548" spans="1:23" hidden="1" x14ac:dyDescent="0.25">
      <c r="A548" s="2">
        <v>45854.595821759256</v>
      </c>
      <c r="B548">
        <v>3934</v>
      </c>
      <c r="C548" t="s">
        <v>492</v>
      </c>
      <c r="D548" s="3">
        <v>45854</v>
      </c>
      <c r="E548" s="3">
        <v>46142</v>
      </c>
      <c r="F548" t="s">
        <v>79</v>
      </c>
      <c r="G548" t="s">
        <v>1493</v>
      </c>
      <c r="H548" t="s">
        <v>22</v>
      </c>
      <c r="I548" t="s">
        <v>59</v>
      </c>
      <c r="J548" t="s">
        <v>1491</v>
      </c>
      <c r="K548" t="s">
        <v>24</v>
      </c>
      <c r="L548" s="4">
        <v>39</v>
      </c>
      <c r="M548" t="s">
        <v>493</v>
      </c>
      <c r="N548" t="s">
        <v>26</v>
      </c>
      <c r="O548" s="4">
        <v>201</v>
      </c>
      <c r="P548">
        <v>0</v>
      </c>
      <c r="Q548" s="4">
        <v>201</v>
      </c>
      <c r="R548" s="12">
        <f t="shared" si="8"/>
        <v>7839</v>
      </c>
      <c r="T548" t="s">
        <v>494</v>
      </c>
      <c r="U548" t="s">
        <v>495</v>
      </c>
      <c r="V548" s="4">
        <v>39</v>
      </c>
      <c r="W548">
        <v>0</v>
      </c>
    </row>
    <row r="549" spans="1:23" hidden="1" x14ac:dyDescent="0.25">
      <c r="A549" s="2">
        <v>45923.68273148148</v>
      </c>
      <c r="B549">
        <v>4080</v>
      </c>
      <c r="C549" t="s">
        <v>492</v>
      </c>
      <c r="D549" s="3">
        <v>45923</v>
      </c>
      <c r="E549" s="3">
        <v>46172</v>
      </c>
      <c r="F549" t="s">
        <v>79</v>
      </c>
      <c r="G549" t="s">
        <v>1493</v>
      </c>
      <c r="H549" t="s">
        <v>496</v>
      </c>
      <c r="I549" t="s">
        <v>44</v>
      </c>
      <c r="J549" t="s">
        <v>1491</v>
      </c>
      <c r="K549" t="s">
        <v>31</v>
      </c>
      <c r="L549" s="4">
        <v>310</v>
      </c>
      <c r="M549" t="s">
        <v>493</v>
      </c>
      <c r="N549" t="s">
        <v>26</v>
      </c>
      <c r="O549" s="4">
        <v>215</v>
      </c>
      <c r="P549">
        <v>0</v>
      </c>
      <c r="Q549" s="4">
        <v>215</v>
      </c>
      <c r="R549" s="12">
        <f t="shared" si="8"/>
        <v>66650</v>
      </c>
      <c r="T549" t="s">
        <v>494</v>
      </c>
      <c r="U549" t="s">
        <v>495</v>
      </c>
      <c r="V549" s="4">
        <v>310</v>
      </c>
      <c r="W549">
        <v>0</v>
      </c>
    </row>
    <row r="550" spans="1:23" hidden="1" x14ac:dyDescent="0.25">
      <c r="A550" s="2">
        <v>45923.68273148148</v>
      </c>
      <c r="B550">
        <v>4080</v>
      </c>
      <c r="C550" t="s">
        <v>492</v>
      </c>
      <c r="D550" s="3">
        <v>45923</v>
      </c>
      <c r="E550" s="3">
        <v>46172</v>
      </c>
      <c r="F550" t="s">
        <v>79</v>
      </c>
      <c r="G550" t="s">
        <v>1493</v>
      </c>
      <c r="H550" t="s">
        <v>496</v>
      </c>
      <c r="I550" t="s">
        <v>38</v>
      </c>
      <c r="J550" t="s">
        <v>1491</v>
      </c>
      <c r="K550" t="s">
        <v>24</v>
      </c>
      <c r="L550" s="4">
        <v>34</v>
      </c>
      <c r="M550" t="s">
        <v>493</v>
      </c>
      <c r="N550" t="s">
        <v>26</v>
      </c>
      <c r="O550" s="4">
        <v>324</v>
      </c>
      <c r="P550">
        <v>0</v>
      </c>
      <c r="Q550" s="4">
        <v>324</v>
      </c>
      <c r="R550" s="12">
        <f t="shared" si="8"/>
        <v>11016</v>
      </c>
      <c r="T550" t="s">
        <v>494</v>
      </c>
      <c r="U550" t="s">
        <v>495</v>
      </c>
      <c r="V550" s="4">
        <v>34</v>
      </c>
      <c r="W550">
        <v>0</v>
      </c>
    </row>
    <row r="551" spans="1:23" hidden="1" x14ac:dyDescent="0.25">
      <c r="A551" s="2">
        <v>45923.68273148148</v>
      </c>
      <c r="B551">
        <v>4080</v>
      </c>
      <c r="C551" t="s">
        <v>492</v>
      </c>
      <c r="D551" s="3">
        <v>45923</v>
      </c>
      <c r="E551" s="3">
        <v>46172</v>
      </c>
      <c r="F551" t="s">
        <v>79</v>
      </c>
      <c r="G551" t="s">
        <v>1493</v>
      </c>
      <c r="H551" t="s">
        <v>496</v>
      </c>
      <c r="I551" t="s">
        <v>41</v>
      </c>
      <c r="J551" t="s">
        <v>1491</v>
      </c>
      <c r="K551" t="s">
        <v>24</v>
      </c>
      <c r="L551" s="4">
        <v>248</v>
      </c>
      <c r="M551" t="s">
        <v>493</v>
      </c>
      <c r="N551" t="s">
        <v>26</v>
      </c>
      <c r="O551" s="4">
        <v>204</v>
      </c>
      <c r="P551">
        <v>0</v>
      </c>
      <c r="Q551" s="4">
        <v>204</v>
      </c>
      <c r="R551" s="12">
        <f t="shared" si="8"/>
        <v>50592</v>
      </c>
      <c r="T551" t="s">
        <v>494</v>
      </c>
      <c r="U551" t="s">
        <v>495</v>
      </c>
      <c r="V551" s="4">
        <v>248</v>
      </c>
      <c r="W551">
        <v>0</v>
      </c>
    </row>
    <row r="552" spans="1:23" hidden="1" x14ac:dyDescent="0.25">
      <c r="A552" s="2">
        <v>45923.68273148148</v>
      </c>
      <c r="B552">
        <v>4080</v>
      </c>
      <c r="C552" t="s">
        <v>492</v>
      </c>
      <c r="D552" s="3">
        <v>45923</v>
      </c>
      <c r="E552" s="3">
        <v>46172</v>
      </c>
      <c r="F552" t="s">
        <v>79</v>
      </c>
      <c r="G552" t="s">
        <v>1493</v>
      </c>
      <c r="H552" t="s">
        <v>496</v>
      </c>
      <c r="I552" t="s">
        <v>497</v>
      </c>
      <c r="J552" t="s">
        <v>1491</v>
      </c>
      <c r="K552" t="s">
        <v>24</v>
      </c>
      <c r="L552" s="4">
        <v>48</v>
      </c>
      <c r="M552" t="s">
        <v>493</v>
      </c>
      <c r="N552" t="s">
        <v>26</v>
      </c>
      <c r="O552" s="4">
        <v>180</v>
      </c>
      <c r="P552">
        <v>0</v>
      </c>
      <c r="Q552" s="4">
        <v>180</v>
      </c>
      <c r="R552" s="12">
        <f t="shared" si="8"/>
        <v>8640</v>
      </c>
      <c r="T552" t="s">
        <v>494</v>
      </c>
      <c r="U552" t="s">
        <v>495</v>
      </c>
      <c r="V552" s="4">
        <v>48</v>
      </c>
      <c r="W552">
        <v>0</v>
      </c>
    </row>
    <row r="553" spans="1:23" hidden="1" x14ac:dyDescent="0.25">
      <c r="A553" s="2">
        <v>45923.68273148148</v>
      </c>
      <c r="B553">
        <v>4080</v>
      </c>
      <c r="C553" t="s">
        <v>492</v>
      </c>
      <c r="D553" s="3">
        <v>45923</v>
      </c>
      <c r="E553" s="3">
        <v>46172</v>
      </c>
      <c r="F553" t="s">
        <v>79</v>
      </c>
      <c r="G553" t="s">
        <v>1493</v>
      </c>
      <c r="H553" t="s">
        <v>496</v>
      </c>
      <c r="I553" t="s">
        <v>92</v>
      </c>
      <c r="J553" t="s">
        <v>1491</v>
      </c>
      <c r="K553" t="s">
        <v>31</v>
      </c>
      <c r="L553" s="4">
        <v>240</v>
      </c>
      <c r="M553" t="s">
        <v>493</v>
      </c>
      <c r="N553" t="s">
        <v>26</v>
      </c>
      <c r="O553" s="4">
        <v>30</v>
      </c>
      <c r="P553">
        <v>0</v>
      </c>
      <c r="Q553" s="4">
        <v>30</v>
      </c>
      <c r="R553" s="12">
        <f t="shared" si="8"/>
        <v>7200</v>
      </c>
      <c r="T553" t="s">
        <v>494</v>
      </c>
      <c r="U553" t="s">
        <v>495</v>
      </c>
      <c r="V553" s="4">
        <v>240</v>
      </c>
      <c r="W553">
        <v>0</v>
      </c>
    </row>
    <row r="554" spans="1:23" hidden="1" x14ac:dyDescent="0.25">
      <c r="A554" s="2">
        <v>45923.68273148148</v>
      </c>
      <c r="B554">
        <v>4080</v>
      </c>
      <c r="C554" t="s">
        <v>492</v>
      </c>
      <c r="D554" s="3">
        <v>45923</v>
      </c>
      <c r="E554" s="3">
        <v>46172</v>
      </c>
      <c r="F554" t="s">
        <v>79</v>
      </c>
      <c r="G554" t="s">
        <v>1493</v>
      </c>
      <c r="H554" t="s">
        <v>496</v>
      </c>
      <c r="I554" t="s">
        <v>40</v>
      </c>
      <c r="J554" t="s">
        <v>1491</v>
      </c>
      <c r="K554" t="s">
        <v>24</v>
      </c>
      <c r="L554" s="4">
        <v>248</v>
      </c>
      <c r="M554" t="s">
        <v>493</v>
      </c>
      <c r="N554" t="s">
        <v>26</v>
      </c>
      <c r="O554" s="4">
        <v>204</v>
      </c>
      <c r="P554">
        <v>0</v>
      </c>
      <c r="Q554" s="4">
        <v>204</v>
      </c>
      <c r="R554" s="12">
        <f t="shared" si="8"/>
        <v>50592</v>
      </c>
      <c r="T554" t="s">
        <v>494</v>
      </c>
      <c r="U554" t="s">
        <v>495</v>
      </c>
      <c r="V554" s="4">
        <v>248</v>
      </c>
      <c r="W554">
        <v>0</v>
      </c>
    </row>
    <row r="555" spans="1:23" hidden="1" x14ac:dyDescent="0.25">
      <c r="A555" s="2">
        <v>45923.68273148148</v>
      </c>
      <c r="B555">
        <v>4080</v>
      </c>
      <c r="C555" t="s">
        <v>492</v>
      </c>
      <c r="D555" s="3">
        <v>45923</v>
      </c>
      <c r="E555" s="3">
        <v>46172</v>
      </c>
      <c r="F555" t="s">
        <v>79</v>
      </c>
      <c r="G555" t="s">
        <v>1493</v>
      </c>
      <c r="H555" t="s">
        <v>496</v>
      </c>
      <c r="I555" t="s">
        <v>43</v>
      </c>
      <c r="J555" t="s">
        <v>1491</v>
      </c>
      <c r="K555" t="s">
        <v>24</v>
      </c>
      <c r="L555" s="4">
        <v>29</v>
      </c>
      <c r="M555" t="s">
        <v>493</v>
      </c>
      <c r="N555" t="s">
        <v>26</v>
      </c>
      <c r="O555" s="4">
        <v>1404</v>
      </c>
      <c r="P555">
        <v>0</v>
      </c>
      <c r="Q555" s="4">
        <v>1404</v>
      </c>
      <c r="R555" s="12">
        <f t="shared" si="8"/>
        <v>40716</v>
      </c>
      <c r="T555" t="s">
        <v>494</v>
      </c>
      <c r="U555" t="s">
        <v>495</v>
      </c>
      <c r="V555" s="4">
        <v>29</v>
      </c>
      <c r="W555">
        <v>0</v>
      </c>
    </row>
    <row r="556" spans="1:23" hidden="1" x14ac:dyDescent="0.25">
      <c r="A556" s="2">
        <v>45943.441157407404</v>
      </c>
      <c r="B556">
        <v>344</v>
      </c>
      <c r="C556" t="s">
        <v>498</v>
      </c>
      <c r="D556" s="3">
        <v>45943</v>
      </c>
      <c r="E556" s="3">
        <v>46142</v>
      </c>
      <c r="F556" t="s">
        <v>418</v>
      </c>
      <c r="G556" t="s">
        <v>1494</v>
      </c>
      <c r="H556" t="s">
        <v>22</v>
      </c>
      <c r="I556" t="s">
        <v>43</v>
      </c>
      <c r="J556" t="s">
        <v>1491</v>
      </c>
      <c r="K556" t="s">
        <v>24</v>
      </c>
      <c r="L556" s="4">
        <v>38</v>
      </c>
      <c r="M556" t="s">
        <v>499</v>
      </c>
      <c r="N556" t="s">
        <v>26</v>
      </c>
      <c r="O556" s="4">
        <v>300</v>
      </c>
      <c r="P556">
        <v>0</v>
      </c>
      <c r="Q556" s="4">
        <v>300</v>
      </c>
      <c r="R556" s="12">
        <f t="shared" si="8"/>
        <v>11400</v>
      </c>
      <c r="T556" t="s">
        <v>55</v>
      </c>
      <c r="U556" t="s">
        <v>500</v>
      </c>
      <c r="V556" s="4">
        <v>38</v>
      </c>
      <c r="W556">
        <v>0</v>
      </c>
    </row>
    <row r="557" spans="1:23" hidden="1" x14ac:dyDescent="0.25">
      <c r="A557" s="2">
        <v>45761.345034722224</v>
      </c>
      <c r="B557">
        <v>176</v>
      </c>
      <c r="C557" t="s">
        <v>501</v>
      </c>
      <c r="D557" s="3">
        <v>45761</v>
      </c>
      <c r="E557" s="3">
        <v>46142</v>
      </c>
      <c r="F557" t="s">
        <v>66</v>
      </c>
      <c r="H557" t="s">
        <v>22</v>
      </c>
      <c r="I557" t="s">
        <v>502</v>
      </c>
      <c r="K557" t="s">
        <v>105</v>
      </c>
      <c r="L557" s="4">
        <v>1158</v>
      </c>
      <c r="M557" t="s">
        <v>503</v>
      </c>
      <c r="N557" t="s">
        <v>26</v>
      </c>
      <c r="O557" s="4">
        <v>79</v>
      </c>
      <c r="P557">
        <v>0</v>
      </c>
      <c r="Q557" s="4">
        <v>79</v>
      </c>
      <c r="R557" s="12">
        <f t="shared" si="8"/>
        <v>91482</v>
      </c>
      <c r="T557" t="s">
        <v>140</v>
      </c>
      <c r="U557" t="s">
        <v>504</v>
      </c>
      <c r="V557" s="4">
        <v>1158</v>
      </c>
      <c r="W557">
        <v>0</v>
      </c>
    </row>
    <row r="558" spans="1:23" hidden="1" x14ac:dyDescent="0.25">
      <c r="A558" s="2">
        <v>46042.644375000003</v>
      </c>
      <c r="B558">
        <v>509</v>
      </c>
      <c r="C558" t="s">
        <v>505</v>
      </c>
      <c r="D558" s="3">
        <v>46042</v>
      </c>
      <c r="E558" s="3">
        <v>46052</v>
      </c>
      <c r="F558" t="s">
        <v>66</v>
      </c>
      <c r="G558" t="s">
        <v>1494</v>
      </c>
      <c r="H558" t="s">
        <v>22</v>
      </c>
      <c r="I558" t="s">
        <v>92</v>
      </c>
      <c r="J558" t="s">
        <v>1491</v>
      </c>
      <c r="K558" t="s">
        <v>31</v>
      </c>
      <c r="L558" s="4">
        <v>340</v>
      </c>
      <c r="M558" t="s">
        <v>506</v>
      </c>
      <c r="N558" t="s">
        <v>46</v>
      </c>
      <c r="O558" s="4">
        <v>2</v>
      </c>
      <c r="P558">
        <v>0</v>
      </c>
      <c r="Q558" s="4">
        <v>2</v>
      </c>
      <c r="R558" s="12">
        <f t="shared" si="8"/>
        <v>680</v>
      </c>
      <c r="T558" t="s">
        <v>125</v>
      </c>
      <c r="U558" t="s">
        <v>507</v>
      </c>
      <c r="V558" s="4">
        <v>340</v>
      </c>
      <c r="W558">
        <v>0</v>
      </c>
    </row>
    <row r="559" spans="1:23" hidden="1" x14ac:dyDescent="0.25">
      <c r="A559" s="2">
        <v>46042.644375000003</v>
      </c>
      <c r="B559">
        <v>509</v>
      </c>
      <c r="C559" t="s">
        <v>505</v>
      </c>
      <c r="D559" s="3">
        <v>46042</v>
      </c>
      <c r="E559" s="3">
        <v>46052</v>
      </c>
      <c r="F559" t="s">
        <v>66</v>
      </c>
      <c r="G559" t="s">
        <v>1494</v>
      </c>
      <c r="H559" t="s">
        <v>22</v>
      </c>
      <c r="I559" t="s">
        <v>40</v>
      </c>
      <c r="J559" t="s">
        <v>1491</v>
      </c>
      <c r="K559" t="s">
        <v>24</v>
      </c>
      <c r="L559" s="4">
        <v>300</v>
      </c>
      <c r="M559" t="s">
        <v>506</v>
      </c>
      <c r="N559" t="s">
        <v>46</v>
      </c>
      <c r="O559" s="4">
        <v>1</v>
      </c>
      <c r="P559">
        <v>0</v>
      </c>
      <c r="Q559" s="4">
        <v>1</v>
      </c>
      <c r="R559" s="12">
        <f t="shared" si="8"/>
        <v>300</v>
      </c>
      <c r="T559" t="s">
        <v>125</v>
      </c>
      <c r="U559" t="s">
        <v>507</v>
      </c>
      <c r="V559" s="4">
        <v>300</v>
      </c>
      <c r="W559">
        <v>0</v>
      </c>
    </row>
    <row r="560" spans="1:23" hidden="1" x14ac:dyDescent="0.25">
      <c r="A560" s="2">
        <v>46042.644375000003</v>
      </c>
      <c r="B560">
        <v>509</v>
      </c>
      <c r="C560" t="s">
        <v>505</v>
      </c>
      <c r="D560" s="3">
        <v>46042</v>
      </c>
      <c r="E560" s="3">
        <v>46052</v>
      </c>
      <c r="F560" t="s">
        <v>66</v>
      </c>
      <c r="G560" t="s">
        <v>1494</v>
      </c>
      <c r="H560" t="s">
        <v>22</v>
      </c>
      <c r="I560" t="s">
        <v>41</v>
      </c>
      <c r="J560" t="s">
        <v>1491</v>
      </c>
      <c r="K560" t="s">
        <v>24</v>
      </c>
      <c r="L560" s="4">
        <v>300</v>
      </c>
      <c r="M560" t="s">
        <v>506</v>
      </c>
      <c r="N560" t="s">
        <v>46</v>
      </c>
      <c r="O560" s="4">
        <v>1</v>
      </c>
      <c r="P560">
        <v>0</v>
      </c>
      <c r="Q560" s="4">
        <v>1</v>
      </c>
      <c r="R560" s="12">
        <f t="shared" si="8"/>
        <v>300</v>
      </c>
      <c r="T560" t="s">
        <v>125</v>
      </c>
      <c r="U560" t="s">
        <v>507</v>
      </c>
      <c r="V560" s="4">
        <v>300</v>
      </c>
      <c r="W560">
        <v>0</v>
      </c>
    </row>
    <row r="561" spans="1:23" hidden="1" x14ac:dyDescent="0.25">
      <c r="A561" s="2">
        <v>46042.644375000003</v>
      </c>
      <c r="B561">
        <v>509</v>
      </c>
      <c r="C561" t="s">
        <v>505</v>
      </c>
      <c r="D561" s="3">
        <v>46042</v>
      </c>
      <c r="E561" s="3">
        <v>46052</v>
      </c>
      <c r="F561" t="s">
        <v>66</v>
      </c>
      <c r="G561" t="s">
        <v>1494</v>
      </c>
      <c r="H561" t="s">
        <v>22</v>
      </c>
      <c r="I561" t="s">
        <v>44</v>
      </c>
      <c r="J561" t="s">
        <v>1491</v>
      </c>
      <c r="K561" t="s">
        <v>31</v>
      </c>
      <c r="L561" s="4">
        <v>370</v>
      </c>
      <c r="M561" t="s">
        <v>506</v>
      </c>
      <c r="N561" t="s">
        <v>46</v>
      </c>
      <c r="O561" s="4">
        <v>1</v>
      </c>
      <c r="P561">
        <v>0</v>
      </c>
      <c r="Q561" s="4">
        <v>1</v>
      </c>
      <c r="R561" s="12">
        <f t="shared" si="8"/>
        <v>370</v>
      </c>
      <c r="T561" t="s">
        <v>125</v>
      </c>
      <c r="U561" t="s">
        <v>507</v>
      </c>
      <c r="V561" s="4">
        <v>370</v>
      </c>
      <c r="W561">
        <v>0</v>
      </c>
    </row>
    <row r="562" spans="1:23" hidden="1" x14ac:dyDescent="0.25">
      <c r="A562" s="2">
        <v>46042.644375000003</v>
      </c>
      <c r="B562">
        <v>509</v>
      </c>
      <c r="C562" t="s">
        <v>505</v>
      </c>
      <c r="D562" s="3">
        <v>46042</v>
      </c>
      <c r="E562" s="3">
        <v>46052</v>
      </c>
      <c r="F562" t="s">
        <v>66</v>
      </c>
      <c r="G562" t="s">
        <v>1494</v>
      </c>
      <c r="H562" t="s">
        <v>22</v>
      </c>
      <c r="I562" t="s">
        <v>468</v>
      </c>
      <c r="J562" t="s">
        <v>1491</v>
      </c>
      <c r="K562" t="s">
        <v>24</v>
      </c>
      <c r="L562" s="4">
        <v>40</v>
      </c>
      <c r="M562" t="s">
        <v>506</v>
      </c>
      <c r="N562" t="s">
        <v>46</v>
      </c>
      <c r="O562" s="4">
        <v>5</v>
      </c>
      <c r="P562">
        <v>0</v>
      </c>
      <c r="Q562" s="4">
        <v>5</v>
      </c>
      <c r="R562" s="12">
        <f t="shared" si="8"/>
        <v>200</v>
      </c>
      <c r="T562" t="s">
        <v>125</v>
      </c>
      <c r="U562" t="s">
        <v>507</v>
      </c>
      <c r="V562" s="4">
        <v>40</v>
      </c>
      <c r="W562">
        <v>0</v>
      </c>
    </row>
    <row r="563" spans="1:23" hidden="1" x14ac:dyDescent="0.25">
      <c r="A563" s="2">
        <v>45811.356319444443</v>
      </c>
      <c r="B563">
        <v>226</v>
      </c>
      <c r="C563" t="s">
        <v>508</v>
      </c>
      <c r="D563" s="3">
        <v>45811</v>
      </c>
      <c r="E563" s="3">
        <v>46142</v>
      </c>
      <c r="F563" t="s">
        <v>52</v>
      </c>
      <c r="H563" t="s">
        <v>22</v>
      </c>
      <c r="I563" t="s">
        <v>29</v>
      </c>
      <c r="J563" t="s">
        <v>1490</v>
      </c>
      <c r="K563" t="s">
        <v>24</v>
      </c>
      <c r="L563" s="4">
        <v>167</v>
      </c>
      <c r="M563" t="s">
        <v>509</v>
      </c>
      <c r="N563" t="s">
        <v>26</v>
      </c>
      <c r="O563" s="4">
        <v>210</v>
      </c>
      <c r="P563">
        <v>0</v>
      </c>
      <c r="Q563" s="4">
        <v>210</v>
      </c>
      <c r="R563" s="12">
        <f t="shared" si="8"/>
        <v>35070</v>
      </c>
      <c r="T563" t="s">
        <v>82</v>
      </c>
      <c r="U563" t="s">
        <v>510</v>
      </c>
      <c r="V563" s="4">
        <v>167</v>
      </c>
      <c r="W563">
        <v>0</v>
      </c>
    </row>
    <row r="564" spans="1:23" hidden="1" x14ac:dyDescent="0.25">
      <c r="A564" s="2">
        <v>45811.356319444443</v>
      </c>
      <c r="B564">
        <v>226</v>
      </c>
      <c r="C564" t="s">
        <v>508</v>
      </c>
      <c r="D564" s="3">
        <v>45811</v>
      </c>
      <c r="E564" s="3">
        <v>46142</v>
      </c>
      <c r="F564" t="s">
        <v>52</v>
      </c>
      <c r="H564" t="s">
        <v>22</v>
      </c>
      <c r="I564" t="s">
        <v>30</v>
      </c>
      <c r="J564" t="s">
        <v>1490</v>
      </c>
      <c r="K564" t="s">
        <v>31</v>
      </c>
      <c r="L564" s="4">
        <v>22</v>
      </c>
      <c r="M564" t="s">
        <v>509</v>
      </c>
      <c r="N564" t="s">
        <v>26</v>
      </c>
      <c r="O564" s="4">
        <v>1400</v>
      </c>
      <c r="P564">
        <v>0</v>
      </c>
      <c r="Q564" s="4">
        <v>1400</v>
      </c>
      <c r="R564" s="12">
        <f t="shared" si="8"/>
        <v>30800</v>
      </c>
      <c r="T564" t="s">
        <v>82</v>
      </c>
      <c r="U564" t="s">
        <v>510</v>
      </c>
      <c r="V564" s="4">
        <v>22</v>
      </c>
      <c r="W564">
        <v>0</v>
      </c>
    </row>
    <row r="565" spans="1:23" hidden="1" x14ac:dyDescent="0.25">
      <c r="A565" s="2">
        <v>45811.356319444443</v>
      </c>
      <c r="B565">
        <v>226</v>
      </c>
      <c r="C565" t="s">
        <v>508</v>
      </c>
      <c r="D565" s="3">
        <v>45811</v>
      </c>
      <c r="E565" s="3">
        <v>46142</v>
      </c>
      <c r="F565" t="s">
        <v>52</v>
      </c>
      <c r="G565" t="s">
        <v>1494</v>
      </c>
      <c r="H565" t="s">
        <v>22</v>
      </c>
      <c r="I565" t="s">
        <v>44</v>
      </c>
      <c r="J565" t="s">
        <v>1491</v>
      </c>
      <c r="K565" t="s">
        <v>31</v>
      </c>
      <c r="L565" s="4">
        <v>400</v>
      </c>
      <c r="M565" t="s">
        <v>509</v>
      </c>
      <c r="N565" t="s">
        <v>26</v>
      </c>
      <c r="O565" s="4">
        <v>35</v>
      </c>
      <c r="P565">
        <v>0</v>
      </c>
      <c r="Q565" s="4">
        <v>35</v>
      </c>
      <c r="R565" s="12">
        <f t="shared" si="8"/>
        <v>14000</v>
      </c>
      <c r="T565" t="s">
        <v>82</v>
      </c>
      <c r="U565" t="s">
        <v>510</v>
      </c>
      <c r="V565" s="4">
        <v>400</v>
      </c>
      <c r="W565">
        <v>0</v>
      </c>
    </row>
    <row r="566" spans="1:23" hidden="1" x14ac:dyDescent="0.25">
      <c r="A566" s="2">
        <v>45811.356319444443</v>
      </c>
      <c r="B566">
        <v>226</v>
      </c>
      <c r="C566" t="s">
        <v>508</v>
      </c>
      <c r="D566" s="3">
        <v>45811</v>
      </c>
      <c r="E566" s="3">
        <v>46142</v>
      </c>
      <c r="F566" t="s">
        <v>52</v>
      </c>
      <c r="G566" t="s">
        <v>1494</v>
      </c>
      <c r="H566" t="s">
        <v>22</v>
      </c>
      <c r="I566" t="s">
        <v>41</v>
      </c>
      <c r="J566" t="s">
        <v>1491</v>
      </c>
      <c r="K566" t="s">
        <v>24</v>
      </c>
      <c r="L566" s="4">
        <v>340</v>
      </c>
      <c r="M566" t="s">
        <v>509</v>
      </c>
      <c r="N566" t="s">
        <v>26</v>
      </c>
      <c r="O566" s="4">
        <v>35</v>
      </c>
      <c r="P566">
        <v>0</v>
      </c>
      <c r="Q566" s="4">
        <v>35</v>
      </c>
      <c r="R566" s="12">
        <f t="shared" si="8"/>
        <v>11900</v>
      </c>
      <c r="T566" t="s">
        <v>82</v>
      </c>
      <c r="U566" t="s">
        <v>510</v>
      </c>
      <c r="V566" s="4">
        <v>340</v>
      </c>
      <c r="W566">
        <v>0</v>
      </c>
    </row>
    <row r="567" spans="1:23" hidden="1" x14ac:dyDescent="0.25">
      <c r="A567" s="2">
        <v>45811.356319444443</v>
      </c>
      <c r="B567">
        <v>226</v>
      </c>
      <c r="C567" t="s">
        <v>508</v>
      </c>
      <c r="D567" s="3">
        <v>45811</v>
      </c>
      <c r="E567" s="3">
        <v>46142</v>
      </c>
      <c r="F567" t="s">
        <v>52</v>
      </c>
      <c r="H567" t="s">
        <v>22</v>
      </c>
      <c r="I567" t="s">
        <v>42</v>
      </c>
      <c r="J567" t="s">
        <v>1490</v>
      </c>
      <c r="K567" t="s">
        <v>24</v>
      </c>
      <c r="L567" s="4">
        <v>250</v>
      </c>
      <c r="M567" t="s">
        <v>509</v>
      </c>
      <c r="N567" t="s">
        <v>26</v>
      </c>
      <c r="O567" s="4">
        <v>70</v>
      </c>
      <c r="P567">
        <v>0</v>
      </c>
      <c r="Q567" s="4">
        <v>70</v>
      </c>
      <c r="R567" s="12">
        <f t="shared" si="8"/>
        <v>17500</v>
      </c>
      <c r="T567" t="s">
        <v>82</v>
      </c>
      <c r="U567" t="s">
        <v>510</v>
      </c>
      <c r="V567" s="4">
        <v>250</v>
      </c>
      <c r="W567">
        <v>0</v>
      </c>
    </row>
    <row r="568" spans="1:23" hidden="1" x14ac:dyDescent="0.25">
      <c r="A568" s="2">
        <v>45811.356319444443</v>
      </c>
      <c r="B568">
        <v>226</v>
      </c>
      <c r="C568" t="s">
        <v>508</v>
      </c>
      <c r="D568" s="3">
        <v>45811</v>
      </c>
      <c r="E568" s="3">
        <v>46142</v>
      </c>
      <c r="F568" t="s">
        <v>52</v>
      </c>
      <c r="H568" t="s">
        <v>22</v>
      </c>
      <c r="I568" t="s">
        <v>37</v>
      </c>
      <c r="J568" t="s">
        <v>1490</v>
      </c>
      <c r="K568" t="s">
        <v>31</v>
      </c>
      <c r="L568" s="4">
        <v>92</v>
      </c>
      <c r="M568" t="s">
        <v>509</v>
      </c>
      <c r="N568" t="s">
        <v>26</v>
      </c>
      <c r="O568" s="4">
        <v>70</v>
      </c>
      <c r="P568">
        <v>0</v>
      </c>
      <c r="Q568" s="4">
        <v>70</v>
      </c>
      <c r="R568" s="12">
        <f t="shared" si="8"/>
        <v>6440</v>
      </c>
      <c r="T568" t="s">
        <v>82</v>
      </c>
      <c r="U568" t="s">
        <v>510</v>
      </c>
      <c r="V568" s="4">
        <v>92</v>
      </c>
      <c r="W568">
        <v>0</v>
      </c>
    </row>
    <row r="569" spans="1:23" hidden="1" x14ac:dyDescent="0.25">
      <c r="A569" s="2">
        <v>45811.356319444443</v>
      </c>
      <c r="B569">
        <v>226</v>
      </c>
      <c r="C569" t="s">
        <v>508</v>
      </c>
      <c r="D569" s="3">
        <v>45811</v>
      </c>
      <c r="E569" s="3">
        <v>46142</v>
      </c>
      <c r="F569" t="s">
        <v>52</v>
      </c>
      <c r="H569" t="s">
        <v>22</v>
      </c>
      <c r="I569" t="s">
        <v>34</v>
      </c>
      <c r="J569" t="s">
        <v>1490</v>
      </c>
      <c r="K569" t="s">
        <v>31</v>
      </c>
      <c r="L569" s="4">
        <v>25</v>
      </c>
      <c r="M569" t="s">
        <v>509</v>
      </c>
      <c r="N569" t="s">
        <v>26</v>
      </c>
      <c r="O569" s="4">
        <v>700</v>
      </c>
      <c r="P569">
        <v>0</v>
      </c>
      <c r="Q569" s="4">
        <v>700</v>
      </c>
      <c r="R569" s="12">
        <f t="shared" si="8"/>
        <v>17500</v>
      </c>
      <c r="T569" t="s">
        <v>82</v>
      </c>
      <c r="U569" t="s">
        <v>510</v>
      </c>
      <c r="V569" s="4">
        <v>25</v>
      </c>
      <c r="W569">
        <v>0</v>
      </c>
    </row>
    <row r="570" spans="1:23" hidden="1" x14ac:dyDescent="0.25">
      <c r="A570" s="2">
        <v>45811.356319444443</v>
      </c>
      <c r="B570">
        <v>226</v>
      </c>
      <c r="C570" t="s">
        <v>508</v>
      </c>
      <c r="D570" s="3">
        <v>45811</v>
      </c>
      <c r="E570" s="3">
        <v>46142</v>
      </c>
      <c r="F570" t="s">
        <v>52</v>
      </c>
      <c r="H570" t="s">
        <v>22</v>
      </c>
      <c r="I570" t="s">
        <v>280</v>
      </c>
      <c r="K570" t="s">
        <v>24</v>
      </c>
      <c r="L570" s="4">
        <v>25</v>
      </c>
      <c r="M570" t="s">
        <v>509</v>
      </c>
      <c r="N570" t="s">
        <v>26</v>
      </c>
      <c r="O570" s="4">
        <v>700</v>
      </c>
      <c r="P570">
        <v>0</v>
      </c>
      <c r="Q570" s="4">
        <v>700</v>
      </c>
      <c r="R570" s="12">
        <f t="shared" si="8"/>
        <v>17500</v>
      </c>
      <c r="T570" t="s">
        <v>82</v>
      </c>
      <c r="U570" t="s">
        <v>510</v>
      </c>
      <c r="V570" s="4">
        <v>25</v>
      </c>
      <c r="W570">
        <v>0</v>
      </c>
    </row>
    <row r="571" spans="1:23" hidden="1" x14ac:dyDescent="0.25">
      <c r="A571" s="2">
        <v>45811.356319444443</v>
      </c>
      <c r="B571">
        <v>226</v>
      </c>
      <c r="C571" t="s">
        <v>508</v>
      </c>
      <c r="D571" s="3">
        <v>45811</v>
      </c>
      <c r="E571" s="3">
        <v>46142</v>
      </c>
      <c r="F571" t="s">
        <v>52</v>
      </c>
      <c r="G571" t="s">
        <v>1494</v>
      </c>
      <c r="H571" t="s">
        <v>22</v>
      </c>
      <c r="I571" t="s">
        <v>40</v>
      </c>
      <c r="J571" t="s">
        <v>1491</v>
      </c>
      <c r="K571" t="s">
        <v>24</v>
      </c>
      <c r="L571" s="4">
        <v>340</v>
      </c>
      <c r="M571" t="s">
        <v>509</v>
      </c>
      <c r="N571" t="s">
        <v>26</v>
      </c>
      <c r="O571" s="4">
        <v>35</v>
      </c>
      <c r="P571">
        <v>0</v>
      </c>
      <c r="Q571" s="4">
        <v>35</v>
      </c>
      <c r="R571" s="12">
        <f t="shared" si="8"/>
        <v>11900</v>
      </c>
      <c r="T571" t="s">
        <v>82</v>
      </c>
      <c r="U571" t="s">
        <v>510</v>
      </c>
      <c r="V571" s="4">
        <v>340</v>
      </c>
      <c r="W571">
        <v>0</v>
      </c>
    </row>
    <row r="572" spans="1:23" hidden="1" x14ac:dyDescent="0.25">
      <c r="A572" s="2">
        <v>45811.356319444443</v>
      </c>
      <c r="B572">
        <v>226</v>
      </c>
      <c r="C572" t="s">
        <v>508</v>
      </c>
      <c r="D572" s="3">
        <v>45811</v>
      </c>
      <c r="E572" s="3">
        <v>46142</v>
      </c>
      <c r="F572" t="s">
        <v>52</v>
      </c>
      <c r="H572" t="s">
        <v>22</v>
      </c>
      <c r="I572" t="s">
        <v>23</v>
      </c>
      <c r="J572" t="s">
        <v>1490</v>
      </c>
      <c r="K572" t="s">
        <v>24</v>
      </c>
      <c r="L572" s="4">
        <v>16</v>
      </c>
      <c r="M572" t="s">
        <v>509</v>
      </c>
      <c r="N572" t="s">
        <v>26</v>
      </c>
      <c r="O572" s="4">
        <v>700</v>
      </c>
      <c r="P572">
        <v>0</v>
      </c>
      <c r="Q572" s="4">
        <v>700</v>
      </c>
      <c r="R572" s="12">
        <f t="shared" si="8"/>
        <v>11200</v>
      </c>
      <c r="T572" t="s">
        <v>82</v>
      </c>
      <c r="U572" t="s">
        <v>510</v>
      </c>
      <c r="V572" s="4">
        <v>16</v>
      </c>
      <c r="W572">
        <v>0</v>
      </c>
    </row>
    <row r="573" spans="1:23" hidden="1" x14ac:dyDescent="0.25">
      <c r="A573" s="2">
        <v>45949.743391203701</v>
      </c>
      <c r="B573">
        <v>369</v>
      </c>
      <c r="C573" t="s">
        <v>508</v>
      </c>
      <c r="D573" s="3">
        <v>45948</v>
      </c>
      <c r="E573" s="3">
        <v>46142</v>
      </c>
      <c r="F573" t="s">
        <v>52</v>
      </c>
      <c r="G573" t="s">
        <v>1494</v>
      </c>
      <c r="H573" t="s">
        <v>22</v>
      </c>
      <c r="I573" t="s">
        <v>44</v>
      </c>
      <c r="J573" t="s">
        <v>1491</v>
      </c>
      <c r="K573" t="s">
        <v>31</v>
      </c>
      <c r="L573" s="4">
        <v>400</v>
      </c>
      <c r="M573" t="s">
        <v>511</v>
      </c>
      <c r="N573" t="s">
        <v>26</v>
      </c>
      <c r="O573" s="4">
        <v>9</v>
      </c>
      <c r="P573">
        <v>0</v>
      </c>
      <c r="Q573" s="4">
        <v>9</v>
      </c>
      <c r="R573" s="12">
        <f t="shared" si="8"/>
        <v>3600</v>
      </c>
      <c r="T573" t="s">
        <v>82</v>
      </c>
      <c r="U573" t="s">
        <v>510</v>
      </c>
      <c r="V573" s="4">
        <v>400</v>
      </c>
      <c r="W573">
        <v>0</v>
      </c>
    </row>
    <row r="574" spans="1:23" hidden="1" x14ac:dyDescent="0.25">
      <c r="A574" s="2">
        <v>45949.743391203701</v>
      </c>
      <c r="B574">
        <v>369</v>
      </c>
      <c r="C574" t="s">
        <v>508</v>
      </c>
      <c r="D574" s="3">
        <v>45948</v>
      </c>
      <c r="E574" s="3">
        <v>46142</v>
      </c>
      <c r="F574" t="s">
        <v>52</v>
      </c>
      <c r="G574" t="s">
        <v>1494</v>
      </c>
      <c r="H574" t="s">
        <v>22</v>
      </c>
      <c r="I574" t="s">
        <v>40</v>
      </c>
      <c r="J574" t="s">
        <v>1491</v>
      </c>
      <c r="K574" t="s">
        <v>24</v>
      </c>
      <c r="L574" s="4">
        <v>340</v>
      </c>
      <c r="M574" t="s">
        <v>511</v>
      </c>
      <c r="N574" t="s">
        <v>26</v>
      </c>
      <c r="O574" s="4">
        <v>9</v>
      </c>
      <c r="P574">
        <v>0</v>
      </c>
      <c r="Q574" s="4">
        <v>9</v>
      </c>
      <c r="R574" s="12">
        <f t="shared" si="8"/>
        <v>3060</v>
      </c>
      <c r="T574" t="s">
        <v>82</v>
      </c>
      <c r="U574" t="s">
        <v>510</v>
      </c>
      <c r="V574" s="4">
        <v>340</v>
      </c>
      <c r="W574">
        <v>0</v>
      </c>
    </row>
    <row r="575" spans="1:23" hidden="1" x14ac:dyDescent="0.25">
      <c r="A575" s="2">
        <v>45949.743391203701</v>
      </c>
      <c r="B575">
        <v>369</v>
      </c>
      <c r="C575" t="s">
        <v>508</v>
      </c>
      <c r="D575" s="3">
        <v>45948</v>
      </c>
      <c r="E575" s="3">
        <v>46142</v>
      </c>
      <c r="F575" t="s">
        <v>52</v>
      </c>
      <c r="H575" t="s">
        <v>22</v>
      </c>
      <c r="I575" t="s">
        <v>42</v>
      </c>
      <c r="J575" t="s">
        <v>1490</v>
      </c>
      <c r="K575" t="s">
        <v>24</v>
      </c>
      <c r="L575" s="4">
        <v>250</v>
      </c>
      <c r="M575" t="s">
        <v>511</v>
      </c>
      <c r="N575" t="s">
        <v>26</v>
      </c>
      <c r="O575" s="4">
        <v>20</v>
      </c>
      <c r="P575">
        <v>0</v>
      </c>
      <c r="Q575" s="4">
        <v>20</v>
      </c>
      <c r="R575" s="12">
        <f t="shared" si="8"/>
        <v>5000</v>
      </c>
      <c r="T575" t="s">
        <v>82</v>
      </c>
      <c r="U575" t="s">
        <v>510</v>
      </c>
      <c r="V575" s="4">
        <v>250</v>
      </c>
      <c r="W575">
        <v>0</v>
      </c>
    </row>
    <row r="576" spans="1:23" hidden="1" x14ac:dyDescent="0.25">
      <c r="A576" s="2">
        <v>45949.743391203701</v>
      </c>
      <c r="B576">
        <v>369</v>
      </c>
      <c r="C576" t="s">
        <v>508</v>
      </c>
      <c r="D576" s="3">
        <v>45948</v>
      </c>
      <c r="E576" s="3">
        <v>46142</v>
      </c>
      <c r="F576" t="s">
        <v>52</v>
      </c>
      <c r="G576" t="s">
        <v>1494</v>
      </c>
      <c r="H576" t="s">
        <v>22</v>
      </c>
      <c r="I576" t="s">
        <v>41</v>
      </c>
      <c r="J576" t="s">
        <v>1491</v>
      </c>
      <c r="K576" t="s">
        <v>24</v>
      </c>
      <c r="L576" s="4">
        <v>340</v>
      </c>
      <c r="M576" t="s">
        <v>511</v>
      </c>
      <c r="N576" t="s">
        <v>26</v>
      </c>
      <c r="O576" s="4">
        <v>9</v>
      </c>
      <c r="P576">
        <v>0</v>
      </c>
      <c r="Q576" s="4">
        <v>9</v>
      </c>
      <c r="R576" s="12">
        <f t="shared" si="8"/>
        <v>3060</v>
      </c>
      <c r="T576" t="s">
        <v>82</v>
      </c>
      <c r="U576" t="s">
        <v>510</v>
      </c>
      <c r="V576" s="4">
        <v>340</v>
      </c>
      <c r="W576">
        <v>0</v>
      </c>
    </row>
    <row r="577" spans="1:23" hidden="1" x14ac:dyDescent="0.25">
      <c r="A577" s="2">
        <v>45955.436643518522</v>
      </c>
      <c r="B577">
        <v>385</v>
      </c>
      <c r="C577" t="s">
        <v>508</v>
      </c>
      <c r="D577" s="3">
        <v>45955</v>
      </c>
      <c r="E577" s="3">
        <v>46142</v>
      </c>
      <c r="F577" t="s">
        <v>52</v>
      </c>
      <c r="G577" t="s">
        <v>1494</v>
      </c>
      <c r="H577" t="s">
        <v>22</v>
      </c>
      <c r="I577" t="s">
        <v>41</v>
      </c>
      <c r="J577" t="s">
        <v>1491</v>
      </c>
      <c r="K577" t="s">
        <v>24</v>
      </c>
      <c r="L577" s="4">
        <v>340</v>
      </c>
      <c r="M577" t="s">
        <v>512</v>
      </c>
      <c r="N577" t="s">
        <v>26</v>
      </c>
      <c r="O577" s="4">
        <v>5</v>
      </c>
      <c r="P577">
        <v>0</v>
      </c>
      <c r="Q577" s="4">
        <v>5</v>
      </c>
      <c r="R577" s="12">
        <f t="shared" si="8"/>
        <v>1700</v>
      </c>
      <c r="T577" t="s">
        <v>82</v>
      </c>
      <c r="U577" t="s">
        <v>510</v>
      </c>
      <c r="V577" s="4">
        <v>340</v>
      </c>
      <c r="W577">
        <v>0</v>
      </c>
    </row>
    <row r="578" spans="1:23" hidden="1" x14ac:dyDescent="0.25">
      <c r="A578" s="2">
        <v>45955.436643518522</v>
      </c>
      <c r="B578">
        <v>385</v>
      </c>
      <c r="C578" t="s">
        <v>508</v>
      </c>
      <c r="D578" s="3">
        <v>45955</v>
      </c>
      <c r="E578" s="3">
        <v>46142</v>
      </c>
      <c r="F578" t="s">
        <v>52</v>
      </c>
      <c r="H578" t="s">
        <v>22</v>
      </c>
      <c r="I578" t="s">
        <v>42</v>
      </c>
      <c r="J578" t="s">
        <v>1490</v>
      </c>
      <c r="K578" t="s">
        <v>24</v>
      </c>
      <c r="L578" s="4">
        <v>250</v>
      </c>
      <c r="M578" t="s">
        <v>512</v>
      </c>
      <c r="N578" t="s">
        <v>26</v>
      </c>
      <c r="O578" s="4">
        <v>10</v>
      </c>
      <c r="P578">
        <v>0</v>
      </c>
      <c r="Q578" s="4">
        <v>10</v>
      </c>
      <c r="R578" s="12">
        <f t="shared" si="8"/>
        <v>2500</v>
      </c>
      <c r="T578" t="s">
        <v>82</v>
      </c>
      <c r="U578" t="s">
        <v>510</v>
      </c>
      <c r="V578" s="4">
        <v>250</v>
      </c>
      <c r="W578">
        <v>0</v>
      </c>
    </row>
    <row r="579" spans="1:23" hidden="1" x14ac:dyDescent="0.25">
      <c r="A579" s="2">
        <v>45955.436643518522</v>
      </c>
      <c r="B579">
        <v>385</v>
      </c>
      <c r="C579" t="s">
        <v>508</v>
      </c>
      <c r="D579" s="3">
        <v>45955</v>
      </c>
      <c r="E579" s="3">
        <v>46142</v>
      </c>
      <c r="F579" t="s">
        <v>52</v>
      </c>
      <c r="G579" t="s">
        <v>1494</v>
      </c>
      <c r="H579" t="s">
        <v>22</v>
      </c>
      <c r="I579" t="s">
        <v>40</v>
      </c>
      <c r="J579" t="s">
        <v>1491</v>
      </c>
      <c r="K579" t="s">
        <v>24</v>
      </c>
      <c r="L579" s="4">
        <v>340</v>
      </c>
      <c r="M579" t="s">
        <v>512</v>
      </c>
      <c r="N579" t="s">
        <v>26</v>
      </c>
      <c r="O579" s="4">
        <v>5</v>
      </c>
      <c r="P579">
        <v>0</v>
      </c>
      <c r="Q579" s="4">
        <v>5</v>
      </c>
      <c r="R579" s="12">
        <f t="shared" ref="R579:R642" si="9">Q579*L579</f>
        <v>1700</v>
      </c>
      <c r="T579" t="s">
        <v>82</v>
      </c>
      <c r="U579" t="s">
        <v>510</v>
      </c>
      <c r="V579" s="4">
        <v>340</v>
      </c>
      <c r="W579">
        <v>0</v>
      </c>
    </row>
    <row r="580" spans="1:23" hidden="1" x14ac:dyDescent="0.25">
      <c r="A580" s="2">
        <v>45986.60255787037</v>
      </c>
      <c r="B580">
        <v>425</v>
      </c>
      <c r="C580" t="s">
        <v>508</v>
      </c>
      <c r="D580" s="3">
        <v>45986</v>
      </c>
      <c r="E580" s="3">
        <v>46142</v>
      </c>
      <c r="F580" t="s">
        <v>52</v>
      </c>
      <c r="H580" t="s">
        <v>22</v>
      </c>
      <c r="I580" t="s">
        <v>177</v>
      </c>
      <c r="J580" t="s">
        <v>1490</v>
      </c>
      <c r="K580" t="s">
        <v>24</v>
      </c>
      <c r="L580" s="4">
        <v>24</v>
      </c>
      <c r="M580" t="s">
        <v>513</v>
      </c>
      <c r="N580" t="s">
        <v>26</v>
      </c>
      <c r="O580" s="4">
        <v>240</v>
      </c>
      <c r="P580">
        <v>0</v>
      </c>
      <c r="Q580" s="4">
        <v>240</v>
      </c>
      <c r="R580" s="12">
        <f t="shared" si="9"/>
        <v>5760</v>
      </c>
      <c r="T580" t="s">
        <v>82</v>
      </c>
      <c r="U580" t="s">
        <v>510</v>
      </c>
      <c r="V580" s="4">
        <v>24</v>
      </c>
      <c r="W580">
        <v>0</v>
      </c>
    </row>
    <row r="581" spans="1:23" hidden="1" x14ac:dyDescent="0.25">
      <c r="A581" s="2">
        <v>46001.547546296293</v>
      </c>
      <c r="B581">
        <v>453</v>
      </c>
      <c r="C581" t="s">
        <v>508</v>
      </c>
      <c r="D581" s="3">
        <v>46001</v>
      </c>
      <c r="E581" s="3">
        <v>46142</v>
      </c>
      <c r="F581" t="s">
        <v>52</v>
      </c>
      <c r="H581" t="s">
        <v>22</v>
      </c>
      <c r="I581" t="s">
        <v>177</v>
      </c>
      <c r="J581" t="s">
        <v>1490</v>
      </c>
      <c r="K581" t="s">
        <v>24</v>
      </c>
      <c r="L581" s="4">
        <v>22</v>
      </c>
      <c r="M581" t="s">
        <v>514</v>
      </c>
      <c r="N581" t="s">
        <v>26</v>
      </c>
      <c r="O581" s="4">
        <v>460</v>
      </c>
      <c r="P581">
        <v>0</v>
      </c>
      <c r="Q581" s="4">
        <v>460</v>
      </c>
      <c r="R581" s="12">
        <f t="shared" si="9"/>
        <v>10120</v>
      </c>
      <c r="T581" t="s">
        <v>82</v>
      </c>
      <c r="U581" t="s">
        <v>510</v>
      </c>
      <c r="V581" s="4">
        <v>22</v>
      </c>
      <c r="W581">
        <v>0</v>
      </c>
    </row>
    <row r="582" spans="1:23" hidden="1" x14ac:dyDescent="0.25">
      <c r="A582" s="2">
        <v>46084.699328703704</v>
      </c>
      <c r="B582">
        <v>566</v>
      </c>
      <c r="C582" t="s">
        <v>508</v>
      </c>
      <c r="D582" s="3">
        <v>46084</v>
      </c>
      <c r="E582" s="3">
        <v>46295</v>
      </c>
      <c r="F582" t="s">
        <v>52</v>
      </c>
      <c r="H582" t="s">
        <v>22</v>
      </c>
      <c r="I582" t="s">
        <v>177</v>
      </c>
      <c r="J582" t="s">
        <v>1490</v>
      </c>
      <c r="K582" t="s">
        <v>24</v>
      </c>
      <c r="L582" s="4">
        <v>22</v>
      </c>
      <c r="M582" t="s">
        <v>515</v>
      </c>
      <c r="N582" t="s">
        <v>46</v>
      </c>
      <c r="O582" s="4">
        <v>340</v>
      </c>
      <c r="P582">
        <v>0</v>
      </c>
      <c r="Q582" s="4">
        <v>340</v>
      </c>
      <c r="R582" s="12">
        <f t="shared" si="9"/>
        <v>7480</v>
      </c>
      <c r="T582" t="s">
        <v>82</v>
      </c>
      <c r="U582" t="s">
        <v>510</v>
      </c>
      <c r="V582" s="4">
        <v>22</v>
      </c>
      <c r="W582">
        <v>0</v>
      </c>
    </row>
    <row r="583" spans="1:23" hidden="1" x14ac:dyDescent="0.25">
      <c r="A583" s="2">
        <v>46050.663715277777</v>
      </c>
      <c r="B583">
        <v>4505</v>
      </c>
      <c r="C583" t="s">
        <v>516</v>
      </c>
      <c r="D583" s="3">
        <v>46041</v>
      </c>
      <c r="E583" s="3">
        <v>46295</v>
      </c>
      <c r="F583" t="s">
        <v>52</v>
      </c>
      <c r="H583" t="s">
        <v>22</v>
      </c>
      <c r="I583" t="s">
        <v>23</v>
      </c>
      <c r="J583" t="s">
        <v>1490</v>
      </c>
      <c r="K583" t="s">
        <v>24</v>
      </c>
      <c r="L583" s="4">
        <v>17</v>
      </c>
      <c r="M583" t="s">
        <v>517</v>
      </c>
      <c r="N583" t="s">
        <v>46</v>
      </c>
      <c r="O583" s="4">
        <v>60</v>
      </c>
      <c r="P583">
        <v>0</v>
      </c>
      <c r="Q583" s="4">
        <v>60</v>
      </c>
      <c r="R583" s="12">
        <f t="shared" si="9"/>
        <v>1020</v>
      </c>
      <c r="T583" t="s">
        <v>151</v>
      </c>
      <c r="U583" t="s">
        <v>518</v>
      </c>
      <c r="V583" s="4">
        <v>17</v>
      </c>
      <c r="W583">
        <v>0</v>
      </c>
    </row>
    <row r="584" spans="1:23" hidden="1" x14ac:dyDescent="0.25">
      <c r="A584" s="2">
        <v>46050.663715277777</v>
      </c>
      <c r="B584">
        <v>4505</v>
      </c>
      <c r="C584" t="s">
        <v>516</v>
      </c>
      <c r="D584" s="3">
        <v>46041</v>
      </c>
      <c r="E584" s="3">
        <v>46295</v>
      </c>
      <c r="F584" t="s">
        <v>52</v>
      </c>
      <c r="H584" t="s">
        <v>22</v>
      </c>
      <c r="I584" t="s">
        <v>30</v>
      </c>
      <c r="J584" t="s">
        <v>1490</v>
      </c>
      <c r="K584" t="s">
        <v>31</v>
      </c>
      <c r="L584" s="4">
        <v>24</v>
      </c>
      <c r="M584" t="s">
        <v>517</v>
      </c>
      <c r="N584" t="s">
        <v>46</v>
      </c>
      <c r="O584" s="4">
        <v>50</v>
      </c>
      <c r="P584">
        <v>0</v>
      </c>
      <c r="Q584" s="4">
        <v>50</v>
      </c>
      <c r="R584" s="12">
        <f t="shared" si="9"/>
        <v>1200</v>
      </c>
      <c r="T584" t="s">
        <v>151</v>
      </c>
      <c r="U584" t="s">
        <v>518</v>
      </c>
      <c r="V584" s="4">
        <v>24</v>
      </c>
      <c r="W584">
        <v>0</v>
      </c>
    </row>
    <row r="585" spans="1:23" hidden="1" x14ac:dyDescent="0.25">
      <c r="A585" s="2">
        <v>46050.663715277777</v>
      </c>
      <c r="B585">
        <v>4505</v>
      </c>
      <c r="C585" t="s">
        <v>516</v>
      </c>
      <c r="D585" s="3">
        <v>46041</v>
      </c>
      <c r="E585" s="3">
        <v>46295</v>
      </c>
      <c r="F585" t="s">
        <v>52</v>
      </c>
      <c r="H585" t="s">
        <v>22</v>
      </c>
      <c r="I585" t="s">
        <v>181</v>
      </c>
      <c r="J585" t="s">
        <v>1490</v>
      </c>
      <c r="K585" t="s">
        <v>24</v>
      </c>
      <c r="L585" s="4">
        <v>90</v>
      </c>
      <c r="M585" t="s">
        <v>517</v>
      </c>
      <c r="N585" t="s">
        <v>46</v>
      </c>
      <c r="O585" s="4">
        <v>20</v>
      </c>
      <c r="P585">
        <v>0</v>
      </c>
      <c r="Q585" s="4">
        <v>20</v>
      </c>
      <c r="R585" s="12">
        <f t="shared" si="9"/>
        <v>1800</v>
      </c>
      <c r="T585" t="s">
        <v>151</v>
      </c>
      <c r="U585" t="s">
        <v>518</v>
      </c>
      <c r="V585" s="4">
        <v>90</v>
      </c>
      <c r="W585">
        <v>0</v>
      </c>
    </row>
    <row r="586" spans="1:23" hidden="1" x14ac:dyDescent="0.25">
      <c r="A586" s="2">
        <v>46050.663715277777</v>
      </c>
      <c r="B586">
        <v>4505</v>
      </c>
      <c r="C586" t="s">
        <v>516</v>
      </c>
      <c r="D586" s="3">
        <v>46041</v>
      </c>
      <c r="E586" s="3">
        <v>46295</v>
      </c>
      <c r="F586" t="s">
        <v>52</v>
      </c>
      <c r="H586" t="s">
        <v>22</v>
      </c>
      <c r="I586" t="s">
        <v>32</v>
      </c>
      <c r="J586" t="s">
        <v>1490</v>
      </c>
      <c r="K586" t="s">
        <v>24</v>
      </c>
      <c r="L586" s="4">
        <v>25</v>
      </c>
      <c r="M586" t="s">
        <v>517</v>
      </c>
      <c r="N586" t="s">
        <v>46</v>
      </c>
      <c r="O586" s="4">
        <v>60</v>
      </c>
      <c r="P586">
        <v>0</v>
      </c>
      <c r="Q586" s="4">
        <v>60</v>
      </c>
      <c r="R586" s="12">
        <f t="shared" si="9"/>
        <v>1500</v>
      </c>
      <c r="T586" t="s">
        <v>151</v>
      </c>
      <c r="U586" t="s">
        <v>518</v>
      </c>
      <c r="V586" s="4">
        <v>25</v>
      </c>
      <c r="W586">
        <v>0</v>
      </c>
    </row>
    <row r="587" spans="1:23" hidden="1" x14ac:dyDescent="0.25">
      <c r="A587" s="2">
        <v>46050.663715277777</v>
      </c>
      <c r="B587">
        <v>4505</v>
      </c>
      <c r="C587" t="s">
        <v>516</v>
      </c>
      <c r="D587" s="3">
        <v>46041</v>
      </c>
      <c r="E587" s="3">
        <v>46295</v>
      </c>
      <c r="F587" t="s">
        <v>52</v>
      </c>
      <c r="H587" t="s">
        <v>22</v>
      </c>
      <c r="I587" t="s">
        <v>33</v>
      </c>
      <c r="J587" t="s">
        <v>1490</v>
      </c>
      <c r="K587" t="s">
        <v>31</v>
      </c>
      <c r="L587" s="4">
        <v>25</v>
      </c>
      <c r="M587" t="s">
        <v>517</v>
      </c>
      <c r="N587" t="s">
        <v>46</v>
      </c>
      <c r="O587" s="4">
        <v>30</v>
      </c>
      <c r="P587">
        <v>0</v>
      </c>
      <c r="Q587" s="4">
        <v>30</v>
      </c>
      <c r="R587" s="12">
        <f t="shared" si="9"/>
        <v>750</v>
      </c>
      <c r="T587" t="s">
        <v>151</v>
      </c>
      <c r="U587" t="s">
        <v>518</v>
      </c>
      <c r="V587" s="4">
        <v>25</v>
      </c>
      <c r="W587">
        <v>0</v>
      </c>
    </row>
    <row r="588" spans="1:23" hidden="1" x14ac:dyDescent="0.25">
      <c r="A588" s="2">
        <v>46050.663715277777</v>
      </c>
      <c r="B588">
        <v>4505</v>
      </c>
      <c r="C588" t="s">
        <v>516</v>
      </c>
      <c r="D588" s="3">
        <v>46041</v>
      </c>
      <c r="E588" s="3">
        <v>46295</v>
      </c>
      <c r="F588" t="s">
        <v>52</v>
      </c>
      <c r="H588" t="s">
        <v>22</v>
      </c>
      <c r="I588" t="s">
        <v>29</v>
      </c>
      <c r="J588" t="s">
        <v>1490</v>
      </c>
      <c r="K588" t="s">
        <v>24</v>
      </c>
      <c r="L588" s="4">
        <v>140</v>
      </c>
      <c r="M588" t="s">
        <v>517</v>
      </c>
      <c r="N588" t="s">
        <v>46</v>
      </c>
      <c r="O588" s="4">
        <v>40</v>
      </c>
      <c r="P588">
        <v>0</v>
      </c>
      <c r="Q588" s="4">
        <v>40</v>
      </c>
      <c r="R588" s="12">
        <f t="shared" si="9"/>
        <v>5600</v>
      </c>
      <c r="T588" t="s">
        <v>151</v>
      </c>
      <c r="U588" t="s">
        <v>518</v>
      </c>
      <c r="V588" s="4">
        <v>140</v>
      </c>
      <c r="W588">
        <v>0</v>
      </c>
    </row>
    <row r="589" spans="1:23" hidden="1" x14ac:dyDescent="0.25">
      <c r="A589" s="2">
        <v>46050.663715277777</v>
      </c>
      <c r="B589">
        <v>4505</v>
      </c>
      <c r="C589" t="s">
        <v>516</v>
      </c>
      <c r="D589" s="3">
        <v>46041</v>
      </c>
      <c r="E589" s="3">
        <v>46295</v>
      </c>
      <c r="F589" t="s">
        <v>52</v>
      </c>
      <c r="H589" t="s">
        <v>22</v>
      </c>
      <c r="I589" t="s">
        <v>519</v>
      </c>
      <c r="J589" t="s">
        <v>1490</v>
      </c>
      <c r="K589" t="s">
        <v>31</v>
      </c>
      <c r="L589" s="4">
        <v>28</v>
      </c>
      <c r="M589" t="s">
        <v>517</v>
      </c>
      <c r="N589" t="s">
        <v>46</v>
      </c>
      <c r="O589" s="4">
        <v>30</v>
      </c>
      <c r="P589">
        <v>0</v>
      </c>
      <c r="Q589" s="4">
        <v>30</v>
      </c>
      <c r="R589" s="12">
        <f t="shared" si="9"/>
        <v>840</v>
      </c>
      <c r="T589" t="s">
        <v>151</v>
      </c>
      <c r="U589" t="s">
        <v>518</v>
      </c>
      <c r="V589" s="4">
        <v>28</v>
      </c>
      <c r="W589">
        <v>0</v>
      </c>
    </row>
    <row r="590" spans="1:23" hidden="1" x14ac:dyDescent="0.25">
      <c r="A590" s="2">
        <v>45849.698078703703</v>
      </c>
      <c r="B590">
        <v>246</v>
      </c>
      <c r="C590" t="s">
        <v>520</v>
      </c>
      <c r="D590" s="3">
        <v>45849</v>
      </c>
      <c r="E590" s="3">
        <v>45905</v>
      </c>
      <c r="F590" t="s">
        <v>66</v>
      </c>
      <c r="G590" t="s">
        <v>1494</v>
      </c>
      <c r="H590" t="s">
        <v>484</v>
      </c>
      <c r="I590" t="s">
        <v>63</v>
      </c>
      <c r="J590" t="s">
        <v>1491</v>
      </c>
      <c r="K590" t="s">
        <v>31</v>
      </c>
      <c r="L590" s="4">
        <v>180</v>
      </c>
      <c r="M590" t="s">
        <v>521</v>
      </c>
      <c r="N590" t="s">
        <v>26</v>
      </c>
      <c r="O590" s="4">
        <v>250</v>
      </c>
      <c r="P590">
        <v>0</v>
      </c>
      <c r="Q590" s="4">
        <v>250</v>
      </c>
      <c r="R590" s="12">
        <f t="shared" si="9"/>
        <v>45000</v>
      </c>
      <c r="T590" t="s">
        <v>486</v>
      </c>
      <c r="U590" t="s">
        <v>522</v>
      </c>
      <c r="V590" s="4">
        <v>180</v>
      </c>
      <c r="W590">
        <v>0</v>
      </c>
    </row>
    <row r="591" spans="1:23" hidden="1" x14ac:dyDescent="0.25">
      <c r="A591" s="2">
        <v>45919.422453703701</v>
      </c>
      <c r="B591">
        <v>4059</v>
      </c>
      <c r="C591" t="s">
        <v>523</v>
      </c>
      <c r="D591" s="3">
        <v>45919</v>
      </c>
      <c r="E591" s="3">
        <v>46111</v>
      </c>
      <c r="F591" t="s">
        <v>112</v>
      </c>
      <c r="G591" t="s">
        <v>1493</v>
      </c>
      <c r="H591" t="s">
        <v>22</v>
      </c>
      <c r="I591" t="s">
        <v>38</v>
      </c>
      <c r="J591" t="s">
        <v>1491</v>
      </c>
      <c r="K591" t="s">
        <v>24</v>
      </c>
      <c r="L591" s="4">
        <v>48</v>
      </c>
      <c r="M591" t="s">
        <v>524</v>
      </c>
      <c r="N591" t="s">
        <v>26</v>
      </c>
      <c r="O591" s="4">
        <v>171</v>
      </c>
      <c r="P591">
        <v>0</v>
      </c>
      <c r="Q591" s="4">
        <v>171</v>
      </c>
      <c r="R591" s="12">
        <f t="shared" si="9"/>
        <v>8208</v>
      </c>
      <c r="T591" t="s">
        <v>151</v>
      </c>
      <c r="U591" t="s">
        <v>525</v>
      </c>
      <c r="V591" s="4">
        <v>48</v>
      </c>
      <c r="W591">
        <v>0</v>
      </c>
    </row>
    <row r="592" spans="1:23" hidden="1" x14ac:dyDescent="0.25">
      <c r="A592" s="2">
        <v>45919.422453703701</v>
      </c>
      <c r="B592">
        <v>4059</v>
      </c>
      <c r="C592" t="s">
        <v>523</v>
      </c>
      <c r="D592" s="3">
        <v>45919</v>
      </c>
      <c r="E592" s="3">
        <v>46111</v>
      </c>
      <c r="F592" t="s">
        <v>112</v>
      </c>
      <c r="G592" t="s">
        <v>1493</v>
      </c>
      <c r="H592" t="s">
        <v>22</v>
      </c>
      <c r="I592" t="s">
        <v>43</v>
      </c>
      <c r="J592" t="s">
        <v>1491</v>
      </c>
      <c r="K592" t="s">
        <v>24</v>
      </c>
      <c r="L592" s="4">
        <v>45</v>
      </c>
      <c r="M592" t="s">
        <v>524</v>
      </c>
      <c r="N592" t="s">
        <v>26</v>
      </c>
      <c r="O592" s="4">
        <v>54</v>
      </c>
      <c r="P592">
        <v>0</v>
      </c>
      <c r="Q592" s="4">
        <v>54</v>
      </c>
      <c r="R592" s="12">
        <f t="shared" si="9"/>
        <v>2430</v>
      </c>
      <c r="T592" t="s">
        <v>151</v>
      </c>
      <c r="U592" t="s">
        <v>525</v>
      </c>
      <c r="V592" s="4">
        <v>45</v>
      </c>
      <c r="W592">
        <v>0</v>
      </c>
    </row>
    <row r="593" spans="1:23" hidden="1" x14ac:dyDescent="0.25">
      <c r="A593" s="2">
        <v>46036.378425925926</v>
      </c>
      <c r="B593">
        <v>4443</v>
      </c>
      <c r="C593" t="s">
        <v>523</v>
      </c>
      <c r="D593" s="3">
        <v>46036</v>
      </c>
      <c r="E593" s="3">
        <v>46264</v>
      </c>
      <c r="F593" t="s">
        <v>112</v>
      </c>
      <c r="G593" t="s">
        <v>1493</v>
      </c>
      <c r="H593" t="s">
        <v>22</v>
      </c>
      <c r="I593" t="s">
        <v>38</v>
      </c>
      <c r="J593" t="s">
        <v>1491</v>
      </c>
      <c r="K593" t="s">
        <v>24</v>
      </c>
      <c r="L593" s="4">
        <v>52</v>
      </c>
      <c r="M593" t="s">
        <v>526</v>
      </c>
      <c r="N593" t="s">
        <v>46</v>
      </c>
      <c r="O593" s="4">
        <v>162</v>
      </c>
      <c r="P593">
        <v>0</v>
      </c>
      <c r="Q593" s="4">
        <v>162</v>
      </c>
      <c r="R593" s="12">
        <f t="shared" si="9"/>
        <v>8424</v>
      </c>
      <c r="T593" t="s">
        <v>151</v>
      </c>
      <c r="U593" t="s">
        <v>525</v>
      </c>
      <c r="V593" s="4">
        <v>52</v>
      </c>
      <c r="W593">
        <v>0</v>
      </c>
    </row>
    <row r="594" spans="1:23" hidden="1" x14ac:dyDescent="0.25">
      <c r="A594" s="2">
        <v>46014.572002314817</v>
      </c>
      <c r="B594">
        <v>465</v>
      </c>
      <c r="C594" t="s">
        <v>527</v>
      </c>
      <c r="D594" s="3">
        <v>46014</v>
      </c>
      <c r="E594" s="3">
        <v>46111</v>
      </c>
      <c r="F594" t="s">
        <v>66</v>
      </c>
      <c r="G594" t="s">
        <v>1494</v>
      </c>
      <c r="H594" t="s">
        <v>22</v>
      </c>
      <c r="I594" t="s">
        <v>92</v>
      </c>
      <c r="J594" t="s">
        <v>1491</v>
      </c>
      <c r="K594" t="s">
        <v>31</v>
      </c>
      <c r="L594" s="4">
        <v>386</v>
      </c>
      <c r="M594" t="s">
        <v>528</v>
      </c>
      <c r="N594" t="s">
        <v>26</v>
      </c>
      <c r="O594" s="4">
        <v>4</v>
      </c>
      <c r="P594">
        <v>0</v>
      </c>
      <c r="Q594" s="4">
        <v>4</v>
      </c>
      <c r="R594" s="12">
        <f t="shared" si="9"/>
        <v>1544</v>
      </c>
      <c r="T594" t="s">
        <v>125</v>
      </c>
      <c r="U594" t="s">
        <v>529</v>
      </c>
      <c r="V594" s="4">
        <v>386</v>
      </c>
      <c r="W594">
        <v>0</v>
      </c>
    </row>
    <row r="595" spans="1:23" hidden="1" x14ac:dyDescent="0.25">
      <c r="A595" s="2">
        <v>46035.335416666669</v>
      </c>
      <c r="B595">
        <v>4433</v>
      </c>
      <c r="C595" t="s">
        <v>530</v>
      </c>
      <c r="D595" s="3">
        <v>46029</v>
      </c>
      <c r="E595" s="3">
        <v>46325</v>
      </c>
      <c r="F595" t="s">
        <v>143</v>
      </c>
      <c r="G595" t="s">
        <v>1493</v>
      </c>
      <c r="H595" t="s">
        <v>22</v>
      </c>
      <c r="I595" t="s">
        <v>41</v>
      </c>
      <c r="J595" t="s">
        <v>1491</v>
      </c>
      <c r="K595" t="s">
        <v>24</v>
      </c>
      <c r="L595" s="4">
        <v>260</v>
      </c>
      <c r="M595" t="s">
        <v>531</v>
      </c>
      <c r="N595" t="s">
        <v>46</v>
      </c>
      <c r="O595" s="4">
        <v>675</v>
      </c>
      <c r="P595">
        <v>0</v>
      </c>
      <c r="Q595" s="4">
        <v>675</v>
      </c>
      <c r="R595" s="12">
        <f t="shared" si="9"/>
        <v>175500</v>
      </c>
      <c r="T595" t="s">
        <v>532</v>
      </c>
      <c r="U595" t="s">
        <v>533</v>
      </c>
      <c r="V595" s="4">
        <v>260</v>
      </c>
      <c r="W595">
        <v>0</v>
      </c>
    </row>
    <row r="596" spans="1:23" hidden="1" x14ac:dyDescent="0.25">
      <c r="A596" s="2">
        <v>46035.335416666669</v>
      </c>
      <c r="B596">
        <v>4433</v>
      </c>
      <c r="C596" t="s">
        <v>530</v>
      </c>
      <c r="D596" s="3">
        <v>46029</v>
      </c>
      <c r="E596" s="3">
        <v>46325</v>
      </c>
      <c r="F596" t="s">
        <v>143</v>
      </c>
      <c r="G596" t="s">
        <v>1493</v>
      </c>
      <c r="H596" t="s">
        <v>22</v>
      </c>
      <c r="I596" t="s">
        <v>40</v>
      </c>
      <c r="J596" t="s">
        <v>1491</v>
      </c>
      <c r="K596" t="s">
        <v>24</v>
      </c>
      <c r="L596" s="4">
        <v>260</v>
      </c>
      <c r="M596" t="s">
        <v>531</v>
      </c>
      <c r="N596" t="s">
        <v>46</v>
      </c>
      <c r="O596" s="4">
        <v>675</v>
      </c>
      <c r="P596">
        <v>0</v>
      </c>
      <c r="Q596" s="4">
        <v>675</v>
      </c>
      <c r="R596" s="12">
        <f t="shared" si="9"/>
        <v>175500</v>
      </c>
      <c r="T596" t="s">
        <v>532</v>
      </c>
      <c r="U596" t="s">
        <v>533</v>
      </c>
      <c r="V596" s="4">
        <v>260</v>
      </c>
      <c r="W596">
        <v>0</v>
      </c>
    </row>
    <row r="597" spans="1:23" hidden="1" x14ac:dyDescent="0.25">
      <c r="A597" s="2">
        <v>46035.335416666669</v>
      </c>
      <c r="B597">
        <v>4433</v>
      </c>
      <c r="C597" t="s">
        <v>530</v>
      </c>
      <c r="D597" s="3">
        <v>46029</v>
      </c>
      <c r="E597" s="3">
        <v>46325</v>
      </c>
      <c r="F597" t="s">
        <v>143</v>
      </c>
      <c r="G597" t="s">
        <v>1493</v>
      </c>
      <c r="H597" t="s">
        <v>22</v>
      </c>
      <c r="I597" t="s">
        <v>63</v>
      </c>
      <c r="J597" t="s">
        <v>1491</v>
      </c>
      <c r="K597" t="s">
        <v>31</v>
      </c>
      <c r="L597" s="4">
        <v>180</v>
      </c>
      <c r="M597" t="s">
        <v>531</v>
      </c>
      <c r="N597" t="s">
        <v>46</v>
      </c>
      <c r="O597" s="4">
        <v>1350</v>
      </c>
      <c r="P597">
        <v>0</v>
      </c>
      <c r="Q597" s="4">
        <v>1350</v>
      </c>
      <c r="R597" s="12">
        <f t="shared" si="9"/>
        <v>243000</v>
      </c>
      <c r="T597" t="s">
        <v>532</v>
      </c>
      <c r="U597" t="s">
        <v>533</v>
      </c>
      <c r="V597" s="4">
        <v>180</v>
      </c>
      <c r="W597">
        <v>0</v>
      </c>
    </row>
    <row r="598" spans="1:23" hidden="1" x14ac:dyDescent="0.25">
      <c r="A598" s="2">
        <v>46035.335416666669</v>
      </c>
      <c r="B598">
        <v>4433</v>
      </c>
      <c r="C598" t="s">
        <v>530</v>
      </c>
      <c r="D598" s="3">
        <v>46029</v>
      </c>
      <c r="E598" s="3">
        <v>46325</v>
      </c>
      <c r="F598" t="s">
        <v>143</v>
      </c>
      <c r="G598" t="s">
        <v>1493</v>
      </c>
      <c r="H598" t="s">
        <v>22</v>
      </c>
      <c r="I598" t="s">
        <v>38</v>
      </c>
      <c r="J598" t="s">
        <v>1491</v>
      </c>
      <c r="K598" t="s">
        <v>24</v>
      </c>
      <c r="L598" s="4">
        <v>38</v>
      </c>
      <c r="M598" t="s">
        <v>531</v>
      </c>
      <c r="N598" t="s">
        <v>46</v>
      </c>
      <c r="O598" s="4">
        <v>999</v>
      </c>
      <c r="P598">
        <v>0</v>
      </c>
      <c r="Q598" s="4">
        <v>999</v>
      </c>
      <c r="R598" s="12">
        <f t="shared" si="9"/>
        <v>37962</v>
      </c>
      <c r="T598" t="s">
        <v>532</v>
      </c>
      <c r="U598" t="s">
        <v>533</v>
      </c>
      <c r="V598" s="4">
        <v>38</v>
      </c>
      <c r="W598">
        <v>0</v>
      </c>
    </row>
    <row r="599" spans="1:23" hidden="1" x14ac:dyDescent="0.25">
      <c r="A599" s="2">
        <v>46031.504791666666</v>
      </c>
      <c r="B599">
        <v>4420</v>
      </c>
      <c r="C599" t="s">
        <v>530</v>
      </c>
      <c r="D599" s="3">
        <v>46031</v>
      </c>
      <c r="E599" s="3">
        <v>46325</v>
      </c>
      <c r="F599" t="s">
        <v>143</v>
      </c>
      <c r="G599" t="s">
        <v>1493</v>
      </c>
      <c r="H599" t="s">
        <v>22</v>
      </c>
      <c r="I599" t="s">
        <v>63</v>
      </c>
      <c r="J599" t="s">
        <v>1491</v>
      </c>
      <c r="K599" t="s">
        <v>31</v>
      </c>
      <c r="L599" s="4">
        <v>180</v>
      </c>
      <c r="M599" t="s">
        <v>534</v>
      </c>
      <c r="N599" t="s">
        <v>46</v>
      </c>
      <c r="O599" s="4">
        <v>810</v>
      </c>
      <c r="P599">
        <v>0</v>
      </c>
      <c r="Q599" s="4">
        <v>810</v>
      </c>
      <c r="R599" s="12">
        <f t="shared" si="9"/>
        <v>145800</v>
      </c>
      <c r="T599" t="s">
        <v>263</v>
      </c>
      <c r="U599" t="s">
        <v>533</v>
      </c>
      <c r="V599" s="4">
        <v>180</v>
      </c>
      <c r="W599">
        <v>0</v>
      </c>
    </row>
    <row r="600" spans="1:23" hidden="1" x14ac:dyDescent="0.25">
      <c r="A600" s="2">
        <v>46031.504791666666</v>
      </c>
      <c r="B600">
        <v>4420</v>
      </c>
      <c r="C600" t="s">
        <v>530</v>
      </c>
      <c r="D600" s="3">
        <v>46031</v>
      </c>
      <c r="E600" s="3">
        <v>46325</v>
      </c>
      <c r="F600" t="s">
        <v>143</v>
      </c>
      <c r="G600" t="s">
        <v>1493</v>
      </c>
      <c r="H600" t="s">
        <v>22</v>
      </c>
      <c r="I600" t="s">
        <v>38</v>
      </c>
      <c r="J600" t="s">
        <v>1491</v>
      </c>
      <c r="K600" t="s">
        <v>24</v>
      </c>
      <c r="L600" s="4">
        <v>38</v>
      </c>
      <c r="M600" t="s">
        <v>534</v>
      </c>
      <c r="N600" t="s">
        <v>46</v>
      </c>
      <c r="O600" s="4">
        <v>600</v>
      </c>
      <c r="P600">
        <v>0</v>
      </c>
      <c r="Q600" s="4">
        <v>600</v>
      </c>
      <c r="R600" s="12">
        <f t="shared" si="9"/>
        <v>22800</v>
      </c>
      <c r="T600" t="s">
        <v>263</v>
      </c>
      <c r="U600" t="s">
        <v>533</v>
      </c>
      <c r="V600" s="4">
        <v>38</v>
      </c>
      <c r="W600">
        <v>0</v>
      </c>
    </row>
    <row r="601" spans="1:23" hidden="1" x14ac:dyDescent="0.25">
      <c r="A601" s="2">
        <v>46031.504791666666</v>
      </c>
      <c r="B601">
        <v>4420</v>
      </c>
      <c r="C601" t="s">
        <v>530</v>
      </c>
      <c r="D601" s="3">
        <v>46031</v>
      </c>
      <c r="E601" s="3">
        <v>46325</v>
      </c>
      <c r="F601" t="s">
        <v>143</v>
      </c>
      <c r="G601" t="s">
        <v>1493</v>
      </c>
      <c r="H601" t="s">
        <v>22</v>
      </c>
      <c r="I601" t="s">
        <v>40</v>
      </c>
      <c r="J601" t="s">
        <v>1491</v>
      </c>
      <c r="K601" t="s">
        <v>24</v>
      </c>
      <c r="L601" s="4">
        <v>260</v>
      </c>
      <c r="M601" t="s">
        <v>534</v>
      </c>
      <c r="N601" t="s">
        <v>46</v>
      </c>
      <c r="O601" s="4">
        <v>405</v>
      </c>
      <c r="P601">
        <v>0</v>
      </c>
      <c r="Q601" s="4">
        <v>405</v>
      </c>
      <c r="R601" s="12">
        <f t="shared" si="9"/>
        <v>105300</v>
      </c>
      <c r="T601" t="s">
        <v>263</v>
      </c>
      <c r="U601" t="s">
        <v>533</v>
      </c>
      <c r="V601" s="4">
        <v>260</v>
      </c>
      <c r="W601">
        <v>0</v>
      </c>
    </row>
    <row r="602" spans="1:23" hidden="1" x14ac:dyDescent="0.25">
      <c r="A602" s="2">
        <v>46031.504791666666</v>
      </c>
      <c r="B602">
        <v>4420</v>
      </c>
      <c r="C602" t="s">
        <v>530</v>
      </c>
      <c r="D602" s="3">
        <v>46031</v>
      </c>
      <c r="E602" s="3">
        <v>46325</v>
      </c>
      <c r="F602" t="s">
        <v>143</v>
      </c>
      <c r="G602" t="s">
        <v>1493</v>
      </c>
      <c r="H602" t="s">
        <v>22</v>
      </c>
      <c r="I602" t="s">
        <v>41</v>
      </c>
      <c r="J602" t="s">
        <v>1491</v>
      </c>
      <c r="K602" t="s">
        <v>24</v>
      </c>
      <c r="L602" s="4">
        <v>260</v>
      </c>
      <c r="M602" t="s">
        <v>534</v>
      </c>
      <c r="N602" t="s">
        <v>46</v>
      </c>
      <c r="O602" s="4">
        <v>405</v>
      </c>
      <c r="P602">
        <v>0</v>
      </c>
      <c r="Q602" s="4">
        <v>405</v>
      </c>
      <c r="R602" s="12">
        <f t="shared" si="9"/>
        <v>105300</v>
      </c>
      <c r="T602" t="s">
        <v>263</v>
      </c>
      <c r="U602" t="s">
        <v>533</v>
      </c>
      <c r="V602" s="4">
        <v>260</v>
      </c>
      <c r="W602">
        <v>0</v>
      </c>
    </row>
    <row r="603" spans="1:23" hidden="1" x14ac:dyDescent="0.25">
      <c r="A603" s="2">
        <v>46056.716516203705</v>
      </c>
      <c r="B603">
        <v>4523</v>
      </c>
      <c r="C603" t="s">
        <v>530</v>
      </c>
      <c r="D603" s="3">
        <v>46056</v>
      </c>
      <c r="E603" s="3">
        <v>46325</v>
      </c>
      <c r="F603" t="s">
        <v>143</v>
      </c>
      <c r="G603" t="s">
        <v>1493</v>
      </c>
      <c r="H603" t="s">
        <v>22</v>
      </c>
      <c r="I603" t="s">
        <v>63</v>
      </c>
      <c r="J603" t="s">
        <v>1491</v>
      </c>
      <c r="K603" t="s">
        <v>31</v>
      </c>
      <c r="L603" s="4">
        <v>180</v>
      </c>
      <c r="M603" t="s">
        <v>535</v>
      </c>
      <c r="N603" t="s">
        <v>46</v>
      </c>
      <c r="O603" s="4">
        <v>207</v>
      </c>
      <c r="P603">
        <v>0</v>
      </c>
      <c r="Q603" s="4">
        <v>207</v>
      </c>
      <c r="R603" s="12">
        <f t="shared" si="9"/>
        <v>37260</v>
      </c>
      <c r="T603" t="s">
        <v>263</v>
      </c>
      <c r="U603" t="s">
        <v>533</v>
      </c>
      <c r="V603" s="4">
        <v>180</v>
      </c>
      <c r="W603">
        <v>0</v>
      </c>
    </row>
    <row r="604" spans="1:23" hidden="1" x14ac:dyDescent="0.25">
      <c r="A604" s="2">
        <v>46056.716516203705</v>
      </c>
      <c r="B604">
        <v>4523</v>
      </c>
      <c r="C604" t="s">
        <v>530</v>
      </c>
      <c r="D604" s="3">
        <v>46056</v>
      </c>
      <c r="E604" s="3">
        <v>46325</v>
      </c>
      <c r="F604" t="s">
        <v>143</v>
      </c>
      <c r="G604" t="s">
        <v>1493</v>
      </c>
      <c r="H604" t="s">
        <v>22</v>
      </c>
      <c r="I604" t="s">
        <v>40</v>
      </c>
      <c r="J604" t="s">
        <v>1491</v>
      </c>
      <c r="K604" t="s">
        <v>24</v>
      </c>
      <c r="L604" s="4">
        <v>260</v>
      </c>
      <c r="M604" t="s">
        <v>535</v>
      </c>
      <c r="N604" t="s">
        <v>46</v>
      </c>
      <c r="O604" s="4">
        <v>104</v>
      </c>
      <c r="P604">
        <v>0</v>
      </c>
      <c r="Q604" s="4">
        <v>104</v>
      </c>
      <c r="R604" s="12">
        <f t="shared" si="9"/>
        <v>27040</v>
      </c>
      <c r="T604" t="s">
        <v>263</v>
      </c>
      <c r="U604" t="s">
        <v>533</v>
      </c>
      <c r="V604" s="4">
        <v>260</v>
      </c>
      <c r="W604">
        <v>0</v>
      </c>
    </row>
    <row r="605" spans="1:23" hidden="1" x14ac:dyDescent="0.25">
      <c r="A605" s="2">
        <v>46056.716516203705</v>
      </c>
      <c r="B605">
        <v>4523</v>
      </c>
      <c r="C605" t="s">
        <v>530</v>
      </c>
      <c r="D605" s="3">
        <v>46056</v>
      </c>
      <c r="E605" s="3">
        <v>46325</v>
      </c>
      <c r="F605" t="s">
        <v>143</v>
      </c>
      <c r="G605" t="s">
        <v>1493</v>
      </c>
      <c r="H605" t="s">
        <v>22</v>
      </c>
      <c r="I605" t="s">
        <v>38</v>
      </c>
      <c r="J605" t="s">
        <v>1491</v>
      </c>
      <c r="K605" t="s">
        <v>24</v>
      </c>
      <c r="L605" s="4">
        <v>38</v>
      </c>
      <c r="M605" t="s">
        <v>535</v>
      </c>
      <c r="N605" t="s">
        <v>46</v>
      </c>
      <c r="O605" s="4">
        <v>144</v>
      </c>
      <c r="P605">
        <v>0</v>
      </c>
      <c r="Q605" s="4">
        <v>144</v>
      </c>
      <c r="R605" s="12">
        <f t="shared" si="9"/>
        <v>5472</v>
      </c>
      <c r="T605" t="s">
        <v>263</v>
      </c>
      <c r="U605" t="s">
        <v>533</v>
      </c>
      <c r="V605" s="4">
        <v>38</v>
      </c>
      <c r="W605">
        <v>0</v>
      </c>
    </row>
    <row r="606" spans="1:23" hidden="1" x14ac:dyDescent="0.25">
      <c r="A606" s="2">
        <v>46056.716516203705</v>
      </c>
      <c r="B606">
        <v>4523</v>
      </c>
      <c r="C606" t="s">
        <v>530</v>
      </c>
      <c r="D606" s="3">
        <v>46056</v>
      </c>
      <c r="E606" s="3">
        <v>46325</v>
      </c>
      <c r="F606" t="s">
        <v>143</v>
      </c>
      <c r="G606" t="s">
        <v>1493</v>
      </c>
      <c r="H606" t="s">
        <v>22</v>
      </c>
      <c r="I606" t="s">
        <v>41</v>
      </c>
      <c r="J606" t="s">
        <v>1491</v>
      </c>
      <c r="K606" t="s">
        <v>24</v>
      </c>
      <c r="L606" s="4">
        <v>260</v>
      </c>
      <c r="M606" t="s">
        <v>535</v>
      </c>
      <c r="N606" t="s">
        <v>46</v>
      </c>
      <c r="O606" s="4">
        <v>104</v>
      </c>
      <c r="P606">
        <v>0</v>
      </c>
      <c r="Q606" s="4">
        <v>104</v>
      </c>
      <c r="R606" s="12">
        <f t="shared" si="9"/>
        <v>27040</v>
      </c>
      <c r="T606" t="s">
        <v>263</v>
      </c>
      <c r="U606" t="s">
        <v>533</v>
      </c>
      <c r="V606" s="4">
        <v>260</v>
      </c>
      <c r="W606">
        <v>0</v>
      </c>
    </row>
    <row r="607" spans="1:23" hidden="1" x14ac:dyDescent="0.25">
      <c r="A607" s="2">
        <v>46058.64943287037</v>
      </c>
      <c r="B607">
        <v>4535</v>
      </c>
      <c r="C607" t="s">
        <v>530</v>
      </c>
      <c r="D607" s="3">
        <v>46058</v>
      </c>
      <c r="E607" s="3">
        <v>46325</v>
      </c>
      <c r="F607" t="s">
        <v>143</v>
      </c>
      <c r="G607" t="s">
        <v>1493</v>
      </c>
      <c r="H607" t="s">
        <v>22</v>
      </c>
      <c r="I607" t="s">
        <v>63</v>
      </c>
      <c r="J607" t="s">
        <v>1491</v>
      </c>
      <c r="K607" t="s">
        <v>31</v>
      </c>
      <c r="L607" s="4">
        <v>180</v>
      </c>
      <c r="M607" t="s">
        <v>536</v>
      </c>
      <c r="N607" t="s">
        <v>46</v>
      </c>
      <c r="O607" s="4">
        <v>70</v>
      </c>
      <c r="P607">
        <v>0</v>
      </c>
      <c r="Q607" s="4">
        <v>70</v>
      </c>
      <c r="R607" s="12">
        <f t="shared" si="9"/>
        <v>12600</v>
      </c>
      <c r="T607" t="s">
        <v>371</v>
      </c>
      <c r="U607" t="s">
        <v>533</v>
      </c>
      <c r="V607" s="4">
        <v>180</v>
      </c>
      <c r="W607">
        <v>0</v>
      </c>
    </row>
    <row r="608" spans="1:23" hidden="1" x14ac:dyDescent="0.25">
      <c r="A608" s="2">
        <v>46058.64943287037</v>
      </c>
      <c r="B608">
        <v>4535</v>
      </c>
      <c r="C608" t="s">
        <v>530</v>
      </c>
      <c r="D608" s="3">
        <v>46058</v>
      </c>
      <c r="E608" s="3">
        <v>46325</v>
      </c>
      <c r="F608" t="s">
        <v>143</v>
      </c>
      <c r="G608" t="s">
        <v>1493</v>
      </c>
      <c r="H608" t="s">
        <v>22</v>
      </c>
      <c r="I608" t="s">
        <v>38</v>
      </c>
      <c r="J608" t="s">
        <v>1491</v>
      </c>
      <c r="K608" t="s">
        <v>24</v>
      </c>
      <c r="L608" s="4">
        <v>38</v>
      </c>
      <c r="M608" t="s">
        <v>536</v>
      </c>
      <c r="N608" t="s">
        <v>46</v>
      </c>
      <c r="O608" s="4">
        <v>48</v>
      </c>
      <c r="P608">
        <v>0</v>
      </c>
      <c r="Q608" s="4">
        <v>48</v>
      </c>
      <c r="R608" s="12">
        <f t="shared" si="9"/>
        <v>1824</v>
      </c>
      <c r="T608" t="s">
        <v>371</v>
      </c>
      <c r="U608" t="s">
        <v>533</v>
      </c>
      <c r="V608" s="4">
        <v>38</v>
      </c>
      <c r="W608">
        <v>0</v>
      </c>
    </row>
    <row r="609" spans="1:23" hidden="1" x14ac:dyDescent="0.25">
      <c r="A609" s="2">
        <v>46058.64943287037</v>
      </c>
      <c r="B609">
        <v>4535</v>
      </c>
      <c r="C609" t="s">
        <v>530</v>
      </c>
      <c r="D609" s="3">
        <v>46058</v>
      </c>
      <c r="E609" s="3">
        <v>46325</v>
      </c>
      <c r="F609" t="s">
        <v>143</v>
      </c>
      <c r="G609" t="s">
        <v>1493</v>
      </c>
      <c r="H609" t="s">
        <v>22</v>
      </c>
      <c r="I609" t="s">
        <v>41</v>
      </c>
      <c r="J609" t="s">
        <v>1491</v>
      </c>
      <c r="K609" t="s">
        <v>24</v>
      </c>
      <c r="L609" s="4">
        <v>260</v>
      </c>
      <c r="M609" t="s">
        <v>536</v>
      </c>
      <c r="N609" t="s">
        <v>46</v>
      </c>
      <c r="O609" s="4">
        <v>35</v>
      </c>
      <c r="P609">
        <v>0</v>
      </c>
      <c r="Q609" s="4">
        <v>35</v>
      </c>
      <c r="R609" s="12">
        <f t="shared" si="9"/>
        <v>9100</v>
      </c>
      <c r="T609" t="s">
        <v>371</v>
      </c>
      <c r="U609" t="s">
        <v>533</v>
      </c>
      <c r="V609" s="4">
        <v>260</v>
      </c>
      <c r="W609">
        <v>0</v>
      </c>
    </row>
    <row r="610" spans="1:23" hidden="1" x14ac:dyDescent="0.25">
      <c r="A610" s="2">
        <v>46058.64943287037</v>
      </c>
      <c r="B610">
        <v>4535</v>
      </c>
      <c r="C610" t="s">
        <v>530</v>
      </c>
      <c r="D610" s="3">
        <v>46058</v>
      </c>
      <c r="E610" s="3">
        <v>46325</v>
      </c>
      <c r="F610" t="s">
        <v>143</v>
      </c>
      <c r="G610" t="s">
        <v>1493</v>
      </c>
      <c r="H610" t="s">
        <v>22</v>
      </c>
      <c r="I610" t="s">
        <v>40</v>
      </c>
      <c r="J610" t="s">
        <v>1491</v>
      </c>
      <c r="K610" t="s">
        <v>24</v>
      </c>
      <c r="L610" s="4">
        <v>260</v>
      </c>
      <c r="M610" t="s">
        <v>536</v>
      </c>
      <c r="N610" t="s">
        <v>46</v>
      </c>
      <c r="O610" s="4">
        <v>35</v>
      </c>
      <c r="P610">
        <v>0</v>
      </c>
      <c r="Q610" s="4">
        <v>35</v>
      </c>
      <c r="R610" s="12">
        <f t="shared" si="9"/>
        <v>9100</v>
      </c>
      <c r="T610" t="s">
        <v>371</v>
      </c>
      <c r="U610" t="s">
        <v>533</v>
      </c>
      <c r="V610" s="4">
        <v>260</v>
      </c>
      <c r="W610">
        <v>0</v>
      </c>
    </row>
    <row r="611" spans="1:23" hidden="1" x14ac:dyDescent="0.25">
      <c r="A611" s="2">
        <v>46074.375937500001</v>
      </c>
      <c r="B611">
        <v>4595</v>
      </c>
      <c r="C611" t="s">
        <v>530</v>
      </c>
      <c r="D611" s="3">
        <v>46074</v>
      </c>
      <c r="E611" s="3">
        <v>46325</v>
      </c>
      <c r="F611" t="s">
        <v>143</v>
      </c>
      <c r="G611" t="s">
        <v>1493</v>
      </c>
      <c r="H611" t="s">
        <v>22</v>
      </c>
      <c r="I611" t="s">
        <v>44</v>
      </c>
      <c r="J611" t="s">
        <v>1491</v>
      </c>
      <c r="K611" t="s">
        <v>31</v>
      </c>
      <c r="L611" s="4">
        <v>360</v>
      </c>
      <c r="M611" t="s">
        <v>537</v>
      </c>
      <c r="N611" t="s">
        <v>46</v>
      </c>
      <c r="O611" s="4">
        <v>756</v>
      </c>
      <c r="P611">
        <v>0</v>
      </c>
      <c r="Q611" s="4">
        <v>756</v>
      </c>
      <c r="R611" s="12">
        <f t="shared" si="9"/>
        <v>272160</v>
      </c>
      <c r="T611" t="s">
        <v>405</v>
      </c>
      <c r="U611" t="s">
        <v>533</v>
      </c>
      <c r="V611" s="4">
        <v>360</v>
      </c>
      <c r="W611">
        <v>0</v>
      </c>
    </row>
    <row r="612" spans="1:23" hidden="1" x14ac:dyDescent="0.25">
      <c r="A612" s="2">
        <v>46074.375937500001</v>
      </c>
      <c r="B612">
        <v>4595</v>
      </c>
      <c r="C612" t="s">
        <v>530</v>
      </c>
      <c r="D612" s="3">
        <v>46074</v>
      </c>
      <c r="E612" s="3">
        <v>46325</v>
      </c>
      <c r="F612" t="s">
        <v>143</v>
      </c>
      <c r="G612" t="s">
        <v>1493</v>
      </c>
      <c r="H612" t="s">
        <v>22</v>
      </c>
      <c r="I612" t="s">
        <v>38</v>
      </c>
      <c r="J612" t="s">
        <v>1491</v>
      </c>
      <c r="K612" t="s">
        <v>24</v>
      </c>
      <c r="L612" s="4">
        <v>38</v>
      </c>
      <c r="M612" t="s">
        <v>537</v>
      </c>
      <c r="N612" t="s">
        <v>46</v>
      </c>
      <c r="O612" s="4">
        <v>72</v>
      </c>
      <c r="P612">
        <v>0</v>
      </c>
      <c r="Q612" s="4">
        <v>72</v>
      </c>
      <c r="R612" s="12">
        <f t="shared" si="9"/>
        <v>2736</v>
      </c>
      <c r="T612" t="s">
        <v>405</v>
      </c>
      <c r="U612" t="s">
        <v>533</v>
      </c>
      <c r="V612" s="4">
        <v>38</v>
      </c>
      <c r="W612">
        <v>0</v>
      </c>
    </row>
    <row r="613" spans="1:23" hidden="1" x14ac:dyDescent="0.25">
      <c r="A613" s="2">
        <v>45785.400856481479</v>
      </c>
      <c r="B613">
        <v>211</v>
      </c>
      <c r="C613" t="s">
        <v>538</v>
      </c>
      <c r="D613" s="3">
        <v>45785</v>
      </c>
      <c r="E613" s="3">
        <v>45930</v>
      </c>
      <c r="F613" t="s">
        <v>66</v>
      </c>
      <c r="H613" t="s">
        <v>22</v>
      </c>
      <c r="I613" t="s">
        <v>134</v>
      </c>
      <c r="K613" t="s">
        <v>105</v>
      </c>
      <c r="L613" s="4">
        <v>1400</v>
      </c>
      <c r="M613" t="s">
        <v>539</v>
      </c>
      <c r="N613" t="s">
        <v>26</v>
      </c>
      <c r="O613" s="4">
        <v>18</v>
      </c>
      <c r="P613">
        <v>0</v>
      </c>
      <c r="Q613" s="4">
        <v>18</v>
      </c>
      <c r="R613" s="12">
        <f t="shared" si="9"/>
        <v>25200</v>
      </c>
      <c r="T613" t="s">
        <v>405</v>
      </c>
      <c r="U613" t="s">
        <v>540</v>
      </c>
      <c r="V613" s="4">
        <v>1400</v>
      </c>
      <c r="W613">
        <v>0</v>
      </c>
    </row>
    <row r="614" spans="1:23" hidden="1" x14ac:dyDescent="0.25">
      <c r="A614" s="2">
        <v>45818.46298611111</v>
      </c>
      <c r="B614">
        <v>229</v>
      </c>
      <c r="C614" t="s">
        <v>541</v>
      </c>
      <c r="D614" s="3">
        <v>45818</v>
      </c>
      <c r="E614" s="3">
        <v>46142</v>
      </c>
      <c r="F614" t="s">
        <v>66</v>
      </c>
      <c r="H614" t="s">
        <v>22</v>
      </c>
      <c r="I614" t="s">
        <v>30</v>
      </c>
      <c r="J614" t="s">
        <v>1490</v>
      </c>
      <c r="K614" t="s">
        <v>31</v>
      </c>
      <c r="L614" s="4">
        <v>21.5</v>
      </c>
      <c r="M614" t="s">
        <v>542</v>
      </c>
      <c r="N614" t="s">
        <v>26</v>
      </c>
      <c r="O614" s="4">
        <v>600</v>
      </c>
      <c r="P614">
        <v>0</v>
      </c>
      <c r="Q614" s="4">
        <v>600</v>
      </c>
      <c r="R614" s="12">
        <f t="shared" si="9"/>
        <v>12900</v>
      </c>
      <c r="T614" t="s">
        <v>136</v>
      </c>
      <c r="U614" t="s">
        <v>543</v>
      </c>
      <c r="V614" s="4">
        <v>21.5</v>
      </c>
      <c r="W614">
        <v>0</v>
      </c>
    </row>
    <row r="615" spans="1:23" hidden="1" x14ac:dyDescent="0.25">
      <c r="A615" s="2">
        <v>45820.657731481479</v>
      </c>
      <c r="B615">
        <v>232</v>
      </c>
      <c r="C615" t="s">
        <v>541</v>
      </c>
      <c r="D615" s="3">
        <v>45820</v>
      </c>
      <c r="E615" s="3">
        <v>45899</v>
      </c>
      <c r="F615" t="s">
        <v>66</v>
      </c>
      <c r="H615" t="s">
        <v>22</v>
      </c>
      <c r="I615" t="s">
        <v>134</v>
      </c>
      <c r="K615" t="s">
        <v>105</v>
      </c>
      <c r="L615" s="4">
        <v>1060</v>
      </c>
      <c r="M615" t="s">
        <v>544</v>
      </c>
      <c r="N615" t="s">
        <v>26</v>
      </c>
      <c r="O615" s="4">
        <v>50</v>
      </c>
      <c r="P615">
        <v>0</v>
      </c>
      <c r="Q615" s="4">
        <v>50</v>
      </c>
      <c r="R615" s="12">
        <f t="shared" si="9"/>
        <v>53000</v>
      </c>
      <c r="T615" t="s">
        <v>125</v>
      </c>
      <c r="U615" t="s">
        <v>543</v>
      </c>
      <c r="V615" s="4">
        <v>1060</v>
      </c>
      <c r="W615">
        <v>0</v>
      </c>
    </row>
    <row r="616" spans="1:23" hidden="1" x14ac:dyDescent="0.25">
      <c r="A616" s="2">
        <v>45969.414351851854</v>
      </c>
      <c r="B616">
        <v>404</v>
      </c>
      <c r="C616" t="s">
        <v>541</v>
      </c>
      <c r="D616" s="3">
        <v>45969</v>
      </c>
      <c r="E616" s="3">
        <v>46264</v>
      </c>
      <c r="F616" t="s">
        <v>66</v>
      </c>
      <c r="H616" t="s">
        <v>22</v>
      </c>
      <c r="I616" t="s">
        <v>545</v>
      </c>
      <c r="K616" t="s">
        <v>546</v>
      </c>
      <c r="L616" s="4">
        <v>665</v>
      </c>
      <c r="M616" t="s">
        <v>547</v>
      </c>
      <c r="N616" t="s">
        <v>46</v>
      </c>
      <c r="O616" s="4">
        <v>100</v>
      </c>
      <c r="P616">
        <v>0</v>
      </c>
      <c r="Q616" s="4">
        <v>100</v>
      </c>
      <c r="R616" s="12">
        <f t="shared" si="9"/>
        <v>66500</v>
      </c>
      <c r="T616" t="s">
        <v>136</v>
      </c>
      <c r="U616" t="s">
        <v>543</v>
      </c>
      <c r="V616" s="4">
        <v>665</v>
      </c>
      <c r="W616">
        <v>0</v>
      </c>
    </row>
    <row r="617" spans="1:23" hidden="1" x14ac:dyDescent="0.25">
      <c r="A617" s="2">
        <v>46057.364178240743</v>
      </c>
      <c r="B617">
        <v>528</v>
      </c>
      <c r="C617" t="s">
        <v>541</v>
      </c>
      <c r="D617" s="3">
        <v>46057</v>
      </c>
      <c r="E617" s="3">
        <v>46111</v>
      </c>
      <c r="F617" t="s">
        <v>66</v>
      </c>
      <c r="H617" t="s">
        <v>22</v>
      </c>
      <c r="I617" t="s">
        <v>548</v>
      </c>
      <c r="K617" t="s">
        <v>31</v>
      </c>
      <c r="L617" s="4">
        <v>30</v>
      </c>
      <c r="M617" t="s">
        <v>549</v>
      </c>
      <c r="N617" t="s">
        <v>46</v>
      </c>
      <c r="O617" s="4">
        <v>160</v>
      </c>
      <c r="P617">
        <v>0</v>
      </c>
      <c r="Q617" s="4">
        <v>160</v>
      </c>
      <c r="R617" s="12">
        <f t="shared" si="9"/>
        <v>4800</v>
      </c>
      <c r="T617" t="s">
        <v>136</v>
      </c>
      <c r="U617" t="s">
        <v>543</v>
      </c>
      <c r="V617" s="4">
        <v>30</v>
      </c>
      <c r="W617">
        <v>0</v>
      </c>
    </row>
    <row r="618" spans="1:23" hidden="1" x14ac:dyDescent="0.25">
      <c r="A618" s="2">
        <v>46069.582442129627</v>
      </c>
      <c r="B618">
        <v>548</v>
      </c>
      <c r="C618" t="s">
        <v>541</v>
      </c>
      <c r="D618" s="3">
        <v>46069</v>
      </c>
      <c r="E618" s="3">
        <v>46295</v>
      </c>
      <c r="F618" t="s">
        <v>66</v>
      </c>
      <c r="G618" t="s">
        <v>1494</v>
      </c>
      <c r="H618" t="s">
        <v>22</v>
      </c>
      <c r="I618" t="s">
        <v>75</v>
      </c>
      <c r="J618" t="s">
        <v>1491</v>
      </c>
      <c r="K618" t="s">
        <v>24</v>
      </c>
      <c r="L618" s="4">
        <v>35</v>
      </c>
      <c r="M618" t="s">
        <v>550</v>
      </c>
      <c r="N618" t="s">
        <v>46</v>
      </c>
      <c r="O618" s="4">
        <v>250</v>
      </c>
      <c r="P618">
        <v>0</v>
      </c>
      <c r="Q618" s="4">
        <v>250</v>
      </c>
      <c r="R618" s="12">
        <f t="shared" si="9"/>
        <v>8750</v>
      </c>
      <c r="T618" t="s">
        <v>136</v>
      </c>
      <c r="U618" t="s">
        <v>543</v>
      </c>
      <c r="V618" s="4">
        <v>35</v>
      </c>
      <c r="W618">
        <v>0</v>
      </c>
    </row>
    <row r="619" spans="1:23" hidden="1" x14ac:dyDescent="0.25">
      <c r="A619" s="2">
        <v>46085.432268518518</v>
      </c>
      <c r="B619">
        <v>568</v>
      </c>
      <c r="C619" t="s">
        <v>541</v>
      </c>
      <c r="D619" s="3">
        <v>46085</v>
      </c>
      <c r="E619" s="3">
        <v>46111</v>
      </c>
      <c r="F619" t="s">
        <v>66</v>
      </c>
      <c r="H619" t="s">
        <v>22</v>
      </c>
      <c r="I619" t="s">
        <v>548</v>
      </c>
      <c r="K619" t="s">
        <v>31</v>
      </c>
      <c r="L619" s="4">
        <v>30</v>
      </c>
      <c r="M619" t="s">
        <v>551</v>
      </c>
      <c r="N619" t="s">
        <v>46</v>
      </c>
      <c r="O619" s="4">
        <v>200</v>
      </c>
      <c r="P619">
        <v>0</v>
      </c>
      <c r="Q619" s="4">
        <v>200</v>
      </c>
      <c r="R619" s="12">
        <f t="shared" si="9"/>
        <v>6000</v>
      </c>
      <c r="T619" t="s">
        <v>136</v>
      </c>
      <c r="U619" t="s">
        <v>543</v>
      </c>
      <c r="V619" s="4">
        <v>30</v>
      </c>
      <c r="W619">
        <v>0</v>
      </c>
    </row>
    <row r="620" spans="1:23" hidden="1" x14ac:dyDescent="0.25">
      <c r="A620" s="2">
        <v>45777.328634259262</v>
      </c>
      <c r="B620">
        <v>207</v>
      </c>
      <c r="C620" t="s">
        <v>552</v>
      </c>
      <c r="D620" s="3">
        <v>45777</v>
      </c>
      <c r="E620" s="3">
        <v>46295</v>
      </c>
      <c r="F620" t="s">
        <v>66</v>
      </c>
      <c r="G620" t="s">
        <v>1494</v>
      </c>
      <c r="H620" t="s">
        <v>22</v>
      </c>
      <c r="I620" t="s">
        <v>38</v>
      </c>
      <c r="J620" t="s">
        <v>1491</v>
      </c>
      <c r="K620" t="s">
        <v>24</v>
      </c>
      <c r="L620" s="4">
        <v>44.11</v>
      </c>
      <c r="M620" t="s">
        <v>553</v>
      </c>
      <c r="N620" t="s">
        <v>46</v>
      </c>
      <c r="O620" s="4">
        <v>177</v>
      </c>
      <c r="P620">
        <v>0</v>
      </c>
      <c r="Q620" s="4">
        <v>177</v>
      </c>
      <c r="R620" s="12">
        <f t="shared" si="9"/>
        <v>7807.47</v>
      </c>
      <c r="T620" t="s">
        <v>71</v>
      </c>
      <c r="U620" t="s">
        <v>554</v>
      </c>
      <c r="V620" s="4">
        <v>44.11</v>
      </c>
      <c r="W620">
        <v>0</v>
      </c>
    </row>
    <row r="621" spans="1:23" hidden="1" x14ac:dyDescent="0.25">
      <c r="A621" s="2">
        <v>45777.328634259262</v>
      </c>
      <c r="B621">
        <v>207</v>
      </c>
      <c r="C621" t="s">
        <v>552</v>
      </c>
      <c r="D621" s="3">
        <v>45777</v>
      </c>
      <c r="E621" s="3">
        <v>46295</v>
      </c>
      <c r="F621" t="s">
        <v>66</v>
      </c>
      <c r="G621" t="s">
        <v>1494</v>
      </c>
      <c r="H621" t="s">
        <v>22</v>
      </c>
      <c r="I621" t="s">
        <v>40</v>
      </c>
      <c r="J621" t="s">
        <v>1491</v>
      </c>
      <c r="K621" t="s">
        <v>24</v>
      </c>
      <c r="L621" s="4">
        <v>289</v>
      </c>
      <c r="M621" t="s">
        <v>553</v>
      </c>
      <c r="N621" t="s">
        <v>46</v>
      </c>
      <c r="O621" s="4">
        <v>70</v>
      </c>
      <c r="P621">
        <v>0</v>
      </c>
      <c r="Q621" s="4">
        <v>70</v>
      </c>
      <c r="R621" s="12">
        <f t="shared" si="9"/>
        <v>20230</v>
      </c>
      <c r="T621" t="s">
        <v>71</v>
      </c>
      <c r="U621" t="s">
        <v>554</v>
      </c>
      <c r="V621" s="4">
        <v>289</v>
      </c>
      <c r="W621">
        <v>0</v>
      </c>
    </row>
    <row r="622" spans="1:23" hidden="1" x14ac:dyDescent="0.25">
      <c r="A622" s="2">
        <v>45777.328634259262</v>
      </c>
      <c r="B622">
        <v>207</v>
      </c>
      <c r="C622" t="s">
        <v>552</v>
      </c>
      <c r="D622" s="3">
        <v>45777</v>
      </c>
      <c r="E622" s="3">
        <v>46295</v>
      </c>
      <c r="F622" t="s">
        <v>66</v>
      </c>
      <c r="G622" t="s">
        <v>1494</v>
      </c>
      <c r="H622" t="s">
        <v>22</v>
      </c>
      <c r="I622" t="s">
        <v>41</v>
      </c>
      <c r="J622" t="s">
        <v>1491</v>
      </c>
      <c r="K622" t="s">
        <v>24</v>
      </c>
      <c r="L622" s="4">
        <v>332</v>
      </c>
      <c r="M622" t="s">
        <v>553</v>
      </c>
      <c r="N622" t="s">
        <v>46</v>
      </c>
      <c r="O622" s="4">
        <v>70</v>
      </c>
      <c r="P622">
        <v>0</v>
      </c>
      <c r="Q622" s="4">
        <v>70</v>
      </c>
      <c r="R622" s="12">
        <f t="shared" si="9"/>
        <v>23240</v>
      </c>
      <c r="T622" t="s">
        <v>71</v>
      </c>
      <c r="U622" t="s">
        <v>554</v>
      </c>
      <c r="V622" s="4">
        <v>332</v>
      </c>
      <c r="W622">
        <v>0</v>
      </c>
    </row>
    <row r="623" spans="1:23" hidden="1" x14ac:dyDescent="0.25">
      <c r="A623" s="2">
        <v>45777.328634259262</v>
      </c>
      <c r="B623">
        <v>207</v>
      </c>
      <c r="C623" t="s">
        <v>552</v>
      </c>
      <c r="D623" s="3">
        <v>45777</v>
      </c>
      <c r="E623" s="3">
        <v>46295</v>
      </c>
      <c r="F623" t="s">
        <v>66</v>
      </c>
      <c r="G623" t="s">
        <v>1494</v>
      </c>
      <c r="H623" t="s">
        <v>22</v>
      </c>
      <c r="I623" t="s">
        <v>63</v>
      </c>
      <c r="J623" t="s">
        <v>1491</v>
      </c>
      <c r="K623" t="s">
        <v>31</v>
      </c>
      <c r="L623" s="4">
        <v>177</v>
      </c>
      <c r="M623" t="s">
        <v>553</v>
      </c>
      <c r="N623" t="s">
        <v>46</v>
      </c>
      <c r="O623" s="4">
        <v>280</v>
      </c>
      <c r="P623">
        <v>0</v>
      </c>
      <c r="Q623" s="4">
        <v>280</v>
      </c>
      <c r="R623" s="12">
        <f t="shared" si="9"/>
        <v>49560</v>
      </c>
      <c r="T623" t="s">
        <v>71</v>
      </c>
      <c r="U623" t="s">
        <v>554</v>
      </c>
      <c r="V623" s="4">
        <v>177</v>
      </c>
      <c r="W623">
        <v>0</v>
      </c>
    </row>
    <row r="624" spans="1:23" hidden="1" x14ac:dyDescent="0.25">
      <c r="A624" s="2">
        <v>45777.332442129627</v>
      </c>
      <c r="B624">
        <v>208</v>
      </c>
      <c r="C624" t="s">
        <v>552</v>
      </c>
      <c r="D624" s="3">
        <v>45777</v>
      </c>
      <c r="E624" s="3">
        <v>46142</v>
      </c>
      <c r="F624" t="s">
        <v>66</v>
      </c>
      <c r="G624" t="s">
        <v>1494</v>
      </c>
      <c r="H624" t="s">
        <v>22</v>
      </c>
      <c r="I624" t="s">
        <v>41</v>
      </c>
      <c r="J624" t="s">
        <v>1491</v>
      </c>
      <c r="K624" t="s">
        <v>24</v>
      </c>
      <c r="L624" s="4">
        <v>332</v>
      </c>
      <c r="M624" t="s">
        <v>555</v>
      </c>
      <c r="N624" t="s">
        <v>26</v>
      </c>
      <c r="O624" s="4">
        <v>164</v>
      </c>
      <c r="P624">
        <v>0</v>
      </c>
      <c r="Q624" s="4">
        <v>164</v>
      </c>
      <c r="R624" s="12">
        <f t="shared" si="9"/>
        <v>54448</v>
      </c>
      <c r="T624" t="s">
        <v>71</v>
      </c>
      <c r="U624" t="s">
        <v>554</v>
      </c>
      <c r="V624" s="4">
        <v>332</v>
      </c>
      <c r="W624">
        <v>0</v>
      </c>
    </row>
    <row r="625" spans="1:23" hidden="1" x14ac:dyDescent="0.25">
      <c r="A625" s="2">
        <v>45777.332442129627</v>
      </c>
      <c r="B625">
        <v>208</v>
      </c>
      <c r="C625" t="s">
        <v>552</v>
      </c>
      <c r="D625" s="3">
        <v>45777</v>
      </c>
      <c r="E625" s="3">
        <v>46142</v>
      </c>
      <c r="F625" t="s">
        <v>66</v>
      </c>
      <c r="G625" t="s">
        <v>1494</v>
      </c>
      <c r="H625" t="s">
        <v>22</v>
      </c>
      <c r="I625" t="s">
        <v>63</v>
      </c>
      <c r="J625" t="s">
        <v>1491</v>
      </c>
      <c r="K625" t="s">
        <v>31</v>
      </c>
      <c r="L625" s="4">
        <v>177</v>
      </c>
      <c r="M625" t="s">
        <v>555</v>
      </c>
      <c r="N625" t="s">
        <v>26</v>
      </c>
      <c r="O625" s="4">
        <v>205</v>
      </c>
      <c r="P625">
        <v>0</v>
      </c>
      <c r="Q625" s="4">
        <v>205</v>
      </c>
      <c r="R625" s="12">
        <f t="shared" si="9"/>
        <v>36285</v>
      </c>
      <c r="T625" t="s">
        <v>71</v>
      </c>
      <c r="U625" t="s">
        <v>554</v>
      </c>
      <c r="V625" s="4">
        <v>177</v>
      </c>
      <c r="W625">
        <v>0</v>
      </c>
    </row>
    <row r="626" spans="1:23" hidden="1" x14ac:dyDescent="0.25">
      <c r="A626" s="2">
        <v>45777.332442129627</v>
      </c>
      <c r="B626">
        <v>208</v>
      </c>
      <c r="C626" t="s">
        <v>552</v>
      </c>
      <c r="D626" s="3">
        <v>45777</v>
      </c>
      <c r="E626" s="3">
        <v>46142</v>
      </c>
      <c r="F626" t="s">
        <v>66</v>
      </c>
      <c r="G626" t="s">
        <v>1494</v>
      </c>
      <c r="H626" t="s">
        <v>22</v>
      </c>
      <c r="I626" t="s">
        <v>38</v>
      </c>
      <c r="J626" t="s">
        <v>1491</v>
      </c>
      <c r="K626" t="s">
        <v>24</v>
      </c>
      <c r="L626" s="4">
        <v>44.11</v>
      </c>
      <c r="M626" t="s">
        <v>555</v>
      </c>
      <c r="N626" t="s">
        <v>26</v>
      </c>
      <c r="O626" s="4">
        <v>330</v>
      </c>
      <c r="P626">
        <v>0</v>
      </c>
      <c r="Q626" s="4">
        <v>330</v>
      </c>
      <c r="R626" s="12">
        <f t="shared" si="9"/>
        <v>14556.3</v>
      </c>
      <c r="T626" t="s">
        <v>71</v>
      </c>
      <c r="U626" t="s">
        <v>554</v>
      </c>
      <c r="V626" s="4">
        <v>44.11</v>
      </c>
      <c r="W626">
        <v>0</v>
      </c>
    </row>
    <row r="627" spans="1:23" hidden="1" x14ac:dyDescent="0.25">
      <c r="A627" s="2">
        <v>45777.332442129627</v>
      </c>
      <c r="B627">
        <v>208</v>
      </c>
      <c r="C627" t="s">
        <v>552</v>
      </c>
      <c r="D627" s="3">
        <v>45777</v>
      </c>
      <c r="E627" s="3">
        <v>46142</v>
      </c>
      <c r="F627" t="s">
        <v>66</v>
      </c>
      <c r="G627" t="s">
        <v>1494</v>
      </c>
      <c r="H627" t="s">
        <v>22</v>
      </c>
      <c r="I627" t="s">
        <v>43</v>
      </c>
      <c r="J627" t="s">
        <v>1491</v>
      </c>
      <c r="K627" t="s">
        <v>24</v>
      </c>
      <c r="L627" s="4">
        <v>44.11</v>
      </c>
      <c r="M627" t="s">
        <v>555</v>
      </c>
      <c r="N627" t="s">
        <v>26</v>
      </c>
      <c r="O627" s="4">
        <v>411</v>
      </c>
      <c r="P627">
        <v>0</v>
      </c>
      <c r="Q627" s="4">
        <v>411</v>
      </c>
      <c r="R627" s="12">
        <f t="shared" si="9"/>
        <v>18129.21</v>
      </c>
      <c r="T627" t="s">
        <v>71</v>
      </c>
      <c r="U627" t="s">
        <v>554</v>
      </c>
      <c r="V627" s="4">
        <v>44.11</v>
      </c>
      <c r="W627">
        <v>0</v>
      </c>
    </row>
    <row r="628" spans="1:23" hidden="1" x14ac:dyDescent="0.25">
      <c r="A628" s="2">
        <v>45777.332442129627</v>
      </c>
      <c r="B628">
        <v>208</v>
      </c>
      <c r="C628" t="s">
        <v>552</v>
      </c>
      <c r="D628" s="3">
        <v>45777</v>
      </c>
      <c r="E628" s="3">
        <v>46142</v>
      </c>
      <c r="F628" t="s">
        <v>66</v>
      </c>
      <c r="G628" t="s">
        <v>1494</v>
      </c>
      <c r="H628" t="s">
        <v>22</v>
      </c>
      <c r="I628" t="s">
        <v>40</v>
      </c>
      <c r="J628" t="s">
        <v>1491</v>
      </c>
      <c r="K628" t="s">
        <v>24</v>
      </c>
      <c r="L628" s="4">
        <v>289</v>
      </c>
      <c r="M628" t="s">
        <v>555</v>
      </c>
      <c r="N628" t="s">
        <v>26</v>
      </c>
      <c r="O628" s="4">
        <v>164</v>
      </c>
      <c r="P628">
        <v>0</v>
      </c>
      <c r="Q628" s="4">
        <v>164</v>
      </c>
      <c r="R628" s="12">
        <f t="shared" si="9"/>
        <v>47396</v>
      </c>
      <c r="T628" t="s">
        <v>71</v>
      </c>
      <c r="U628" t="s">
        <v>554</v>
      </c>
      <c r="V628" s="4">
        <v>289</v>
      </c>
      <c r="W628">
        <v>0</v>
      </c>
    </row>
    <row r="629" spans="1:23" hidden="1" x14ac:dyDescent="0.25">
      <c r="A629" s="2">
        <v>46035.601435185185</v>
      </c>
      <c r="B629">
        <v>494</v>
      </c>
      <c r="C629" t="s">
        <v>552</v>
      </c>
      <c r="D629" s="3">
        <v>46035</v>
      </c>
      <c r="E629" s="3">
        <v>46295</v>
      </c>
      <c r="F629" t="s">
        <v>66</v>
      </c>
      <c r="G629" t="s">
        <v>1494</v>
      </c>
      <c r="H629" t="s">
        <v>22</v>
      </c>
      <c r="I629" t="s">
        <v>38</v>
      </c>
      <c r="J629" t="s">
        <v>1491</v>
      </c>
      <c r="K629" t="s">
        <v>24</v>
      </c>
      <c r="L629" s="4">
        <v>44.11</v>
      </c>
      <c r="M629" t="s">
        <v>556</v>
      </c>
      <c r="N629" t="s">
        <v>46</v>
      </c>
      <c r="O629" s="4">
        <v>24</v>
      </c>
      <c r="P629">
        <v>0</v>
      </c>
      <c r="Q629" s="4">
        <v>24</v>
      </c>
      <c r="R629" s="12">
        <f t="shared" si="9"/>
        <v>1058.6399999999999</v>
      </c>
      <c r="T629" t="s">
        <v>71</v>
      </c>
      <c r="U629" t="s">
        <v>554</v>
      </c>
      <c r="V629" s="4">
        <v>44.11</v>
      </c>
      <c r="W629">
        <v>0</v>
      </c>
    </row>
    <row r="630" spans="1:23" hidden="1" x14ac:dyDescent="0.25">
      <c r="A630" s="2">
        <v>46035.601435185185</v>
      </c>
      <c r="B630">
        <v>494</v>
      </c>
      <c r="C630" t="s">
        <v>552</v>
      </c>
      <c r="D630" s="3">
        <v>46035</v>
      </c>
      <c r="E630" s="3">
        <v>46295</v>
      </c>
      <c r="F630" t="s">
        <v>66</v>
      </c>
      <c r="G630" t="s">
        <v>1494</v>
      </c>
      <c r="H630" t="s">
        <v>22</v>
      </c>
      <c r="I630" t="s">
        <v>40</v>
      </c>
      <c r="J630" t="s">
        <v>1491</v>
      </c>
      <c r="K630" t="s">
        <v>24</v>
      </c>
      <c r="L630" s="4">
        <v>289</v>
      </c>
      <c r="M630" t="s">
        <v>556</v>
      </c>
      <c r="N630" t="s">
        <v>46</v>
      </c>
      <c r="O630" s="4">
        <v>9</v>
      </c>
      <c r="P630">
        <v>0</v>
      </c>
      <c r="Q630" s="4">
        <v>9</v>
      </c>
      <c r="R630" s="12">
        <f t="shared" si="9"/>
        <v>2601</v>
      </c>
      <c r="T630" t="s">
        <v>71</v>
      </c>
      <c r="U630" t="s">
        <v>554</v>
      </c>
      <c r="V630" s="4">
        <v>289</v>
      </c>
      <c r="W630">
        <v>0</v>
      </c>
    </row>
    <row r="631" spans="1:23" hidden="1" x14ac:dyDescent="0.25">
      <c r="A631" s="2">
        <v>46035.601435185185</v>
      </c>
      <c r="B631">
        <v>494</v>
      </c>
      <c r="C631" t="s">
        <v>552</v>
      </c>
      <c r="D631" s="3">
        <v>46035</v>
      </c>
      <c r="E631" s="3">
        <v>46295</v>
      </c>
      <c r="F631" t="s">
        <v>66</v>
      </c>
      <c r="G631" t="s">
        <v>1494</v>
      </c>
      <c r="H631" t="s">
        <v>22</v>
      </c>
      <c r="I631" t="s">
        <v>63</v>
      </c>
      <c r="J631" t="s">
        <v>1491</v>
      </c>
      <c r="K631" t="s">
        <v>31</v>
      </c>
      <c r="L631" s="4">
        <v>177</v>
      </c>
      <c r="M631" t="s">
        <v>556</v>
      </c>
      <c r="N631" t="s">
        <v>46</v>
      </c>
      <c r="O631" s="4">
        <v>36</v>
      </c>
      <c r="P631">
        <v>0</v>
      </c>
      <c r="Q631" s="4">
        <v>36</v>
      </c>
      <c r="R631" s="12">
        <f t="shared" si="9"/>
        <v>6372</v>
      </c>
      <c r="T631" t="s">
        <v>71</v>
      </c>
      <c r="U631" t="s">
        <v>554</v>
      </c>
      <c r="V631" s="4">
        <v>177</v>
      </c>
      <c r="W631">
        <v>0</v>
      </c>
    </row>
    <row r="632" spans="1:23" hidden="1" x14ac:dyDescent="0.25">
      <c r="A632" s="2">
        <v>46035.601435185185</v>
      </c>
      <c r="B632">
        <v>494</v>
      </c>
      <c r="C632" t="s">
        <v>552</v>
      </c>
      <c r="D632" s="3">
        <v>46035</v>
      </c>
      <c r="E632" s="3">
        <v>46295</v>
      </c>
      <c r="F632" t="s">
        <v>66</v>
      </c>
      <c r="G632" t="s">
        <v>1494</v>
      </c>
      <c r="H632" t="s">
        <v>22</v>
      </c>
      <c r="I632" t="s">
        <v>41</v>
      </c>
      <c r="J632" t="s">
        <v>1491</v>
      </c>
      <c r="K632" t="s">
        <v>24</v>
      </c>
      <c r="L632" s="4">
        <v>332</v>
      </c>
      <c r="M632" t="s">
        <v>556</v>
      </c>
      <c r="N632" t="s">
        <v>46</v>
      </c>
      <c r="O632" s="4">
        <v>9</v>
      </c>
      <c r="P632">
        <v>0</v>
      </c>
      <c r="Q632" s="4">
        <v>9</v>
      </c>
      <c r="R632" s="12">
        <f t="shared" si="9"/>
        <v>2988</v>
      </c>
      <c r="T632" t="s">
        <v>71</v>
      </c>
      <c r="U632" t="s">
        <v>554</v>
      </c>
      <c r="V632" s="4">
        <v>332</v>
      </c>
      <c r="W632">
        <v>0</v>
      </c>
    </row>
    <row r="633" spans="1:23" hidden="1" x14ac:dyDescent="0.25">
      <c r="A633" s="2">
        <v>46049.674166666664</v>
      </c>
      <c r="B633">
        <v>516</v>
      </c>
      <c r="C633" t="s">
        <v>552</v>
      </c>
      <c r="D633" s="3">
        <v>46049</v>
      </c>
      <c r="E633" s="3">
        <v>46264</v>
      </c>
      <c r="F633" t="s">
        <v>66</v>
      </c>
      <c r="H633" t="s">
        <v>22</v>
      </c>
      <c r="I633" t="s">
        <v>42</v>
      </c>
      <c r="J633" t="s">
        <v>1490</v>
      </c>
      <c r="K633" t="s">
        <v>24</v>
      </c>
      <c r="L633" s="4">
        <v>185</v>
      </c>
      <c r="M633" t="s">
        <v>557</v>
      </c>
      <c r="N633" t="s">
        <v>46</v>
      </c>
      <c r="O633" s="4">
        <v>290</v>
      </c>
      <c r="P633">
        <v>0</v>
      </c>
      <c r="Q633" s="4">
        <v>290</v>
      </c>
      <c r="R633" s="12">
        <f t="shared" si="9"/>
        <v>53650</v>
      </c>
      <c r="T633" t="s">
        <v>71</v>
      </c>
      <c r="U633" t="s">
        <v>554</v>
      </c>
      <c r="V633" s="4">
        <v>185</v>
      </c>
      <c r="W633">
        <v>0</v>
      </c>
    </row>
    <row r="634" spans="1:23" hidden="1" x14ac:dyDescent="0.25">
      <c r="A634" s="2">
        <v>46049.674166666664</v>
      </c>
      <c r="B634">
        <v>516</v>
      </c>
      <c r="C634" t="s">
        <v>552</v>
      </c>
      <c r="D634" s="3">
        <v>46049</v>
      </c>
      <c r="E634" s="3">
        <v>46264</v>
      </c>
      <c r="F634" t="s">
        <v>66</v>
      </c>
      <c r="H634" t="s">
        <v>22</v>
      </c>
      <c r="I634" t="s">
        <v>72</v>
      </c>
      <c r="J634" t="s">
        <v>1490</v>
      </c>
      <c r="K634" t="s">
        <v>24</v>
      </c>
      <c r="L634" s="4">
        <v>850</v>
      </c>
      <c r="M634" t="s">
        <v>557</v>
      </c>
      <c r="N634" t="s">
        <v>46</v>
      </c>
      <c r="O634" s="4">
        <v>40</v>
      </c>
      <c r="P634">
        <v>0</v>
      </c>
      <c r="Q634" s="4">
        <v>40</v>
      </c>
      <c r="R634" s="12">
        <f t="shared" si="9"/>
        <v>34000</v>
      </c>
      <c r="T634" t="s">
        <v>71</v>
      </c>
      <c r="U634" t="s">
        <v>554</v>
      </c>
      <c r="V634" s="4">
        <v>850</v>
      </c>
      <c r="W634">
        <v>0</v>
      </c>
    </row>
    <row r="635" spans="1:23" hidden="1" x14ac:dyDescent="0.25">
      <c r="A635" s="2">
        <v>46063.339791666665</v>
      </c>
      <c r="B635">
        <v>541</v>
      </c>
      <c r="C635" t="s">
        <v>552</v>
      </c>
      <c r="D635" s="3">
        <v>46063</v>
      </c>
      <c r="E635" s="3">
        <v>46295</v>
      </c>
      <c r="F635" t="s">
        <v>66</v>
      </c>
      <c r="G635" t="s">
        <v>1494</v>
      </c>
      <c r="H635" t="s">
        <v>22</v>
      </c>
      <c r="I635" t="s">
        <v>75</v>
      </c>
      <c r="J635" t="s">
        <v>1491</v>
      </c>
      <c r="K635" t="s">
        <v>24</v>
      </c>
      <c r="L635" s="4">
        <v>35</v>
      </c>
      <c r="M635" t="s">
        <v>558</v>
      </c>
      <c r="N635" t="s">
        <v>46</v>
      </c>
      <c r="O635" s="4">
        <v>1500</v>
      </c>
      <c r="P635">
        <v>0</v>
      </c>
      <c r="Q635" s="4">
        <v>1500</v>
      </c>
      <c r="R635" s="12">
        <f t="shared" si="9"/>
        <v>52500</v>
      </c>
      <c r="T635" t="s">
        <v>71</v>
      </c>
      <c r="U635" t="s">
        <v>554</v>
      </c>
      <c r="V635" s="4">
        <v>35</v>
      </c>
      <c r="W635">
        <v>0</v>
      </c>
    </row>
    <row r="636" spans="1:23" hidden="1" x14ac:dyDescent="0.25">
      <c r="A636" s="2">
        <v>46063.339791666665</v>
      </c>
      <c r="B636">
        <v>541</v>
      </c>
      <c r="C636" t="s">
        <v>552</v>
      </c>
      <c r="D636" s="3">
        <v>46063</v>
      </c>
      <c r="E636" s="3">
        <v>46295</v>
      </c>
      <c r="F636" t="s">
        <v>66</v>
      </c>
      <c r="H636" t="s">
        <v>22</v>
      </c>
      <c r="I636" t="s">
        <v>559</v>
      </c>
      <c r="K636" t="s">
        <v>24</v>
      </c>
      <c r="L636" s="4">
        <v>20</v>
      </c>
      <c r="M636" t="s">
        <v>558</v>
      </c>
      <c r="N636" t="s">
        <v>46</v>
      </c>
      <c r="O636" s="4">
        <v>3980</v>
      </c>
      <c r="P636" s="4">
        <v>220</v>
      </c>
      <c r="Q636" s="4">
        <v>3760</v>
      </c>
      <c r="R636" s="12">
        <f t="shared" si="9"/>
        <v>75200</v>
      </c>
      <c r="T636" t="s">
        <v>71</v>
      </c>
      <c r="U636" t="s">
        <v>554</v>
      </c>
      <c r="V636" s="4">
        <v>20</v>
      </c>
      <c r="W636">
        <v>0</v>
      </c>
    </row>
    <row r="637" spans="1:23" hidden="1" x14ac:dyDescent="0.25">
      <c r="A637" s="2">
        <v>46073.3669212963</v>
      </c>
      <c r="B637">
        <v>556</v>
      </c>
      <c r="C637" t="s">
        <v>552</v>
      </c>
      <c r="D637" s="3">
        <v>46073</v>
      </c>
      <c r="E637" s="3">
        <v>46295</v>
      </c>
      <c r="F637" t="s">
        <v>66</v>
      </c>
      <c r="G637" t="s">
        <v>1494</v>
      </c>
      <c r="H637" t="s">
        <v>22</v>
      </c>
      <c r="I637" t="s">
        <v>41</v>
      </c>
      <c r="J637" t="s">
        <v>1491</v>
      </c>
      <c r="K637" t="s">
        <v>24</v>
      </c>
      <c r="L637" s="4">
        <v>332</v>
      </c>
      <c r="M637" t="s">
        <v>560</v>
      </c>
      <c r="N637" t="s">
        <v>46</v>
      </c>
      <c r="O637" s="4">
        <v>8</v>
      </c>
      <c r="P637">
        <v>0</v>
      </c>
      <c r="Q637" s="4">
        <v>8</v>
      </c>
      <c r="R637" s="12">
        <f t="shared" si="9"/>
        <v>2656</v>
      </c>
      <c r="T637" t="s">
        <v>71</v>
      </c>
      <c r="U637" t="s">
        <v>554</v>
      </c>
      <c r="V637" s="4">
        <v>332</v>
      </c>
      <c r="W637">
        <v>0</v>
      </c>
    </row>
    <row r="638" spans="1:23" hidden="1" x14ac:dyDescent="0.25">
      <c r="A638" s="2">
        <v>46073.3669212963</v>
      </c>
      <c r="B638">
        <v>556</v>
      </c>
      <c r="C638" t="s">
        <v>552</v>
      </c>
      <c r="D638" s="3">
        <v>46073</v>
      </c>
      <c r="E638" s="3">
        <v>46295</v>
      </c>
      <c r="F638" t="s">
        <v>66</v>
      </c>
      <c r="G638" t="s">
        <v>1494</v>
      </c>
      <c r="H638" t="s">
        <v>22</v>
      </c>
      <c r="I638" t="s">
        <v>40</v>
      </c>
      <c r="J638" t="s">
        <v>1491</v>
      </c>
      <c r="K638" t="s">
        <v>24</v>
      </c>
      <c r="L638" s="4">
        <v>289</v>
      </c>
      <c r="M638" t="s">
        <v>560</v>
      </c>
      <c r="N638" t="s">
        <v>46</v>
      </c>
      <c r="O638" s="4">
        <v>8</v>
      </c>
      <c r="P638">
        <v>0</v>
      </c>
      <c r="Q638" s="4">
        <v>8</v>
      </c>
      <c r="R638" s="12">
        <f t="shared" si="9"/>
        <v>2312</v>
      </c>
      <c r="T638" t="s">
        <v>71</v>
      </c>
      <c r="U638" t="s">
        <v>554</v>
      </c>
      <c r="V638" s="4">
        <v>289</v>
      </c>
      <c r="W638">
        <v>0</v>
      </c>
    </row>
    <row r="639" spans="1:23" hidden="1" x14ac:dyDescent="0.25">
      <c r="A639" s="2">
        <v>46073.3669212963</v>
      </c>
      <c r="B639">
        <v>556</v>
      </c>
      <c r="C639" t="s">
        <v>552</v>
      </c>
      <c r="D639" s="3">
        <v>46073</v>
      </c>
      <c r="E639" s="3">
        <v>46295</v>
      </c>
      <c r="F639" t="s">
        <v>66</v>
      </c>
      <c r="G639" t="s">
        <v>1494</v>
      </c>
      <c r="H639" t="s">
        <v>22</v>
      </c>
      <c r="I639" t="s">
        <v>38</v>
      </c>
      <c r="J639" t="s">
        <v>1491</v>
      </c>
      <c r="K639" t="s">
        <v>24</v>
      </c>
      <c r="L639" s="4">
        <v>44.11</v>
      </c>
      <c r="M639" t="s">
        <v>560</v>
      </c>
      <c r="N639" t="s">
        <v>46</v>
      </c>
      <c r="O639" s="4">
        <v>12</v>
      </c>
      <c r="P639" s="4">
        <v>12</v>
      </c>
      <c r="Q639">
        <v>0</v>
      </c>
      <c r="R639" s="12">
        <f t="shared" si="9"/>
        <v>0</v>
      </c>
      <c r="T639" t="s">
        <v>71</v>
      </c>
      <c r="U639" t="s">
        <v>554</v>
      </c>
      <c r="V639" s="4">
        <v>44.11</v>
      </c>
      <c r="W639">
        <v>0</v>
      </c>
    </row>
    <row r="640" spans="1:23" hidden="1" x14ac:dyDescent="0.25">
      <c r="A640" s="2">
        <v>46073.3669212963</v>
      </c>
      <c r="B640">
        <v>556</v>
      </c>
      <c r="C640" t="s">
        <v>552</v>
      </c>
      <c r="D640" s="3">
        <v>46073</v>
      </c>
      <c r="E640" s="3">
        <v>46295</v>
      </c>
      <c r="F640" t="s">
        <v>66</v>
      </c>
      <c r="G640" t="s">
        <v>1494</v>
      </c>
      <c r="H640" t="s">
        <v>22</v>
      </c>
      <c r="I640" t="s">
        <v>63</v>
      </c>
      <c r="J640" t="s">
        <v>1491</v>
      </c>
      <c r="K640" t="s">
        <v>31</v>
      </c>
      <c r="L640" s="4">
        <v>177</v>
      </c>
      <c r="M640" t="s">
        <v>560</v>
      </c>
      <c r="N640" t="s">
        <v>46</v>
      </c>
      <c r="O640" s="4">
        <v>14</v>
      </c>
      <c r="P640">
        <v>0</v>
      </c>
      <c r="Q640" s="4">
        <v>14</v>
      </c>
      <c r="R640" s="12">
        <f t="shared" si="9"/>
        <v>2478</v>
      </c>
      <c r="T640" t="s">
        <v>71</v>
      </c>
      <c r="U640" t="s">
        <v>554</v>
      </c>
      <c r="V640" s="4">
        <v>177</v>
      </c>
      <c r="W640">
        <v>0</v>
      </c>
    </row>
    <row r="641" spans="1:23" hidden="1" x14ac:dyDescent="0.25">
      <c r="A641" s="2">
        <v>46031.569745370369</v>
      </c>
      <c r="B641">
        <v>489</v>
      </c>
      <c r="C641" t="s">
        <v>561</v>
      </c>
      <c r="D641" s="3">
        <v>46031</v>
      </c>
      <c r="E641" s="3">
        <v>46264</v>
      </c>
      <c r="F641" t="s">
        <v>66</v>
      </c>
      <c r="G641" t="s">
        <v>1494</v>
      </c>
      <c r="H641" t="s">
        <v>22</v>
      </c>
      <c r="I641" t="s">
        <v>468</v>
      </c>
      <c r="J641" t="s">
        <v>1491</v>
      </c>
      <c r="K641" t="s">
        <v>24</v>
      </c>
      <c r="L641" s="4">
        <v>36</v>
      </c>
      <c r="M641" t="s">
        <v>562</v>
      </c>
      <c r="N641" t="s">
        <v>46</v>
      </c>
      <c r="O641" s="4">
        <v>160</v>
      </c>
      <c r="P641">
        <v>0</v>
      </c>
      <c r="Q641" s="4">
        <v>160</v>
      </c>
      <c r="R641" s="12">
        <f t="shared" si="9"/>
        <v>5760</v>
      </c>
      <c r="T641" t="s">
        <v>136</v>
      </c>
      <c r="U641" t="s">
        <v>563</v>
      </c>
      <c r="V641" s="4">
        <v>36</v>
      </c>
      <c r="W641">
        <v>0</v>
      </c>
    </row>
    <row r="642" spans="1:23" hidden="1" x14ac:dyDescent="0.25">
      <c r="A642" s="2">
        <v>45764.428414351853</v>
      </c>
      <c r="B642">
        <v>188</v>
      </c>
      <c r="C642" t="s">
        <v>564</v>
      </c>
      <c r="D642" s="3">
        <v>45764</v>
      </c>
      <c r="E642" s="3">
        <v>46264</v>
      </c>
      <c r="F642" t="s">
        <v>418</v>
      </c>
      <c r="G642" t="s">
        <v>1494</v>
      </c>
      <c r="H642" t="s">
        <v>22</v>
      </c>
      <c r="I642" t="s">
        <v>40</v>
      </c>
      <c r="J642" t="s">
        <v>1491</v>
      </c>
      <c r="K642" t="s">
        <v>24</v>
      </c>
      <c r="L642" s="4">
        <v>295</v>
      </c>
      <c r="M642" t="s">
        <v>565</v>
      </c>
      <c r="N642" t="s">
        <v>46</v>
      </c>
      <c r="O642" s="4">
        <v>225</v>
      </c>
      <c r="P642">
        <v>0</v>
      </c>
      <c r="Q642" s="4">
        <v>225</v>
      </c>
      <c r="R642" s="12">
        <f t="shared" si="9"/>
        <v>66375</v>
      </c>
      <c r="T642" t="s">
        <v>136</v>
      </c>
      <c r="U642" t="s">
        <v>566</v>
      </c>
      <c r="V642" s="4">
        <v>295</v>
      </c>
      <c r="W642">
        <v>0</v>
      </c>
    </row>
    <row r="643" spans="1:23" hidden="1" x14ac:dyDescent="0.25">
      <c r="A643" s="2">
        <v>45764.428414351853</v>
      </c>
      <c r="B643">
        <v>188</v>
      </c>
      <c r="C643" t="s">
        <v>564</v>
      </c>
      <c r="D643" s="3">
        <v>45764</v>
      </c>
      <c r="E643" s="3">
        <v>46264</v>
      </c>
      <c r="F643" t="s">
        <v>418</v>
      </c>
      <c r="G643" t="s">
        <v>1494</v>
      </c>
      <c r="H643" t="s">
        <v>22</v>
      </c>
      <c r="I643" t="s">
        <v>38</v>
      </c>
      <c r="J643" t="s">
        <v>1491</v>
      </c>
      <c r="K643" t="s">
        <v>24</v>
      </c>
      <c r="L643" s="4">
        <v>46.5</v>
      </c>
      <c r="M643" t="s">
        <v>565</v>
      </c>
      <c r="N643" t="s">
        <v>46</v>
      </c>
      <c r="O643" s="4">
        <v>600</v>
      </c>
      <c r="P643">
        <v>0</v>
      </c>
      <c r="Q643" s="4">
        <v>600</v>
      </c>
      <c r="R643" s="12">
        <f t="shared" ref="R643:R706" si="10">Q643*L643</f>
        <v>27900</v>
      </c>
      <c r="T643" t="s">
        <v>136</v>
      </c>
      <c r="U643" t="s">
        <v>566</v>
      </c>
      <c r="V643" s="4">
        <v>46.5</v>
      </c>
      <c r="W643">
        <v>0</v>
      </c>
    </row>
    <row r="644" spans="1:23" hidden="1" x14ac:dyDescent="0.25">
      <c r="A644" s="2">
        <v>45764.428414351853</v>
      </c>
      <c r="B644">
        <v>188</v>
      </c>
      <c r="C644" t="s">
        <v>564</v>
      </c>
      <c r="D644" s="3">
        <v>45764</v>
      </c>
      <c r="E644" s="3">
        <v>46264</v>
      </c>
      <c r="F644" t="s">
        <v>418</v>
      </c>
      <c r="G644" t="s">
        <v>1494</v>
      </c>
      <c r="H644" t="s">
        <v>22</v>
      </c>
      <c r="I644" t="s">
        <v>92</v>
      </c>
      <c r="J644" t="s">
        <v>1491</v>
      </c>
      <c r="K644" t="s">
        <v>31</v>
      </c>
      <c r="L644" s="4">
        <v>370</v>
      </c>
      <c r="M644" t="s">
        <v>565</v>
      </c>
      <c r="N644" t="s">
        <v>46</v>
      </c>
      <c r="O644" s="4">
        <v>600</v>
      </c>
      <c r="P644">
        <v>0</v>
      </c>
      <c r="Q644" s="4">
        <v>600</v>
      </c>
      <c r="R644" s="12">
        <f t="shared" si="10"/>
        <v>222000</v>
      </c>
      <c r="T644" t="s">
        <v>136</v>
      </c>
      <c r="U644" t="s">
        <v>566</v>
      </c>
      <c r="V644" s="4">
        <v>370</v>
      </c>
      <c r="W644">
        <v>0</v>
      </c>
    </row>
    <row r="645" spans="1:23" hidden="1" x14ac:dyDescent="0.25">
      <c r="A645" s="2">
        <v>45764.428414351853</v>
      </c>
      <c r="B645">
        <v>188</v>
      </c>
      <c r="C645" t="s">
        <v>564</v>
      </c>
      <c r="D645" s="3">
        <v>45764</v>
      </c>
      <c r="E645" s="3">
        <v>46264</v>
      </c>
      <c r="F645" t="s">
        <v>418</v>
      </c>
      <c r="G645" t="s">
        <v>1494</v>
      </c>
      <c r="H645" t="s">
        <v>22</v>
      </c>
      <c r="I645" t="s">
        <v>41</v>
      </c>
      <c r="J645" t="s">
        <v>1491</v>
      </c>
      <c r="K645" t="s">
        <v>24</v>
      </c>
      <c r="L645" s="4">
        <v>310</v>
      </c>
      <c r="M645" t="s">
        <v>565</v>
      </c>
      <c r="N645" t="s">
        <v>46</v>
      </c>
      <c r="O645" s="4">
        <v>225</v>
      </c>
      <c r="P645">
        <v>0</v>
      </c>
      <c r="Q645" s="4">
        <v>225</v>
      </c>
      <c r="R645" s="12">
        <f t="shared" si="10"/>
        <v>69750</v>
      </c>
      <c r="T645" t="s">
        <v>136</v>
      </c>
      <c r="U645" t="s">
        <v>566</v>
      </c>
      <c r="V645" s="4">
        <v>310</v>
      </c>
      <c r="W645">
        <v>0</v>
      </c>
    </row>
    <row r="646" spans="1:23" hidden="1" x14ac:dyDescent="0.25">
      <c r="A646" s="2">
        <v>45764.428414351853</v>
      </c>
      <c r="B646">
        <v>188</v>
      </c>
      <c r="C646" t="s">
        <v>564</v>
      </c>
      <c r="D646" s="3">
        <v>45764</v>
      </c>
      <c r="E646" s="3">
        <v>46264</v>
      </c>
      <c r="F646" t="s">
        <v>418</v>
      </c>
      <c r="G646" t="s">
        <v>1494</v>
      </c>
      <c r="H646" t="s">
        <v>22</v>
      </c>
      <c r="I646" t="s">
        <v>44</v>
      </c>
      <c r="J646" t="s">
        <v>1491</v>
      </c>
      <c r="K646" t="s">
        <v>31</v>
      </c>
      <c r="L646" s="4">
        <v>373</v>
      </c>
      <c r="M646" t="s">
        <v>565</v>
      </c>
      <c r="N646" t="s">
        <v>46</v>
      </c>
      <c r="O646" s="4">
        <v>300</v>
      </c>
      <c r="P646">
        <v>0</v>
      </c>
      <c r="Q646" s="4">
        <v>300</v>
      </c>
      <c r="R646" s="12">
        <f t="shared" si="10"/>
        <v>111900</v>
      </c>
      <c r="T646" t="s">
        <v>136</v>
      </c>
      <c r="U646" t="s">
        <v>566</v>
      </c>
      <c r="V646" s="4">
        <v>373</v>
      </c>
      <c r="W646">
        <v>0</v>
      </c>
    </row>
    <row r="647" spans="1:23" hidden="1" x14ac:dyDescent="0.25">
      <c r="A647" s="2">
        <v>45764.446597222224</v>
      </c>
      <c r="B647">
        <v>189</v>
      </c>
      <c r="C647" t="s">
        <v>564</v>
      </c>
      <c r="D647" s="3">
        <v>45764</v>
      </c>
      <c r="E647" s="3">
        <v>46142</v>
      </c>
      <c r="F647" t="s">
        <v>418</v>
      </c>
      <c r="G647" t="s">
        <v>1494</v>
      </c>
      <c r="H647" t="s">
        <v>22</v>
      </c>
      <c r="I647" t="s">
        <v>38</v>
      </c>
      <c r="J647" t="s">
        <v>1491</v>
      </c>
      <c r="K647" t="s">
        <v>24</v>
      </c>
      <c r="L647" s="4">
        <v>46.5</v>
      </c>
      <c r="M647" t="s">
        <v>567</v>
      </c>
      <c r="N647" t="s">
        <v>26</v>
      </c>
      <c r="O647" s="4">
        <v>681</v>
      </c>
      <c r="P647">
        <v>0</v>
      </c>
      <c r="Q647" s="4">
        <v>681</v>
      </c>
      <c r="R647" s="12">
        <f t="shared" si="10"/>
        <v>31666.5</v>
      </c>
      <c r="T647" t="s">
        <v>136</v>
      </c>
      <c r="U647" t="s">
        <v>566</v>
      </c>
      <c r="V647" s="4">
        <v>46.5</v>
      </c>
      <c r="W647">
        <v>0</v>
      </c>
    </row>
    <row r="648" spans="1:23" hidden="1" x14ac:dyDescent="0.25">
      <c r="A648" s="2">
        <v>45764.446597222224</v>
      </c>
      <c r="B648">
        <v>189</v>
      </c>
      <c r="C648" t="s">
        <v>564</v>
      </c>
      <c r="D648" s="3">
        <v>45764</v>
      </c>
      <c r="E648" s="3">
        <v>46142</v>
      </c>
      <c r="F648" t="s">
        <v>418</v>
      </c>
      <c r="G648" t="s">
        <v>1494</v>
      </c>
      <c r="H648" t="s">
        <v>22</v>
      </c>
      <c r="I648" t="s">
        <v>41</v>
      </c>
      <c r="J648" t="s">
        <v>1491</v>
      </c>
      <c r="K648" t="s">
        <v>24</v>
      </c>
      <c r="L648" s="4">
        <v>310</v>
      </c>
      <c r="M648" t="s">
        <v>567</v>
      </c>
      <c r="N648" t="s">
        <v>26</v>
      </c>
      <c r="O648" s="4">
        <v>140</v>
      </c>
      <c r="P648">
        <v>0</v>
      </c>
      <c r="Q648" s="4">
        <v>140</v>
      </c>
      <c r="R648" s="12">
        <f t="shared" si="10"/>
        <v>43400</v>
      </c>
      <c r="T648" t="s">
        <v>136</v>
      </c>
      <c r="U648" t="s">
        <v>566</v>
      </c>
      <c r="V648" s="4">
        <v>310</v>
      </c>
      <c r="W648">
        <v>0</v>
      </c>
    </row>
    <row r="649" spans="1:23" hidden="1" x14ac:dyDescent="0.25">
      <c r="A649" s="2">
        <v>45764.446597222224</v>
      </c>
      <c r="B649">
        <v>189</v>
      </c>
      <c r="C649" t="s">
        <v>564</v>
      </c>
      <c r="D649" s="3">
        <v>45764</v>
      </c>
      <c r="E649" s="3">
        <v>46142</v>
      </c>
      <c r="F649" t="s">
        <v>418</v>
      </c>
      <c r="G649" t="s">
        <v>1494</v>
      </c>
      <c r="H649" t="s">
        <v>22</v>
      </c>
      <c r="I649" t="s">
        <v>40</v>
      </c>
      <c r="J649" t="s">
        <v>1491</v>
      </c>
      <c r="K649" t="s">
        <v>24</v>
      </c>
      <c r="L649" s="4">
        <v>295</v>
      </c>
      <c r="M649" t="s">
        <v>567</v>
      </c>
      <c r="N649" t="s">
        <v>26</v>
      </c>
      <c r="O649" s="4">
        <v>140</v>
      </c>
      <c r="P649">
        <v>0</v>
      </c>
      <c r="Q649" s="4">
        <v>140</v>
      </c>
      <c r="R649" s="12">
        <f t="shared" si="10"/>
        <v>41300</v>
      </c>
      <c r="T649" t="s">
        <v>136</v>
      </c>
      <c r="U649" t="s">
        <v>566</v>
      </c>
      <c r="V649" s="4">
        <v>295</v>
      </c>
      <c r="W649">
        <v>0</v>
      </c>
    </row>
    <row r="650" spans="1:23" hidden="1" x14ac:dyDescent="0.25">
      <c r="A650" s="2">
        <v>45764.446597222224</v>
      </c>
      <c r="B650">
        <v>189</v>
      </c>
      <c r="C650" t="s">
        <v>564</v>
      </c>
      <c r="D650" s="3">
        <v>45764</v>
      </c>
      <c r="E650" s="3">
        <v>46142</v>
      </c>
      <c r="F650" t="s">
        <v>418</v>
      </c>
      <c r="G650" t="s">
        <v>1494</v>
      </c>
      <c r="H650" t="s">
        <v>22</v>
      </c>
      <c r="I650" t="s">
        <v>59</v>
      </c>
      <c r="J650" t="s">
        <v>1491</v>
      </c>
      <c r="K650" t="s">
        <v>24</v>
      </c>
      <c r="L650" s="4">
        <v>42</v>
      </c>
      <c r="M650" t="s">
        <v>567</v>
      </c>
      <c r="N650" t="s">
        <v>26</v>
      </c>
      <c r="O650" s="4">
        <v>1362</v>
      </c>
      <c r="P650">
        <v>0</v>
      </c>
      <c r="Q650" s="4">
        <v>1362</v>
      </c>
      <c r="R650" s="12">
        <f t="shared" si="10"/>
        <v>57204</v>
      </c>
      <c r="T650" t="s">
        <v>136</v>
      </c>
      <c r="U650" t="s">
        <v>566</v>
      </c>
      <c r="V650" s="4">
        <v>42</v>
      </c>
      <c r="W650">
        <v>0</v>
      </c>
    </row>
    <row r="651" spans="1:23" hidden="1" x14ac:dyDescent="0.25">
      <c r="A651" s="2">
        <v>45832.647847222222</v>
      </c>
      <c r="B651">
        <v>238</v>
      </c>
      <c r="C651" t="s">
        <v>564</v>
      </c>
      <c r="D651" s="3">
        <v>45832</v>
      </c>
      <c r="E651" s="3">
        <v>46142</v>
      </c>
      <c r="F651" t="s">
        <v>418</v>
      </c>
      <c r="H651" t="s">
        <v>22</v>
      </c>
      <c r="I651" t="s">
        <v>36</v>
      </c>
      <c r="J651" t="s">
        <v>1490</v>
      </c>
      <c r="K651" t="s">
        <v>24</v>
      </c>
      <c r="L651" s="4">
        <v>67</v>
      </c>
      <c r="M651" t="s">
        <v>568</v>
      </c>
      <c r="N651" t="s">
        <v>26</v>
      </c>
      <c r="O651" s="4">
        <v>700</v>
      </c>
      <c r="P651">
        <v>0</v>
      </c>
      <c r="Q651" s="4">
        <v>700</v>
      </c>
      <c r="R651" s="12">
        <f t="shared" si="10"/>
        <v>46900</v>
      </c>
      <c r="T651" t="s">
        <v>136</v>
      </c>
      <c r="U651" t="s">
        <v>566</v>
      </c>
      <c r="V651" s="4">
        <v>67</v>
      </c>
      <c r="W651">
        <v>0</v>
      </c>
    </row>
    <row r="652" spans="1:23" hidden="1" x14ac:dyDescent="0.25">
      <c r="A652" s="2">
        <v>45832.647847222222</v>
      </c>
      <c r="B652">
        <v>238</v>
      </c>
      <c r="C652" t="s">
        <v>564</v>
      </c>
      <c r="D652" s="3">
        <v>45832</v>
      </c>
      <c r="E652" s="3">
        <v>46142</v>
      </c>
      <c r="F652" t="s">
        <v>418</v>
      </c>
      <c r="H652" t="s">
        <v>22</v>
      </c>
      <c r="I652" t="s">
        <v>193</v>
      </c>
      <c r="K652" t="s">
        <v>31</v>
      </c>
      <c r="L652" s="4">
        <v>30</v>
      </c>
      <c r="M652" t="s">
        <v>568</v>
      </c>
      <c r="N652" t="s">
        <v>26</v>
      </c>
      <c r="O652" s="4">
        <v>3600</v>
      </c>
      <c r="P652">
        <v>0</v>
      </c>
      <c r="Q652" s="4">
        <v>3600</v>
      </c>
      <c r="R652" s="12">
        <f t="shared" si="10"/>
        <v>108000</v>
      </c>
      <c r="T652" t="s">
        <v>136</v>
      </c>
      <c r="U652" t="s">
        <v>566</v>
      </c>
      <c r="V652" s="4">
        <v>30</v>
      </c>
      <c r="W652">
        <v>0</v>
      </c>
    </row>
    <row r="653" spans="1:23" hidden="1" x14ac:dyDescent="0.25">
      <c r="A653" s="2">
        <v>45832.647847222222</v>
      </c>
      <c r="B653">
        <v>238</v>
      </c>
      <c r="C653" t="s">
        <v>564</v>
      </c>
      <c r="D653" s="3">
        <v>45832</v>
      </c>
      <c r="E653" s="3">
        <v>46142</v>
      </c>
      <c r="F653" t="s">
        <v>418</v>
      </c>
      <c r="H653" t="s">
        <v>22</v>
      </c>
      <c r="I653" t="s">
        <v>281</v>
      </c>
      <c r="K653" t="s">
        <v>31</v>
      </c>
      <c r="L653" s="4">
        <v>30</v>
      </c>
      <c r="M653" t="s">
        <v>568</v>
      </c>
      <c r="N653" t="s">
        <v>26</v>
      </c>
      <c r="O653" s="4">
        <v>3200</v>
      </c>
      <c r="P653">
        <v>0</v>
      </c>
      <c r="Q653" s="4">
        <v>3200</v>
      </c>
      <c r="R653" s="12">
        <f t="shared" si="10"/>
        <v>96000</v>
      </c>
      <c r="T653" t="s">
        <v>136</v>
      </c>
      <c r="U653" t="s">
        <v>566</v>
      </c>
      <c r="V653" s="4">
        <v>30</v>
      </c>
      <c r="W653">
        <v>0</v>
      </c>
    </row>
    <row r="654" spans="1:23" hidden="1" x14ac:dyDescent="0.25">
      <c r="A654" s="2">
        <v>45832.647847222222</v>
      </c>
      <c r="B654">
        <v>238</v>
      </c>
      <c r="C654" t="s">
        <v>564</v>
      </c>
      <c r="D654" s="3">
        <v>45832</v>
      </c>
      <c r="E654" s="3">
        <v>46142</v>
      </c>
      <c r="F654" t="s">
        <v>418</v>
      </c>
      <c r="H654" t="s">
        <v>22</v>
      </c>
      <c r="I654" t="s">
        <v>35</v>
      </c>
      <c r="J654" t="s">
        <v>1490</v>
      </c>
      <c r="K654" t="s">
        <v>24</v>
      </c>
      <c r="L654" s="4">
        <v>67</v>
      </c>
      <c r="M654" t="s">
        <v>568</v>
      </c>
      <c r="N654" t="s">
        <v>26</v>
      </c>
      <c r="O654" s="4">
        <v>2000</v>
      </c>
      <c r="P654">
        <v>0</v>
      </c>
      <c r="Q654" s="4">
        <v>2000</v>
      </c>
      <c r="R654" s="12">
        <f t="shared" si="10"/>
        <v>134000</v>
      </c>
      <c r="T654" t="s">
        <v>136</v>
      </c>
      <c r="U654" t="s">
        <v>566</v>
      </c>
      <c r="V654" s="4">
        <v>67</v>
      </c>
      <c r="W654">
        <v>0</v>
      </c>
    </row>
    <row r="655" spans="1:23" hidden="1" x14ac:dyDescent="0.25">
      <c r="A655" s="2">
        <v>45951.716493055559</v>
      </c>
      <c r="B655">
        <v>373</v>
      </c>
      <c r="C655" t="s">
        <v>564</v>
      </c>
      <c r="D655" s="3">
        <v>45951</v>
      </c>
      <c r="E655" s="3">
        <v>46142</v>
      </c>
      <c r="F655" t="s">
        <v>418</v>
      </c>
      <c r="G655" t="s">
        <v>1494</v>
      </c>
      <c r="H655" t="s">
        <v>22</v>
      </c>
      <c r="I655" t="s">
        <v>40</v>
      </c>
      <c r="J655" t="s">
        <v>1491</v>
      </c>
      <c r="K655" t="s">
        <v>24</v>
      </c>
      <c r="L655" s="4">
        <v>295</v>
      </c>
      <c r="M655" t="s">
        <v>569</v>
      </c>
      <c r="N655" t="s">
        <v>26</v>
      </c>
      <c r="O655" s="4">
        <v>30</v>
      </c>
      <c r="P655">
        <v>0</v>
      </c>
      <c r="Q655" s="4">
        <v>30</v>
      </c>
      <c r="R655" s="12">
        <f t="shared" si="10"/>
        <v>8850</v>
      </c>
      <c r="T655" t="s">
        <v>136</v>
      </c>
      <c r="U655" t="s">
        <v>566</v>
      </c>
      <c r="V655" s="4">
        <v>295</v>
      </c>
      <c r="W655">
        <v>0</v>
      </c>
    </row>
    <row r="656" spans="1:23" hidden="1" x14ac:dyDescent="0.25">
      <c r="A656" s="2">
        <v>45951.716493055559</v>
      </c>
      <c r="B656">
        <v>373</v>
      </c>
      <c r="C656" t="s">
        <v>564</v>
      </c>
      <c r="D656" s="3">
        <v>45951</v>
      </c>
      <c r="E656" s="3">
        <v>46142</v>
      </c>
      <c r="F656" t="s">
        <v>418</v>
      </c>
      <c r="G656" t="s">
        <v>1494</v>
      </c>
      <c r="H656" t="s">
        <v>22</v>
      </c>
      <c r="I656" t="s">
        <v>41</v>
      </c>
      <c r="J656" t="s">
        <v>1491</v>
      </c>
      <c r="K656" t="s">
        <v>24</v>
      </c>
      <c r="L656" s="4">
        <v>310</v>
      </c>
      <c r="M656" t="s">
        <v>569</v>
      </c>
      <c r="N656" t="s">
        <v>26</v>
      </c>
      <c r="O656" s="4">
        <v>36</v>
      </c>
      <c r="P656">
        <v>0</v>
      </c>
      <c r="Q656" s="4">
        <v>36</v>
      </c>
      <c r="R656" s="12">
        <f t="shared" si="10"/>
        <v>11160</v>
      </c>
      <c r="T656" t="s">
        <v>136</v>
      </c>
      <c r="U656" t="s">
        <v>566</v>
      </c>
      <c r="V656" s="4">
        <v>310</v>
      </c>
      <c r="W656">
        <v>0</v>
      </c>
    </row>
    <row r="657" spans="1:23" hidden="1" x14ac:dyDescent="0.25">
      <c r="A657" s="2">
        <v>45982.601273148146</v>
      </c>
      <c r="B657">
        <v>418</v>
      </c>
      <c r="C657" t="s">
        <v>564</v>
      </c>
      <c r="D657" s="3">
        <v>45982</v>
      </c>
      <c r="E657" s="3">
        <v>46142</v>
      </c>
      <c r="F657" t="s">
        <v>418</v>
      </c>
      <c r="H657" t="s">
        <v>22</v>
      </c>
      <c r="I657" t="s">
        <v>570</v>
      </c>
      <c r="K657" t="s">
        <v>31</v>
      </c>
      <c r="L657" s="4">
        <v>30</v>
      </c>
      <c r="M657" t="s">
        <v>571</v>
      </c>
      <c r="N657" t="s">
        <v>26</v>
      </c>
      <c r="O657" s="4">
        <v>6800</v>
      </c>
      <c r="P657">
        <v>0</v>
      </c>
      <c r="Q657" s="4">
        <v>6800</v>
      </c>
      <c r="R657" s="12">
        <f t="shared" si="10"/>
        <v>204000</v>
      </c>
      <c r="T657" t="s">
        <v>136</v>
      </c>
      <c r="U657" t="s">
        <v>566</v>
      </c>
      <c r="V657" s="4">
        <v>30</v>
      </c>
      <c r="W657">
        <v>0</v>
      </c>
    </row>
    <row r="658" spans="1:23" hidden="1" x14ac:dyDescent="0.25">
      <c r="A658" s="2">
        <v>45996.388645833336</v>
      </c>
      <c r="B658">
        <v>445</v>
      </c>
      <c r="C658" t="s">
        <v>564</v>
      </c>
      <c r="D658" s="3">
        <v>45996</v>
      </c>
      <c r="E658" s="3">
        <v>46142</v>
      </c>
      <c r="F658" t="s">
        <v>418</v>
      </c>
      <c r="H658" t="s">
        <v>22</v>
      </c>
      <c r="I658" t="s">
        <v>35</v>
      </c>
      <c r="J658" t="s">
        <v>1490</v>
      </c>
      <c r="K658" t="s">
        <v>24</v>
      </c>
      <c r="L658" s="4">
        <v>67</v>
      </c>
      <c r="M658" t="s">
        <v>572</v>
      </c>
      <c r="N658" t="s">
        <v>26</v>
      </c>
      <c r="O658" s="4">
        <v>630</v>
      </c>
      <c r="P658">
        <v>0</v>
      </c>
      <c r="Q658" s="4">
        <v>630</v>
      </c>
      <c r="R658" s="12">
        <f t="shared" si="10"/>
        <v>42210</v>
      </c>
      <c r="T658" t="s">
        <v>136</v>
      </c>
      <c r="U658" t="s">
        <v>566</v>
      </c>
      <c r="V658" s="4">
        <v>67</v>
      </c>
      <c r="W658">
        <v>0</v>
      </c>
    </row>
    <row r="659" spans="1:23" hidden="1" x14ac:dyDescent="0.25">
      <c r="A659" s="2">
        <v>46011.4609375</v>
      </c>
      <c r="B659">
        <v>462</v>
      </c>
      <c r="C659" t="s">
        <v>564</v>
      </c>
      <c r="D659" s="3">
        <v>46011</v>
      </c>
      <c r="E659" s="3">
        <v>46264</v>
      </c>
      <c r="F659" t="s">
        <v>418</v>
      </c>
      <c r="G659" t="s">
        <v>1494</v>
      </c>
      <c r="H659" t="s">
        <v>22</v>
      </c>
      <c r="I659" t="s">
        <v>92</v>
      </c>
      <c r="J659" t="s">
        <v>1491</v>
      </c>
      <c r="K659" t="s">
        <v>31</v>
      </c>
      <c r="L659" s="4">
        <v>370</v>
      </c>
      <c r="M659" t="s">
        <v>573</v>
      </c>
      <c r="N659" t="s">
        <v>46</v>
      </c>
      <c r="O659" s="4">
        <v>500</v>
      </c>
      <c r="P659">
        <v>0</v>
      </c>
      <c r="Q659" s="4">
        <v>500</v>
      </c>
      <c r="R659" s="12">
        <f t="shared" si="10"/>
        <v>185000</v>
      </c>
      <c r="T659" t="s">
        <v>136</v>
      </c>
      <c r="U659" t="s">
        <v>566</v>
      </c>
      <c r="V659" s="4">
        <v>370</v>
      </c>
      <c r="W659">
        <v>0</v>
      </c>
    </row>
    <row r="660" spans="1:23" hidden="1" x14ac:dyDescent="0.25">
      <c r="A660" s="2">
        <v>46021.468414351853</v>
      </c>
      <c r="B660">
        <v>474</v>
      </c>
      <c r="C660" t="s">
        <v>564</v>
      </c>
      <c r="D660" s="3">
        <v>46021</v>
      </c>
      <c r="E660" s="3">
        <v>46264</v>
      </c>
      <c r="F660" t="s">
        <v>418</v>
      </c>
      <c r="H660" t="s">
        <v>22</v>
      </c>
      <c r="I660" t="s">
        <v>35</v>
      </c>
      <c r="J660" t="s">
        <v>1490</v>
      </c>
      <c r="K660" t="s">
        <v>24</v>
      </c>
      <c r="L660" s="4">
        <v>67</v>
      </c>
      <c r="M660" t="s">
        <v>574</v>
      </c>
      <c r="N660" t="s">
        <v>46</v>
      </c>
      <c r="O660" s="4">
        <v>1100</v>
      </c>
      <c r="P660">
        <v>0</v>
      </c>
      <c r="Q660" s="4">
        <v>1100</v>
      </c>
      <c r="R660" s="12">
        <f t="shared" si="10"/>
        <v>73700</v>
      </c>
      <c r="T660" t="s">
        <v>136</v>
      </c>
      <c r="U660" t="s">
        <v>566</v>
      </c>
      <c r="V660" s="4">
        <v>67</v>
      </c>
      <c r="W660">
        <v>0</v>
      </c>
    </row>
    <row r="661" spans="1:23" hidden="1" x14ac:dyDescent="0.25">
      <c r="A661" s="2">
        <v>46041.425462962965</v>
      </c>
      <c r="B661">
        <v>507</v>
      </c>
      <c r="C661" t="s">
        <v>564</v>
      </c>
      <c r="D661" s="3">
        <v>46041</v>
      </c>
      <c r="E661" s="3">
        <v>46142</v>
      </c>
      <c r="F661" t="s">
        <v>418</v>
      </c>
      <c r="H661" t="s">
        <v>22</v>
      </c>
      <c r="I661" t="s">
        <v>36</v>
      </c>
      <c r="J661" t="s">
        <v>1490</v>
      </c>
      <c r="K661" t="s">
        <v>24</v>
      </c>
      <c r="L661" s="4">
        <v>67</v>
      </c>
      <c r="M661" t="s">
        <v>575</v>
      </c>
      <c r="N661" t="s">
        <v>26</v>
      </c>
      <c r="O661" s="4">
        <v>35</v>
      </c>
      <c r="P661">
        <v>0</v>
      </c>
      <c r="Q661" s="4">
        <v>35</v>
      </c>
      <c r="R661" s="12">
        <f t="shared" si="10"/>
        <v>2345</v>
      </c>
      <c r="T661" t="s">
        <v>136</v>
      </c>
      <c r="U661" t="s">
        <v>566</v>
      </c>
      <c r="V661" s="4">
        <v>67</v>
      </c>
      <c r="W661">
        <v>0</v>
      </c>
    </row>
    <row r="662" spans="1:23" hidden="1" x14ac:dyDescent="0.25">
      <c r="A662" s="2">
        <v>46062.410173611112</v>
      </c>
      <c r="B662">
        <v>535</v>
      </c>
      <c r="C662" t="s">
        <v>564</v>
      </c>
      <c r="D662" s="3">
        <v>46062</v>
      </c>
      <c r="E662" s="3">
        <v>46264</v>
      </c>
      <c r="F662" t="s">
        <v>418</v>
      </c>
      <c r="G662" t="s">
        <v>1494</v>
      </c>
      <c r="H662" t="s">
        <v>22</v>
      </c>
      <c r="I662" t="s">
        <v>38</v>
      </c>
      <c r="J662" t="s">
        <v>1491</v>
      </c>
      <c r="K662" t="s">
        <v>24</v>
      </c>
      <c r="L662" s="4">
        <v>46.5</v>
      </c>
      <c r="M662" t="s">
        <v>576</v>
      </c>
      <c r="N662" t="s">
        <v>46</v>
      </c>
      <c r="O662" s="4">
        <v>420</v>
      </c>
      <c r="P662">
        <v>0</v>
      </c>
      <c r="Q662" s="4">
        <v>420</v>
      </c>
      <c r="R662" s="12">
        <f t="shared" si="10"/>
        <v>19530</v>
      </c>
      <c r="T662" t="s">
        <v>136</v>
      </c>
      <c r="U662" t="s">
        <v>566</v>
      </c>
      <c r="V662" s="4">
        <v>46.5</v>
      </c>
      <c r="W662">
        <v>0</v>
      </c>
    </row>
    <row r="663" spans="1:23" hidden="1" x14ac:dyDescent="0.25">
      <c r="A663" s="2">
        <v>45904.34574074074</v>
      </c>
      <c r="B663">
        <v>4010</v>
      </c>
      <c r="C663" t="s">
        <v>577</v>
      </c>
      <c r="D663" s="3">
        <v>45901</v>
      </c>
      <c r="E663" s="3">
        <v>46172</v>
      </c>
      <c r="F663" t="s">
        <v>79</v>
      </c>
      <c r="G663" t="s">
        <v>1493</v>
      </c>
      <c r="H663" t="s">
        <v>22</v>
      </c>
      <c r="I663" t="s">
        <v>101</v>
      </c>
      <c r="J663" t="s">
        <v>1491</v>
      </c>
      <c r="K663" t="s">
        <v>31</v>
      </c>
      <c r="L663" s="4">
        <v>490</v>
      </c>
      <c r="M663" t="s">
        <v>578</v>
      </c>
      <c r="N663" t="s">
        <v>26</v>
      </c>
      <c r="O663" s="4">
        <v>290</v>
      </c>
      <c r="P663">
        <v>0</v>
      </c>
      <c r="Q663" s="4">
        <v>290</v>
      </c>
      <c r="R663" s="12">
        <f t="shared" si="10"/>
        <v>142100</v>
      </c>
      <c r="T663" t="s">
        <v>151</v>
      </c>
      <c r="U663" t="s">
        <v>579</v>
      </c>
      <c r="V663" s="4">
        <v>490</v>
      </c>
      <c r="W663">
        <v>0</v>
      </c>
    </row>
    <row r="664" spans="1:23" hidden="1" x14ac:dyDescent="0.25">
      <c r="A664" s="2">
        <v>45904.34574074074</v>
      </c>
      <c r="B664">
        <v>4010</v>
      </c>
      <c r="C664" t="s">
        <v>577</v>
      </c>
      <c r="D664" s="3">
        <v>45901</v>
      </c>
      <c r="E664" s="3">
        <v>46172</v>
      </c>
      <c r="F664" t="s">
        <v>79</v>
      </c>
      <c r="G664" t="s">
        <v>1493</v>
      </c>
      <c r="H664" t="s">
        <v>22</v>
      </c>
      <c r="I664" t="s">
        <v>38</v>
      </c>
      <c r="J664" t="s">
        <v>1491</v>
      </c>
      <c r="K664" t="s">
        <v>24</v>
      </c>
      <c r="L664" s="4">
        <v>43.2</v>
      </c>
      <c r="M664" t="s">
        <v>578</v>
      </c>
      <c r="N664" t="s">
        <v>26</v>
      </c>
      <c r="O664" s="4">
        <v>660</v>
      </c>
      <c r="P664">
        <v>0</v>
      </c>
      <c r="Q664" s="4">
        <v>660</v>
      </c>
      <c r="R664" s="12">
        <f t="shared" si="10"/>
        <v>28512.000000000004</v>
      </c>
      <c r="T664" t="s">
        <v>151</v>
      </c>
      <c r="U664" t="s">
        <v>579</v>
      </c>
      <c r="V664" s="4">
        <v>43.2</v>
      </c>
      <c r="W664">
        <v>0</v>
      </c>
    </row>
    <row r="665" spans="1:23" hidden="1" x14ac:dyDescent="0.25">
      <c r="A665" s="2">
        <v>45904.34574074074</v>
      </c>
      <c r="B665">
        <v>4010</v>
      </c>
      <c r="C665" t="s">
        <v>577</v>
      </c>
      <c r="D665" s="3">
        <v>45901</v>
      </c>
      <c r="E665" s="3">
        <v>46172</v>
      </c>
      <c r="F665" t="s">
        <v>79</v>
      </c>
      <c r="G665" t="s">
        <v>1493</v>
      </c>
      <c r="H665" t="s">
        <v>22</v>
      </c>
      <c r="I665" t="s">
        <v>43</v>
      </c>
      <c r="J665" t="s">
        <v>1491</v>
      </c>
      <c r="K665" t="s">
        <v>24</v>
      </c>
      <c r="L665" s="4">
        <v>38</v>
      </c>
      <c r="M665" t="s">
        <v>578</v>
      </c>
      <c r="N665" t="s">
        <v>26</v>
      </c>
      <c r="O665" s="4">
        <v>990</v>
      </c>
      <c r="P665">
        <v>0</v>
      </c>
      <c r="Q665" s="4">
        <v>990</v>
      </c>
      <c r="R665" s="12">
        <f t="shared" si="10"/>
        <v>37620</v>
      </c>
      <c r="T665" t="s">
        <v>151</v>
      </c>
      <c r="U665" t="s">
        <v>579</v>
      </c>
      <c r="V665" s="4">
        <v>38</v>
      </c>
      <c r="W665">
        <v>0</v>
      </c>
    </row>
    <row r="666" spans="1:23" hidden="1" x14ac:dyDescent="0.25">
      <c r="A666" s="2">
        <v>45904.34574074074</v>
      </c>
      <c r="B666">
        <v>4010</v>
      </c>
      <c r="C666" t="s">
        <v>577</v>
      </c>
      <c r="D666" s="3">
        <v>45901</v>
      </c>
      <c r="E666" s="3">
        <v>46172</v>
      </c>
      <c r="F666" t="s">
        <v>79</v>
      </c>
      <c r="G666" t="s">
        <v>1493</v>
      </c>
      <c r="H666" t="s">
        <v>22</v>
      </c>
      <c r="I666" t="s">
        <v>40</v>
      </c>
      <c r="J666" t="s">
        <v>1491</v>
      </c>
      <c r="K666" t="s">
        <v>24</v>
      </c>
      <c r="L666" s="4">
        <v>290</v>
      </c>
      <c r="M666" t="s">
        <v>578</v>
      </c>
      <c r="N666" t="s">
        <v>26</v>
      </c>
      <c r="O666" s="4">
        <v>40</v>
      </c>
      <c r="P666">
        <v>0</v>
      </c>
      <c r="Q666" s="4">
        <v>40</v>
      </c>
      <c r="R666" s="12">
        <f t="shared" si="10"/>
        <v>11600</v>
      </c>
      <c r="T666" t="s">
        <v>151</v>
      </c>
      <c r="U666" t="s">
        <v>579</v>
      </c>
      <c r="V666" s="4">
        <v>290</v>
      </c>
      <c r="W666">
        <v>0</v>
      </c>
    </row>
    <row r="667" spans="1:23" hidden="1" x14ac:dyDescent="0.25">
      <c r="A667" s="2">
        <v>45904.34574074074</v>
      </c>
      <c r="B667">
        <v>4010</v>
      </c>
      <c r="C667" t="s">
        <v>577</v>
      </c>
      <c r="D667" s="3">
        <v>45901</v>
      </c>
      <c r="E667" s="3">
        <v>46172</v>
      </c>
      <c r="F667" t="s">
        <v>79</v>
      </c>
      <c r="G667" t="s">
        <v>1493</v>
      </c>
      <c r="H667" t="s">
        <v>22</v>
      </c>
      <c r="I667" t="s">
        <v>41</v>
      </c>
      <c r="J667" t="s">
        <v>1491</v>
      </c>
      <c r="K667" t="s">
        <v>24</v>
      </c>
      <c r="L667" s="4">
        <v>290</v>
      </c>
      <c r="M667" t="s">
        <v>578</v>
      </c>
      <c r="N667" t="s">
        <v>26</v>
      </c>
      <c r="O667" s="4">
        <v>330</v>
      </c>
      <c r="P667">
        <v>0</v>
      </c>
      <c r="Q667" s="4">
        <v>330</v>
      </c>
      <c r="R667" s="12">
        <f t="shared" si="10"/>
        <v>95700</v>
      </c>
      <c r="T667" t="s">
        <v>151</v>
      </c>
      <c r="U667" t="s">
        <v>579</v>
      </c>
      <c r="V667" s="4">
        <v>290</v>
      </c>
      <c r="W667">
        <v>0</v>
      </c>
    </row>
    <row r="668" spans="1:23" hidden="1" x14ac:dyDescent="0.25">
      <c r="A668" s="2">
        <v>45939.380196759259</v>
      </c>
      <c r="B668">
        <v>4135</v>
      </c>
      <c r="C668" t="s">
        <v>577</v>
      </c>
      <c r="D668" s="3">
        <v>45939</v>
      </c>
      <c r="E668" s="3">
        <v>46172</v>
      </c>
      <c r="F668" t="s">
        <v>79</v>
      </c>
      <c r="G668" t="s">
        <v>1493</v>
      </c>
      <c r="H668" t="s">
        <v>22</v>
      </c>
      <c r="I668" t="s">
        <v>101</v>
      </c>
      <c r="J668" t="s">
        <v>1491</v>
      </c>
      <c r="K668" t="s">
        <v>31</v>
      </c>
      <c r="L668" s="4">
        <v>490</v>
      </c>
      <c r="M668" t="s">
        <v>580</v>
      </c>
      <c r="N668" t="s">
        <v>26</v>
      </c>
      <c r="O668" s="4">
        <v>40</v>
      </c>
      <c r="P668">
        <v>0</v>
      </c>
      <c r="Q668" s="4">
        <v>40</v>
      </c>
      <c r="R668" s="12">
        <f t="shared" si="10"/>
        <v>19600</v>
      </c>
      <c r="T668" t="s">
        <v>151</v>
      </c>
      <c r="U668" t="s">
        <v>579</v>
      </c>
      <c r="V668" s="4">
        <v>490</v>
      </c>
      <c r="W668">
        <v>0</v>
      </c>
    </row>
    <row r="669" spans="1:23" hidden="1" x14ac:dyDescent="0.25">
      <c r="A669" s="2">
        <v>46010.376030092593</v>
      </c>
      <c r="B669">
        <v>4369</v>
      </c>
      <c r="C669" t="s">
        <v>581</v>
      </c>
      <c r="D669" s="3">
        <v>46008</v>
      </c>
      <c r="E669" s="3">
        <v>46008</v>
      </c>
      <c r="F669" t="s">
        <v>79</v>
      </c>
      <c r="H669" t="s">
        <v>22</v>
      </c>
      <c r="I669" t="s">
        <v>32</v>
      </c>
      <c r="J669" t="s">
        <v>1490</v>
      </c>
      <c r="K669" t="s">
        <v>24</v>
      </c>
      <c r="L669" s="4">
        <v>23</v>
      </c>
      <c r="M669" t="s">
        <v>582</v>
      </c>
      <c r="N669" t="s">
        <v>46</v>
      </c>
      <c r="O669" s="4">
        <v>20</v>
      </c>
      <c r="P669">
        <v>0</v>
      </c>
      <c r="Q669" s="4">
        <v>20</v>
      </c>
      <c r="R669" s="12">
        <f t="shared" si="10"/>
        <v>460</v>
      </c>
      <c r="T669" t="s">
        <v>405</v>
      </c>
      <c r="U669" t="s">
        <v>583</v>
      </c>
      <c r="V669" s="4">
        <v>23</v>
      </c>
      <c r="W669">
        <v>0</v>
      </c>
    </row>
    <row r="670" spans="1:23" hidden="1" x14ac:dyDescent="0.25">
      <c r="A670" s="2">
        <v>46010.376030092593</v>
      </c>
      <c r="B670">
        <v>4369</v>
      </c>
      <c r="C670" t="s">
        <v>581</v>
      </c>
      <c r="D670" s="3">
        <v>46008</v>
      </c>
      <c r="E670" s="3">
        <v>46008</v>
      </c>
      <c r="F670" t="s">
        <v>79</v>
      </c>
      <c r="H670" t="s">
        <v>22</v>
      </c>
      <c r="I670" t="s">
        <v>358</v>
      </c>
      <c r="K670" t="s">
        <v>24</v>
      </c>
      <c r="L670" s="4">
        <v>10.4</v>
      </c>
      <c r="M670" t="s">
        <v>582</v>
      </c>
      <c r="N670" t="s">
        <v>46</v>
      </c>
      <c r="O670" s="4">
        <v>75</v>
      </c>
      <c r="P670">
        <v>0</v>
      </c>
      <c r="Q670" s="4">
        <v>75</v>
      </c>
      <c r="R670" s="12">
        <f t="shared" si="10"/>
        <v>780</v>
      </c>
      <c r="T670" t="s">
        <v>405</v>
      </c>
      <c r="U670" t="s">
        <v>583</v>
      </c>
      <c r="V670" s="4">
        <v>10.4</v>
      </c>
      <c r="W670">
        <v>0</v>
      </c>
    </row>
    <row r="671" spans="1:23" hidden="1" x14ac:dyDescent="0.25">
      <c r="A671" s="2">
        <v>46010.376030092593</v>
      </c>
      <c r="B671">
        <v>4369</v>
      </c>
      <c r="C671" t="s">
        <v>581</v>
      </c>
      <c r="D671" s="3">
        <v>46008</v>
      </c>
      <c r="E671" s="3">
        <v>46008</v>
      </c>
      <c r="F671" t="s">
        <v>79</v>
      </c>
      <c r="H671" t="s">
        <v>22</v>
      </c>
      <c r="I671" t="s">
        <v>192</v>
      </c>
      <c r="J671" t="s">
        <v>1490</v>
      </c>
      <c r="K671" t="s">
        <v>24</v>
      </c>
      <c r="L671" s="4">
        <v>18</v>
      </c>
      <c r="M671" t="s">
        <v>582</v>
      </c>
      <c r="N671" t="s">
        <v>46</v>
      </c>
      <c r="O671" s="4">
        <v>20</v>
      </c>
      <c r="P671">
        <v>0</v>
      </c>
      <c r="Q671" s="4">
        <v>20</v>
      </c>
      <c r="R671" s="12">
        <f t="shared" si="10"/>
        <v>360</v>
      </c>
      <c r="T671" t="s">
        <v>405</v>
      </c>
      <c r="U671" t="s">
        <v>583</v>
      </c>
      <c r="V671" s="4">
        <v>18</v>
      </c>
      <c r="W671">
        <v>0</v>
      </c>
    </row>
    <row r="672" spans="1:23" hidden="1" x14ac:dyDescent="0.25">
      <c r="A672" s="2">
        <v>45870.408553240741</v>
      </c>
      <c r="B672">
        <v>3952</v>
      </c>
      <c r="C672" t="s">
        <v>584</v>
      </c>
      <c r="D672" s="3">
        <v>45870</v>
      </c>
      <c r="E672" s="3">
        <v>46111</v>
      </c>
      <c r="F672" t="s">
        <v>112</v>
      </c>
      <c r="H672" t="s">
        <v>22</v>
      </c>
      <c r="I672" t="s">
        <v>35</v>
      </c>
      <c r="J672" t="s">
        <v>1490</v>
      </c>
      <c r="K672" t="s">
        <v>24</v>
      </c>
      <c r="L672" s="4">
        <v>65</v>
      </c>
      <c r="M672" t="s">
        <v>585</v>
      </c>
      <c r="N672" t="s">
        <v>26</v>
      </c>
      <c r="O672" s="4">
        <v>340</v>
      </c>
      <c r="P672">
        <v>0</v>
      </c>
      <c r="Q672" s="4">
        <v>340</v>
      </c>
      <c r="R672" s="12">
        <f t="shared" si="10"/>
        <v>22100</v>
      </c>
      <c r="T672" t="s">
        <v>151</v>
      </c>
      <c r="U672" t="s">
        <v>586</v>
      </c>
      <c r="V672" s="4">
        <v>65</v>
      </c>
      <c r="W672">
        <v>0</v>
      </c>
    </row>
    <row r="673" spans="1:23" hidden="1" x14ac:dyDescent="0.25">
      <c r="A673" s="2">
        <v>45870.408553240741</v>
      </c>
      <c r="B673">
        <v>3952</v>
      </c>
      <c r="C673" t="s">
        <v>584</v>
      </c>
      <c r="D673" s="3">
        <v>45870</v>
      </c>
      <c r="E673" s="3">
        <v>46111</v>
      </c>
      <c r="F673" t="s">
        <v>112</v>
      </c>
      <c r="H673" t="s">
        <v>22</v>
      </c>
      <c r="I673" t="s">
        <v>36</v>
      </c>
      <c r="J673" t="s">
        <v>1490</v>
      </c>
      <c r="K673" t="s">
        <v>24</v>
      </c>
      <c r="L673" s="4">
        <v>65</v>
      </c>
      <c r="M673" t="s">
        <v>585</v>
      </c>
      <c r="N673" t="s">
        <v>26</v>
      </c>
      <c r="O673" s="4">
        <v>150</v>
      </c>
      <c r="P673">
        <v>0</v>
      </c>
      <c r="Q673" s="4">
        <v>150</v>
      </c>
      <c r="R673" s="12">
        <f t="shared" si="10"/>
        <v>9750</v>
      </c>
      <c r="T673" t="s">
        <v>151</v>
      </c>
      <c r="U673" t="s">
        <v>586</v>
      </c>
      <c r="V673" s="4">
        <v>65</v>
      </c>
      <c r="W673">
        <v>0</v>
      </c>
    </row>
    <row r="674" spans="1:23" hidden="1" x14ac:dyDescent="0.25">
      <c r="A674" s="2">
        <v>45894.447199074071</v>
      </c>
      <c r="B674">
        <v>3996</v>
      </c>
      <c r="C674" t="s">
        <v>587</v>
      </c>
      <c r="D674" s="3">
        <v>45894</v>
      </c>
      <c r="E674" s="3">
        <v>46111</v>
      </c>
      <c r="F674" t="s">
        <v>79</v>
      </c>
      <c r="H674" t="s">
        <v>22</v>
      </c>
      <c r="I674" t="s">
        <v>381</v>
      </c>
      <c r="K674" t="s">
        <v>31</v>
      </c>
      <c r="L674" s="4">
        <v>330</v>
      </c>
      <c r="M674" t="s">
        <v>588</v>
      </c>
      <c r="N674" t="s">
        <v>26</v>
      </c>
      <c r="O674" s="4">
        <v>121</v>
      </c>
      <c r="P674">
        <v>0</v>
      </c>
      <c r="Q674" s="4">
        <v>121</v>
      </c>
      <c r="R674" s="12">
        <f t="shared" si="10"/>
        <v>39930</v>
      </c>
      <c r="T674" t="s">
        <v>27</v>
      </c>
      <c r="U674" t="s">
        <v>589</v>
      </c>
      <c r="V674" s="4">
        <v>330</v>
      </c>
      <c r="W674">
        <v>0</v>
      </c>
    </row>
    <row r="675" spans="1:23" hidden="1" x14ac:dyDescent="0.25">
      <c r="A675" s="2">
        <v>45894.447199074071</v>
      </c>
      <c r="B675">
        <v>3996</v>
      </c>
      <c r="C675" t="s">
        <v>587</v>
      </c>
      <c r="D675" s="3">
        <v>45894</v>
      </c>
      <c r="E675" s="3">
        <v>46111</v>
      </c>
      <c r="F675" t="s">
        <v>79</v>
      </c>
      <c r="H675" t="s">
        <v>22</v>
      </c>
      <c r="I675" t="s">
        <v>120</v>
      </c>
      <c r="K675" t="s">
        <v>24</v>
      </c>
      <c r="L675" s="4">
        <v>11</v>
      </c>
      <c r="M675" t="s">
        <v>588</v>
      </c>
      <c r="N675" t="s">
        <v>26</v>
      </c>
      <c r="O675" s="4">
        <v>1950</v>
      </c>
      <c r="P675">
        <v>0</v>
      </c>
      <c r="Q675" s="4">
        <v>1950</v>
      </c>
      <c r="R675" s="12">
        <f t="shared" si="10"/>
        <v>21450</v>
      </c>
      <c r="T675" t="s">
        <v>27</v>
      </c>
      <c r="U675" t="s">
        <v>589</v>
      </c>
      <c r="V675" s="4">
        <v>11</v>
      </c>
      <c r="W675">
        <v>0</v>
      </c>
    </row>
    <row r="676" spans="1:23" hidden="1" x14ac:dyDescent="0.25">
      <c r="A676" s="2">
        <v>45894.447199074071</v>
      </c>
      <c r="B676">
        <v>3996</v>
      </c>
      <c r="C676" t="s">
        <v>587</v>
      </c>
      <c r="D676" s="3">
        <v>45894</v>
      </c>
      <c r="E676" s="3">
        <v>46111</v>
      </c>
      <c r="F676" t="s">
        <v>79</v>
      </c>
      <c r="H676" t="s">
        <v>22</v>
      </c>
      <c r="I676" t="s">
        <v>380</v>
      </c>
      <c r="K676" t="s">
        <v>24</v>
      </c>
      <c r="L676" s="4">
        <v>18.780609999999999</v>
      </c>
      <c r="M676" t="s">
        <v>588</v>
      </c>
      <c r="N676" t="s">
        <v>26</v>
      </c>
      <c r="O676" s="4">
        <v>910</v>
      </c>
      <c r="P676">
        <v>0</v>
      </c>
      <c r="Q676" s="4">
        <v>910</v>
      </c>
      <c r="R676" s="12">
        <f t="shared" si="10"/>
        <v>17090.355100000001</v>
      </c>
      <c r="T676" t="s">
        <v>27</v>
      </c>
      <c r="U676" t="s">
        <v>589</v>
      </c>
      <c r="V676" s="4">
        <v>18.780609999999999</v>
      </c>
      <c r="W676">
        <v>0</v>
      </c>
    </row>
    <row r="677" spans="1:23" hidden="1" x14ac:dyDescent="0.25">
      <c r="A677" s="2">
        <v>45894.447199074071</v>
      </c>
      <c r="B677">
        <v>3996</v>
      </c>
      <c r="C677" t="s">
        <v>587</v>
      </c>
      <c r="D677" s="3">
        <v>45894</v>
      </c>
      <c r="E677" s="3">
        <v>46111</v>
      </c>
      <c r="F677" t="s">
        <v>79</v>
      </c>
      <c r="H677" t="s">
        <v>22</v>
      </c>
      <c r="I677" t="s">
        <v>377</v>
      </c>
      <c r="K677" t="s">
        <v>24</v>
      </c>
      <c r="L677" s="4">
        <v>35</v>
      </c>
      <c r="M677" t="s">
        <v>588</v>
      </c>
      <c r="N677" t="s">
        <v>26</v>
      </c>
      <c r="O677" s="4">
        <v>200</v>
      </c>
      <c r="P677">
        <v>0</v>
      </c>
      <c r="Q677" s="4">
        <v>200</v>
      </c>
      <c r="R677" s="12">
        <f t="shared" si="10"/>
        <v>7000</v>
      </c>
      <c r="T677" t="s">
        <v>27</v>
      </c>
      <c r="U677" t="s">
        <v>589</v>
      </c>
      <c r="V677" s="4">
        <v>35</v>
      </c>
      <c r="W677">
        <v>0</v>
      </c>
    </row>
    <row r="678" spans="1:23" hidden="1" x14ac:dyDescent="0.25">
      <c r="A678" s="2">
        <v>45917.458009259259</v>
      </c>
      <c r="B678">
        <v>4048</v>
      </c>
      <c r="C678" t="s">
        <v>590</v>
      </c>
      <c r="D678" s="3">
        <v>45917</v>
      </c>
      <c r="E678" s="3">
        <v>46142</v>
      </c>
      <c r="F678" t="s">
        <v>79</v>
      </c>
      <c r="G678" t="s">
        <v>1493</v>
      </c>
      <c r="H678" t="s">
        <v>22</v>
      </c>
      <c r="I678" t="s">
        <v>38</v>
      </c>
      <c r="J678" t="s">
        <v>1491</v>
      </c>
      <c r="K678" t="s">
        <v>24</v>
      </c>
      <c r="L678" s="4">
        <v>38</v>
      </c>
      <c r="M678" t="s">
        <v>591</v>
      </c>
      <c r="N678" t="s">
        <v>26</v>
      </c>
      <c r="O678" s="4">
        <v>81</v>
      </c>
      <c r="P678">
        <v>0</v>
      </c>
      <c r="Q678" s="4">
        <v>81</v>
      </c>
      <c r="R678" s="12">
        <f t="shared" si="10"/>
        <v>3078</v>
      </c>
      <c r="T678" t="s">
        <v>371</v>
      </c>
      <c r="U678" t="s">
        <v>592</v>
      </c>
      <c r="V678" s="4">
        <v>38</v>
      </c>
      <c r="W678">
        <v>0</v>
      </c>
    </row>
    <row r="679" spans="1:23" hidden="1" x14ac:dyDescent="0.25">
      <c r="A679" s="2">
        <v>45917.458634259259</v>
      </c>
      <c r="B679">
        <v>4050</v>
      </c>
      <c r="C679" t="s">
        <v>590</v>
      </c>
      <c r="D679" s="3">
        <v>45917</v>
      </c>
      <c r="E679" s="3">
        <v>46142</v>
      </c>
      <c r="F679" t="s">
        <v>79</v>
      </c>
      <c r="G679" t="s">
        <v>1493</v>
      </c>
      <c r="H679" t="s">
        <v>22</v>
      </c>
      <c r="I679" t="s">
        <v>38</v>
      </c>
      <c r="J679" t="s">
        <v>1491</v>
      </c>
      <c r="K679" t="s">
        <v>24</v>
      </c>
      <c r="L679" s="4">
        <v>38</v>
      </c>
      <c r="M679" t="s">
        <v>593</v>
      </c>
      <c r="N679" t="s">
        <v>26</v>
      </c>
      <c r="O679" s="4">
        <v>81</v>
      </c>
      <c r="P679">
        <v>0</v>
      </c>
      <c r="Q679" s="4">
        <v>81</v>
      </c>
      <c r="R679" s="12">
        <f t="shared" si="10"/>
        <v>3078</v>
      </c>
      <c r="T679" t="s">
        <v>594</v>
      </c>
      <c r="U679" t="s">
        <v>592</v>
      </c>
      <c r="V679" s="4">
        <v>38</v>
      </c>
      <c r="W679">
        <v>0</v>
      </c>
    </row>
    <row r="680" spans="1:23" hidden="1" x14ac:dyDescent="0.25">
      <c r="A680" s="2">
        <v>46035.463009259256</v>
      </c>
      <c r="B680">
        <v>4437</v>
      </c>
      <c r="C680" t="s">
        <v>590</v>
      </c>
      <c r="D680" s="3">
        <v>46035</v>
      </c>
      <c r="E680" s="3">
        <v>46264</v>
      </c>
      <c r="F680" t="s">
        <v>79</v>
      </c>
      <c r="G680" t="s">
        <v>1493</v>
      </c>
      <c r="H680" t="s">
        <v>22</v>
      </c>
      <c r="I680" t="s">
        <v>38</v>
      </c>
      <c r="J680" t="s">
        <v>1491</v>
      </c>
      <c r="K680" t="s">
        <v>24</v>
      </c>
      <c r="L680" s="4">
        <v>38</v>
      </c>
      <c r="M680" t="s">
        <v>595</v>
      </c>
      <c r="N680" t="s">
        <v>46</v>
      </c>
      <c r="O680" s="4">
        <v>162</v>
      </c>
      <c r="P680">
        <v>0</v>
      </c>
      <c r="Q680" s="4">
        <v>162</v>
      </c>
      <c r="R680" s="12">
        <f t="shared" si="10"/>
        <v>6156</v>
      </c>
      <c r="T680" t="s">
        <v>594</v>
      </c>
      <c r="U680" t="s">
        <v>592</v>
      </c>
      <c r="V680" s="4">
        <v>38</v>
      </c>
      <c r="W680">
        <v>0</v>
      </c>
    </row>
    <row r="681" spans="1:23" hidden="1" x14ac:dyDescent="0.25">
      <c r="A681" s="2">
        <v>45901.611539351848</v>
      </c>
      <c r="B681">
        <v>4005</v>
      </c>
      <c r="C681" t="s">
        <v>596</v>
      </c>
      <c r="D681" s="3">
        <v>45901</v>
      </c>
      <c r="E681" s="3">
        <v>45901</v>
      </c>
      <c r="F681" t="s">
        <v>79</v>
      </c>
      <c r="H681" t="s">
        <v>22</v>
      </c>
      <c r="I681" t="s">
        <v>597</v>
      </c>
      <c r="K681" t="s">
        <v>24</v>
      </c>
      <c r="L681" s="4">
        <v>40</v>
      </c>
      <c r="M681" t="s">
        <v>598</v>
      </c>
      <c r="N681" t="s">
        <v>26</v>
      </c>
      <c r="O681" s="4">
        <v>50</v>
      </c>
      <c r="P681">
        <v>0</v>
      </c>
      <c r="Q681" s="4">
        <v>50</v>
      </c>
      <c r="R681" s="12">
        <f t="shared" si="10"/>
        <v>2000</v>
      </c>
      <c r="T681" t="s">
        <v>27</v>
      </c>
      <c r="U681" t="s">
        <v>599</v>
      </c>
      <c r="V681" s="4">
        <v>40</v>
      </c>
      <c r="W681">
        <v>0</v>
      </c>
    </row>
    <row r="682" spans="1:23" hidden="1" x14ac:dyDescent="0.25">
      <c r="A682" s="2">
        <v>45937.734016203707</v>
      </c>
      <c r="B682">
        <v>4133</v>
      </c>
      <c r="C682" t="s">
        <v>596</v>
      </c>
      <c r="D682" s="3">
        <v>45937</v>
      </c>
      <c r="E682" s="3">
        <v>46111</v>
      </c>
      <c r="F682" t="s">
        <v>247</v>
      </c>
      <c r="H682" t="s">
        <v>22</v>
      </c>
      <c r="I682" t="s">
        <v>600</v>
      </c>
      <c r="K682" t="s">
        <v>24</v>
      </c>
      <c r="L682" s="4">
        <v>95</v>
      </c>
      <c r="M682" t="s">
        <v>601</v>
      </c>
      <c r="N682" t="s">
        <v>26</v>
      </c>
      <c r="O682" s="4">
        <v>255</v>
      </c>
      <c r="P682">
        <v>0</v>
      </c>
      <c r="Q682" s="4">
        <v>255</v>
      </c>
      <c r="R682" s="12">
        <f t="shared" si="10"/>
        <v>24225</v>
      </c>
      <c r="T682" t="s">
        <v>27</v>
      </c>
      <c r="U682" t="s">
        <v>599</v>
      </c>
      <c r="V682" s="4">
        <v>95</v>
      </c>
      <c r="W682">
        <v>0</v>
      </c>
    </row>
    <row r="683" spans="1:23" hidden="1" x14ac:dyDescent="0.25">
      <c r="A683" s="2">
        <v>45937.734016203707</v>
      </c>
      <c r="B683">
        <v>4133</v>
      </c>
      <c r="C683" t="s">
        <v>596</v>
      </c>
      <c r="D683" s="3">
        <v>45937</v>
      </c>
      <c r="E683" s="3">
        <v>46111</v>
      </c>
      <c r="F683" t="s">
        <v>247</v>
      </c>
      <c r="H683" t="s">
        <v>22</v>
      </c>
      <c r="I683" t="s">
        <v>602</v>
      </c>
      <c r="K683" t="s">
        <v>24</v>
      </c>
      <c r="L683" s="4">
        <v>95</v>
      </c>
      <c r="M683" t="s">
        <v>601</v>
      </c>
      <c r="N683" t="s">
        <v>26</v>
      </c>
      <c r="O683" s="4">
        <v>45</v>
      </c>
      <c r="P683">
        <v>0</v>
      </c>
      <c r="Q683" s="4">
        <v>45</v>
      </c>
      <c r="R683" s="12">
        <f t="shared" si="10"/>
        <v>4275</v>
      </c>
      <c r="T683" t="s">
        <v>27</v>
      </c>
      <c r="U683" t="s">
        <v>599</v>
      </c>
      <c r="V683" s="4">
        <v>95</v>
      </c>
      <c r="W683">
        <v>0</v>
      </c>
    </row>
    <row r="684" spans="1:23" hidden="1" x14ac:dyDescent="0.25">
      <c r="A684" s="2">
        <v>45986.341249999998</v>
      </c>
      <c r="B684">
        <v>4297</v>
      </c>
      <c r="C684" t="s">
        <v>596</v>
      </c>
      <c r="D684" s="3">
        <v>45986</v>
      </c>
      <c r="E684" s="3">
        <v>46111</v>
      </c>
      <c r="F684" t="s">
        <v>247</v>
      </c>
      <c r="H684" t="s">
        <v>22</v>
      </c>
      <c r="I684" t="s">
        <v>600</v>
      </c>
      <c r="K684" t="s">
        <v>24</v>
      </c>
      <c r="L684" s="4">
        <v>95</v>
      </c>
      <c r="M684" t="s">
        <v>603</v>
      </c>
      <c r="N684" t="s">
        <v>26</v>
      </c>
      <c r="O684" s="4">
        <v>156</v>
      </c>
      <c r="P684">
        <v>0</v>
      </c>
      <c r="Q684" s="4">
        <v>156</v>
      </c>
      <c r="R684" s="12">
        <f t="shared" si="10"/>
        <v>14820</v>
      </c>
      <c r="T684" t="s">
        <v>27</v>
      </c>
      <c r="U684" t="s">
        <v>599</v>
      </c>
      <c r="V684" s="4">
        <v>95</v>
      </c>
      <c r="W684">
        <v>0</v>
      </c>
    </row>
    <row r="685" spans="1:23" hidden="1" x14ac:dyDescent="0.25">
      <c r="A685" s="2">
        <v>45995.405347222222</v>
      </c>
      <c r="B685">
        <v>4324</v>
      </c>
      <c r="C685" t="s">
        <v>596</v>
      </c>
      <c r="D685" s="3">
        <v>45995</v>
      </c>
      <c r="E685" s="3">
        <v>46264</v>
      </c>
      <c r="F685" t="s">
        <v>247</v>
      </c>
      <c r="H685" t="s">
        <v>22</v>
      </c>
      <c r="I685" t="s">
        <v>559</v>
      </c>
      <c r="K685" t="s">
        <v>24</v>
      </c>
      <c r="L685" s="4">
        <v>19.899999999999999</v>
      </c>
      <c r="M685" t="s">
        <v>604</v>
      </c>
      <c r="N685" t="s">
        <v>46</v>
      </c>
      <c r="O685" s="4">
        <v>900</v>
      </c>
      <c r="P685">
        <v>0</v>
      </c>
      <c r="Q685" s="4">
        <v>900</v>
      </c>
      <c r="R685" s="12">
        <f t="shared" si="10"/>
        <v>17910</v>
      </c>
      <c r="T685" t="s">
        <v>27</v>
      </c>
      <c r="U685" t="s">
        <v>599</v>
      </c>
      <c r="V685" s="4">
        <v>19.899999999999999</v>
      </c>
      <c r="W685">
        <v>0</v>
      </c>
    </row>
    <row r="686" spans="1:23" hidden="1" x14ac:dyDescent="0.25">
      <c r="A686" s="2">
        <v>45995.405347222222</v>
      </c>
      <c r="B686">
        <v>4324</v>
      </c>
      <c r="C686" t="s">
        <v>596</v>
      </c>
      <c r="D686" s="3">
        <v>45995</v>
      </c>
      <c r="E686" s="3">
        <v>46264</v>
      </c>
      <c r="F686" t="s">
        <v>247</v>
      </c>
      <c r="H686" t="s">
        <v>22</v>
      </c>
      <c r="I686" t="s">
        <v>548</v>
      </c>
      <c r="K686" t="s">
        <v>31</v>
      </c>
      <c r="L686" s="4">
        <v>31</v>
      </c>
      <c r="M686" t="s">
        <v>604</v>
      </c>
      <c r="N686" t="s">
        <v>46</v>
      </c>
      <c r="O686" s="4">
        <v>1000</v>
      </c>
      <c r="P686">
        <v>0</v>
      </c>
      <c r="Q686" s="4">
        <v>1000</v>
      </c>
      <c r="R686" s="12">
        <f t="shared" si="10"/>
        <v>31000</v>
      </c>
      <c r="T686" t="s">
        <v>27</v>
      </c>
      <c r="U686" t="s">
        <v>599</v>
      </c>
      <c r="V686" s="4">
        <v>31</v>
      </c>
      <c r="W686">
        <v>0</v>
      </c>
    </row>
    <row r="687" spans="1:23" hidden="1" x14ac:dyDescent="0.25">
      <c r="A687" s="2">
        <v>45995.405347222222</v>
      </c>
      <c r="B687">
        <v>4324</v>
      </c>
      <c r="C687" t="s">
        <v>596</v>
      </c>
      <c r="D687" s="3">
        <v>45995</v>
      </c>
      <c r="E687" s="3">
        <v>46264</v>
      </c>
      <c r="F687" t="s">
        <v>247</v>
      </c>
      <c r="H687" t="s">
        <v>22</v>
      </c>
      <c r="I687" t="s">
        <v>600</v>
      </c>
      <c r="K687" t="s">
        <v>24</v>
      </c>
      <c r="L687" s="4">
        <v>95</v>
      </c>
      <c r="M687" t="s">
        <v>604</v>
      </c>
      <c r="N687" t="s">
        <v>46</v>
      </c>
      <c r="O687" s="4">
        <v>300</v>
      </c>
      <c r="P687">
        <v>0</v>
      </c>
      <c r="Q687" s="4">
        <v>300</v>
      </c>
      <c r="R687" s="12">
        <f t="shared" si="10"/>
        <v>28500</v>
      </c>
      <c r="T687" t="s">
        <v>27</v>
      </c>
      <c r="U687" t="s">
        <v>599</v>
      </c>
      <c r="V687" s="4">
        <v>95</v>
      </c>
      <c r="W687">
        <v>0</v>
      </c>
    </row>
    <row r="688" spans="1:23" hidden="1" x14ac:dyDescent="0.25">
      <c r="A688" s="2">
        <v>46037.423425925925</v>
      </c>
      <c r="B688">
        <v>4449</v>
      </c>
      <c r="C688" t="s">
        <v>596</v>
      </c>
      <c r="D688" s="3">
        <v>46037</v>
      </c>
      <c r="E688" s="3">
        <v>46264</v>
      </c>
      <c r="F688" t="s">
        <v>247</v>
      </c>
      <c r="H688" t="s">
        <v>22</v>
      </c>
      <c r="I688" t="s">
        <v>233</v>
      </c>
      <c r="K688" t="s">
        <v>31</v>
      </c>
      <c r="L688" s="4">
        <v>480</v>
      </c>
      <c r="M688" t="s">
        <v>605</v>
      </c>
      <c r="N688" t="s">
        <v>46</v>
      </c>
      <c r="O688" s="4">
        <v>20</v>
      </c>
      <c r="P688">
        <v>0</v>
      </c>
      <c r="Q688" s="4">
        <v>20</v>
      </c>
      <c r="R688" s="12">
        <f t="shared" si="10"/>
        <v>9600</v>
      </c>
      <c r="T688" t="s">
        <v>27</v>
      </c>
      <c r="U688" t="s">
        <v>599</v>
      </c>
      <c r="V688" s="4">
        <v>480</v>
      </c>
      <c r="W688">
        <v>0</v>
      </c>
    </row>
    <row r="689" spans="1:23" hidden="1" x14ac:dyDescent="0.25">
      <c r="A689" s="2">
        <v>46049.370578703703</v>
      </c>
      <c r="B689">
        <v>4492</v>
      </c>
      <c r="C689" t="s">
        <v>596</v>
      </c>
      <c r="D689" s="3">
        <v>46049</v>
      </c>
      <c r="E689" s="3">
        <v>46264</v>
      </c>
      <c r="F689" t="s">
        <v>247</v>
      </c>
      <c r="H689" t="s">
        <v>22</v>
      </c>
      <c r="I689" t="s">
        <v>233</v>
      </c>
      <c r="K689" t="s">
        <v>31</v>
      </c>
      <c r="L689" s="4">
        <v>480</v>
      </c>
      <c r="M689" t="s">
        <v>606</v>
      </c>
      <c r="N689" t="s">
        <v>46</v>
      </c>
      <c r="O689" s="4">
        <v>20</v>
      </c>
      <c r="P689">
        <v>0</v>
      </c>
      <c r="Q689" s="4">
        <v>20</v>
      </c>
      <c r="R689" s="12">
        <f t="shared" si="10"/>
        <v>9600</v>
      </c>
      <c r="T689" t="s">
        <v>27</v>
      </c>
      <c r="U689" t="s">
        <v>599</v>
      </c>
      <c r="V689" s="4">
        <v>480</v>
      </c>
      <c r="W689">
        <v>0</v>
      </c>
    </row>
    <row r="690" spans="1:23" hidden="1" x14ac:dyDescent="0.25">
      <c r="A690" s="2">
        <v>46068.388182870367</v>
      </c>
      <c r="B690">
        <v>4565</v>
      </c>
      <c r="C690" t="s">
        <v>596</v>
      </c>
      <c r="D690" s="3">
        <v>46068</v>
      </c>
      <c r="E690" s="3">
        <v>46264</v>
      </c>
      <c r="F690" t="s">
        <v>247</v>
      </c>
      <c r="H690" t="s">
        <v>22</v>
      </c>
      <c r="I690" t="s">
        <v>233</v>
      </c>
      <c r="K690" t="s">
        <v>31</v>
      </c>
      <c r="L690" s="4">
        <v>480</v>
      </c>
      <c r="M690" t="s">
        <v>607</v>
      </c>
      <c r="N690" t="s">
        <v>46</v>
      </c>
      <c r="O690" s="4">
        <v>23</v>
      </c>
      <c r="P690">
        <v>0</v>
      </c>
      <c r="Q690" s="4">
        <v>23</v>
      </c>
      <c r="R690" s="12">
        <f t="shared" si="10"/>
        <v>11040</v>
      </c>
      <c r="T690" t="s">
        <v>27</v>
      </c>
      <c r="U690" t="s">
        <v>599</v>
      </c>
      <c r="V690" s="4">
        <v>480</v>
      </c>
      <c r="W690">
        <v>0</v>
      </c>
    </row>
    <row r="691" spans="1:23" hidden="1" x14ac:dyDescent="0.25">
      <c r="A691" s="2">
        <v>46077.659212962964</v>
      </c>
      <c r="B691">
        <v>4607</v>
      </c>
      <c r="C691" t="s">
        <v>596</v>
      </c>
      <c r="D691" s="3">
        <v>46077</v>
      </c>
      <c r="E691" s="3">
        <v>46264</v>
      </c>
      <c r="F691" t="s">
        <v>247</v>
      </c>
      <c r="H691" t="s">
        <v>22</v>
      </c>
      <c r="I691" t="s">
        <v>233</v>
      </c>
      <c r="K691" t="s">
        <v>31</v>
      </c>
      <c r="L691" s="4">
        <v>480</v>
      </c>
      <c r="M691" t="s">
        <v>608</v>
      </c>
      <c r="N691" t="s">
        <v>46</v>
      </c>
      <c r="O691" s="4">
        <v>30</v>
      </c>
      <c r="P691">
        <v>0</v>
      </c>
      <c r="Q691" s="4">
        <v>30</v>
      </c>
      <c r="R691" s="12">
        <f t="shared" si="10"/>
        <v>14400</v>
      </c>
      <c r="T691" t="s">
        <v>27</v>
      </c>
      <c r="U691" t="s">
        <v>599</v>
      </c>
      <c r="V691" s="4">
        <v>480</v>
      </c>
      <c r="W691">
        <v>0</v>
      </c>
    </row>
    <row r="692" spans="1:23" hidden="1" x14ac:dyDescent="0.25">
      <c r="A692" s="2">
        <v>46084.687488425923</v>
      </c>
      <c r="B692">
        <v>4619</v>
      </c>
      <c r="C692" t="s">
        <v>596</v>
      </c>
      <c r="D692" s="3">
        <v>46084</v>
      </c>
      <c r="E692" s="3">
        <v>46264</v>
      </c>
      <c r="F692" t="s">
        <v>247</v>
      </c>
      <c r="H692" t="s">
        <v>22</v>
      </c>
      <c r="I692" t="s">
        <v>559</v>
      </c>
      <c r="K692" t="s">
        <v>24</v>
      </c>
      <c r="L692" s="4">
        <v>19.899999999999999</v>
      </c>
      <c r="M692" t="s">
        <v>609</v>
      </c>
      <c r="N692" t="s">
        <v>46</v>
      </c>
      <c r="O692" s="4">
        <v>60</v>
      </c>
      <c r="P692">
        <v>0</v>
      </c>
      <c r="Q692" s="4">
        <v>60</v>
      </c>
      <c r="R692" s="12">
        <f t="shared" si="10"/>
        <v>1194</v>
      </c>
      <c r="T692" t="s">
        <v>27</v>
      </c>
      <c r="U692" t="s">
        <v>599</v>
      </c>
      <c r="V692" s="4">
        <v>19.899999999999999</v>
      </c>
      <c r="W692">
        <v>0</v>
      </c>
    </row>
    <row r="693" spans="1:23" hidden="1" x14ac:dyDescent="0.25">
      <c r="A693" s="2">
        <v>45968.349641203706</v>
      </c>
      <c r="B693">
        <v>400</v>
      </c>
      <c r="C693" t="s">
        <v>610</v>
      </c>
      <c r="D693" s="3">
        <v>45967</v>
      </c>
      <c r="E693" s="3">
        <v>46142</v>
      </c>
      <c r="F693" t="s">
        <v>66</v>
      </c>
      <c r="H693" t="s">
        <v>22</v>
      </c>
      <c r="I693" t="s">
        <v>192</v>
      </c>
      <c r="J693" t="s">
        <v>1490</v>
      </c>
      <c r="K693" t="s">
        <v>24</v>
      </c>
      <c r="L693" s="4">
        <v>16.8</v>
      </c>
      <c r="M693" t="s">
        <v>611</v>
      </c>
      <c r="N693" t="s">
        <v>26</v>
      </c>
      <c r="O693" s="4">
        <v>640</v>
      </c>
      <c r="P693">
        <v>0</v>
      </c>
      <c r="Q693" s="4">
        <v>640</v>
      </c>
      <c r="R693" s="12">
        <f t="shared" si="10"/>
        <v>10752</v>
      </c>
      <c r="T693" t="s">
        <v>117</v>
      </c>
      <c r="U693" t="s">
        <v>612</v>
      </c>
      <c r="V693" s="4">
        <v>16.8</v>
      </c>
      <c r="W693">
        <v>0</v>
      </c>
    </row>
    <row r="694" spans="1:23" hidden="1" x14ac:dyDescent="0.25">
      <c r="A694" s="2">
        <v>45994.36445601852</v>
      </c>
      <c r="B694">
        <v>441</v>
      </c>
      <c r="C694" t="s">
        <v>610</v>
      </c>
      <c r="D694" s="3">
        <v>45994</v>
      </c>
      <c r="E694" s="3">
        <v>46295</v>
      </c>
      <c r="F694" t="s">
        <v>66</v>
      </c>
      <c r="H694" t="s">
        <v>22</v>
      </c>
      <c r="I694" t="s">
        <v>191</v>
      </c>
      <c r="J694" t="s">
        <v>1490</v>
      </c>
      <c r="K694" t="s">
        <v>31</v>
      </c>
      <c r="L694" s="4">
        <v>19</v>
      </c>
      <c r="M694" t="s">
        <v>613</v>
      </c>
      <c r="N694" t="s">
        <v>46</v>
      </c>
      <c r="O694" s="4">
        <v>640</v>
      </c>
      <c r="P694">
        <v>0</v>
      </c>
      <c r="Q694" s="4">
        <v>640</v>
      </c>
      <c r="R694" s="12">
        <f t="shared" si="10"/>
        <v>12160</v>
      </c>
      <c r="T694" t="s">
        <v>117</v>
      </c>
      <c r="U694" t="s">
        <v>612</v>
      </c>
      <c r="V694" s="4">
        <v>19</v>
      </c>
      <c r="W694">
        <v>0</v>
      </c>
    </row>
    <row r="695" spans="1:23" hidden="1" x14ac:dyDescent="0.25">
      <c r="A695" s="2">
        <v>45994.36445601852</v>
      </c>
      <c r="B695">
        <v>441</v>
      </c>
      <c r="C695" t="s">
        <v>610</v>
      </c>
      <c r="D695" s="3">
        <v>45994</v>
      </c>
      <c r="E695" s="3">
        <v>46295</v>
      </c>
      <c r="F695" t="s">
        <v>66</v>
      </c>
      <c r="H695" t="s">
        <v>22</v>
      </c>
      <c r="I695" t="s">
        <v>35</v>
      </c>
      <c r="J695" t="s">
        <v>1490</v>
      </c>
      <c r="K695" t="s">
        <v>24</v>
      </c>
      <c r="L695" s="4">
        <v>60</v>
      </c>
      <c r="M695" t="s">
        <v>613</v>
      </c>
      <c r="N695" t="s">
        <v>46</v>
      </c>
      <c r="O695" s="4">
        <v>125</v>
      </c>
      <c r="P695">
        <v>0</v>
      </c>
      <c r="Q695" s="4">
        <v>125</v>
      </c>
      <c r="R695" s="12">
        <f t="shared" si="10"/>
        <v>7500</v>
      </c>
      <c r="T695" t="s">
        <v>117</v>
      </c>
      <c r="U695" t="s">
        <v>612</v>
      </c>
      <c r="V695" s="4">
        <v>60</v>
      </c>
      <c r="W695">
        <v>0</v>
      </c>
    </row>
    <row r="696" spans="1:23" hidden="1" x14ac:dyDescent="0.25">
      <c r="A696" s="2">
        <v>45994.36445601852</v>
      </c>
      <c r="B696">
        <v>441</v>
      </c>
      <c r="C696" t="s">
        <v>610</v>
      </c>
      <c r="D696" s="3">
        <v>45994</v>
      </c>
      <c r="E696" s="3">
        <v>46295</v>
      </c>
      <c r="F696" t="s">
        <v>66</v>
      </c>
      <c r="H696" t="s">
        <v>22</v>
      </c>
      <c r="I696" t="s">
        <v>614</v>
      </c>
      <c r="K696" t="s">
        <v>24</v>
      </c>
      <c r="L696" s="4">
        <v>17</v>
      </c>
      <c r="M696" t="s">
        <v>613</v>
      </c>
      <c r="N696" t="s">
        <v>46</v>
      </c>
      <c r="O696" s="4">
        <v>940</v>
      </c>
      <c r="P696">
        <v>0</v>
      </c>
      <c r="Q696" s="4">
        <v>940</v>
      </c>
      <c r="R696" s="12">
        <f t="shared" si="10"/>
        <v>15980</v>
      </c>
      <c r="T696" t="s">
        <v>117</v>
      </c>
      <c r="U696" t="s">
        <v>612</v>
      </c>
      <c r="V696" s="4">
        <v>17</v>
      </c>
      <c r="W696">
        <v>0</v>
      </c>
    </row>
    <row r="697" spans="1:23" hidden="1" x14ac:dyDescent="0.25">
      <c r="A697" s="2">
        <v>45994.36445601852</v>
      </c>
      <c r="B697">
        <v>441</v>
      </c>
      <c r="C697" t="s">
        <v>610</v>
      </c>
      <c r="D697" s="3">
        <v>45994</v>
      </c>
      <c r="E697" s="3">
        <v>46295</v>
      </c>
      <c r="F697" t="s">
        <v>66</v>
      </c>
      <c r="H697" t="s">
        <v>22</v>
      </c>
      <c r="I697" t="s">
        <v>32</v>
      </c>
      <c r="J697" t="s">
        <v>1490</v>
      </c>
      <c r="K697" t="s">
        <v>24</v>
      </c>
      <c r="L697" s="4">
        <v>21</v>
      </c>
      <c r="M697" t="s">
        <v>613</v>
      </c>
      <c r="N697" t="s">
        <v>46</v>
      </c>
      <c r="O697" s="4">
        <v>640</v>
      </c>
      <c r="P697">
        <v>0</v>
      </c>
      <c r="Q697" s="4">
        <v>640</v>
      </c>
      <c r="R697" s="12">
        <f t="shared" si="10"/>
        <v>13440</v>
      </c>
      <c r="T697" t="s">
        <v>117</v>
      </c>
      <c r="U697" t="s">
        <v>612</v>
      </c>
      <c r="V697" s="4">
        <v>21</v>
      </c>
      <c r="W697">
        <v>0</v>
      </c>
    </row>
    <row r="698" spans="1:23" hidden="1" x14ac:dyDescent="0.25">
      <c r="A698" s="2">
        <v>45994.36445601852</v>
      </c>
      <c r="B698">
        <v>441</v>
      </c>
      <c r="C698" t="s">
        <v>610</v>
      </c>
      <c r="D698" s="3">
        <v>45994</v>
      </c>
      <c r="E698" s="3">
        <v>46295</v>
      </c>
      <c r="F698" t="s">
        <v>66</v>
      </c>
      <c r="G698" t="s">
        <v>1494</v>
      </c>
      <c r="H698" t="s">
        <v>22</v>
      </c>
      <c r="I698" t="s">
        <v>468</v>
      </c>
      <c r="J698" t="s">
        <v>1491</v>
      </c>
      <c r="K698" t="s">
        <v>24</v>
      </c>
      <c r="L698" s="4">
        <v>36</v>
      </c>
      <c r="M698" t="s">
        <v>613</v>
      </c>
      <c r="N698" t="s">
        <v>46</v>
      </c>
      <c r="O698" s="4">
        <v>235</v>
      </c>
      <c r="P698">
        <v>0</v>
      </c>
      <c r="Q698" s="4">
        <v>235</v>
      </c>
      <c r="R698" s="12">
        <f t="shared" si="10"/>
        <v>8460</v>
      </c>
      <c r="T698" t="s">
        <v>117</v>
      </c>
      <c r="U698" t="s">
        <v>612</v>
      </c>
      <c r="V698" s="4">
        <v>36</v>
      </c>
      <c r="W698">
        <v>0</v>
      </c>
    </row>
    <row r="699" spans="1:23" hidden="1" x14ac:dyDescent="0.25">
      <c r="A699" s="2">
        <v>45994.36445601852</v>
      </c>
      <c r="B699">
        <v>441</v>
      </c>
      <c r="C699" t="s">
        <v>610</v>
      </c>
      <c r="D699" s="3">
        <v>45994</v>
      </c>
      <c r="E699" s="3">
        <v>46295</v>
      </c>
      <c r="F699" t="s">
        <v>66</v>
      </c>
      <c r="H699" t="s">
        <v>22</v>
      </c>
      <c r="I699" t="s">
        <v>348</v>
      </c>
      <c r="K699" t="s">
        <v>24</v>
      </c>
      <c r="L699" s="4">
        <v>160</v>
      </c>
      <c r="M699" t="s">
        <v>613</v>
      </c>
      <c r="N699" t="s">
        <v>46</v>
      </c>
      <c r="O699" s="4">
        <v>65</v>
      </c>
      <c r="P699">
        <v>0</v>
      </c>
      <c r="Q699" s="4">
        <v>65</v>
      </c>
      <c r="R699" s="12">
        <f t="shared" si="10"/>
        <v>10400</v>
      </c>
      <c r="T699" t="s">
        <v>117</v>
      </c>
      <c r="U699" t="s">
        <v>612</v>
      </c>
      <c r="V699" s="4">
        <v>160</v>
      </c>
      <c r="W699">
        <v>0</v>
      </c>
    </row>
    <row r="700" spans="1:23" hidden="1" x14ac:dyDescent="0.25">
      <c r="A700" s="2">
        <v>45994.36445601852</v>
      </c>
      <c r="B700">
        <v>441</v>
      </c>
      <c r="C700" t="s">
        <v>610</v>
      </c>
      <c r="D700" s="3">
        <v>45994</v>
      </c>
      <c r="E700" s="3">
        <v>46295</v>
      </c>
      <c r="F700" t="s">
        <v>66</v>
      </c>
      <c r="G700" t="s">
        <v>1494</v>
      </c>
      <c r="H700" t="s">
        <v>22</v>
      </c>
      <c r="I700" t="s">
        <v>75</v>
      </c>
      <c r="J700" t="s">
        <v>1491</v>
      </c>
      <c r="K700" t="s">
        <v>24</v>
      </c>
      <c r="L700" s="4">
        <v>36</v>
      </c>
      <c r="M700" t="s">
        <v>613</v>
      </c>
      <c r="N700" t="s">
        <v>46</v>
      </c>
      <c r="O700" s="4">
        <v>465</v>
      </c>
      <c r="P700">
        <v>0</v>
      </c>
      <c r="Q700" s="4">
        <v>465</v>
      </c>
      <c r="R700" s="12">
        <f t="shared" si="10"/>
        <v>16740</v>
      </c>
      <c r="T700" t="s">
        <v>117</v>
      </c>
      <c r="U700" t="s">
        <v>612</v>
      </c>
      <c r="V700" s="4">
        <v>36</v>
      </c>
      <c r="W700">
        <v>0</v>
      </c>
    </row>
    <row r="701" spans="1:23" hidden="1" x14ac:dyDescent="0.25">
      <c r="A701" s="2">
        <v>45994.36445601852</v>
      </c>
      <c r="B701">
        <v>441</v>
      </c>
      <c r="C701" t="s">
        <v>610</v>
      </c>
      <c r="D701" s="3">
        <v>45994</v>
      </c>
      <c r="E701" s="3">
        <v>46295</v>
      </c>
      <c r="F701" t="s">
        <v>66</v>
      </c>
      <c r="H701" t="s">
        <v>22</v>
      </c>
      <c r="I701" t="s">
        <v>258</v>
      </c>
      <c r="J701" t="s">
        <v>1490</v>
      </c>
      <c r="K701" t="s">
        <v>24</v>
      </c>
      <c r="L701" s="4">
        <v>10.5</v>
      </c>
      <c r="M701" t="s">
        <v>613</v>
      </c>
      <c r="N701" t="s">
        <v>46</v>
      </c>
      <c r="O701" s="4">
        <v>1000</v>
      </c>
      <c r="P701">
        <v>0</v>
      </c>
      <c r="Q701" s="4">
        <v>1000</v>
      </c>
      <c r="R701" s="12">
        <f t="shared" si="10"/>
        <v>10500</v>
      </c>
      <c r="T701" t="s">
        <v>117</v>
      </c>
      <c r="U701" t="s">
        <v>612</v>
      </c>
      <c r="V701" s="4">
        <v>10.5</v>
      </c>
      <c r="W701">
        <v>0</v>
      </c>
    </row>
    <row r="702" spans="1:23" hidden="1" x14ac:dyDescent="0.25">
      <c r="A702" s="2">
        <v>46015.440613425926</v>
      </c>
      <c r="B702">
        <v>468</v>
      </c>
      <c r="C702" t="s">
        <v>610</v>
      </c>
      <c r="D702" s="3">
        <v>46015</v>
      </c>
      <c r="E702" s="3">
        <v>46142</v>
      </c>
      <c r="F702" t="s">
        <v>66</v>
      </c>
      <c r="G702" t="s">
        <v>1494</v>
      </c>
      <c r="H702" t="s">
        <v>22</v>
      </c>
      <c r="I702" t="s">
        <v>92</v>
      </c>
      <c r="J702" t="s">
        <v>1491</v>
      </c>
      <c r="K702" t="s">
        <v>31</v>
      </c>
      <c r="L702" s="4">
        <v>360</v>
      </c>
      <c r="M702" t="s">
        <v>615</v>
      </c>
      <c r="N702" t="s">
        <v>26</v>
      </c>
      <c r="O702" s="4">
        <v>114</v>
      </c>
      <c r="P702">
        <v>0</v>
      </c>
      <c r="Q702" s="4">
        <v>114</v>
      </c>
      <c r="R702" s="12">
        <f t="shared" si="10"/>
        <v>41040</v>
      </c>
      <c r="T702" t="s">
        <v>117</v>
      </c>
      <c r="U702" t="s">
        <v>612</v>
      </c>
      <c r="V702" s="4">
        <v>360</v>
      </c>
      <c r="W702">
        <v>0</v>
      </c>
    </row>
    <row r="703" spans="1:23" hidden="1" x14ac:dyDescent="0.25">
      <c r="A703" s="2">
        <v>45939.407569444447</v>
      </c>
      <c r="B703">
        <v>4138</v>
      </c>
      <c r="C703" t="s">
        <v>616</v>
      </c>
      <c r="D703" s="3">
        <v>45937</v>
      </c>
      <c r="E703" s="3">
        <v>46142</v>
      </c>
      <c r="F703" t="s">
        <v>21</v>
      </c>
      <c r="H703" t="s">
        <v>22</v>
      </c>
      <c r="I703" t="s">
        <v>35</v>
      </c>
      <c r="J703" t="s">
        <v>1490</v>
      </c>
      <c r="K703" t="s">
        <v>24</v>
      </c>
      <c r="L703" s="4">
        <v>71</v>
      </c>
      <c r="M703" t="s">
        <v>617</v>
      </c>
      <c r="N703" t="s">
        <v>26</v>
      </c>
      <c r="O703" s="4">
        <v>20</v>
      </c>
      <c r="P703">
        <v>0</v>
      </c>
      <c r="Q703" s="4">
        <v>20</v>
      </c>
      <c r="R703" s="12">
        <f t="shared" si="10"/>
        <v>1420</v>
      </c>
      <c r="T703" t="s">
        <v>27</v>
      </c>
      <c r="U703" t="s">
        <v>618</v>
      </c>
      <c r="V703" s="4">
        <v>71</v>
      </c>
      <c r="W703">
        <v>0</v>
      </c>
    </row>
    <row r="704" spans="1:23" hidden="1" x14ac:dyDescent="0.25">
      <c r="A704" s="2">
        <v>45939.407569444447</v>
      </c>
      <c r="B704">
        <v>4138</v>
      </c>
      <c r="C704" t="s">
        <v>616</v>
      </c>
      <c r="D704" s="3">
        <v>45937</v>
      </c>
      <c r="E704" s="3">
        <v>46142</v>
      </c>
      <c r="F704" t="s">
        <v>21</v>
      </c>
      <c r="H704" t="s">
        <v>22</v>
      </c>
      <c r="I704" t="s">
        <v>36</v>
      </c>
      <c r="J704" t="s">
        <v>1490</v>
      </c>
      <c r="K704" t="s">
        <v>24</v>
      </c>
      <c r="L704" s="4">
        <v>71</v>
      </c>
      <c r="M704" t="s">
        <v>617</v>
      </c>
      <c r="N704" t="s">
        <v>26</v>
      </c>
      <c r="O704" s="4">
        <v>20</v>
      </c>
      <c r="P704">
        <v>0</v>
      </c>
      <c r="Q704" s="4">
        <v>20</v>
      </c>
      <c r="R704" s="12">
        <f t="shared" si="10"/>
        <v>1420</v>
      </c>
      <c r="T704" t="s">
        <v>27</v>
      </c>
      <c r="U704" t="s">
        <v>618</v>
      </c>
      <c r="V704" s="4">
        <v>71</v>
      </c>
      <c r="W704">
        <v>0</v>
      </c>
    </row>
    <row r="705" spans="1:23" hidden="1" x14ac:dyDescent="0.25">
      <c r="A705" s="2">
        <v>46033.473379629628</v>
      </c>
      <c r="B705">
        <v>4426</v>
      </c>
      <c r="C705" t="s">
        <v>619</v>
      </c>
      <c r="D705" s="3">
        <v>46033</v>
      </c>
      <c r="E705" s="3">
        <v>46295</v>
      </c>
      <c r="F705" t="s">
        <v>98</v>
      </c>
      <c r="G705" t="s">
        <v>1493</v>
      </c>
      <c r="H705" t="s">
        <v>22</v>
      </c>
      <c r="I705" t="s">
        <v>40</v>
      </c>
      <c r="J705" t="s">
        <v>1491</v>
      </c>
      <c r="K705" t="s">
        <v>24</v>
      </c>
      <c r="L705" s="4">
        <v>341</v>
      </c>
      <c r="M705" t="s">
        <v>620</v>
      </c>
      <c r="N705" t="s">
        <v>46</v>
      </c>
      <c r="O705" s="4">
        <v>42</v>
      </c>
      <c r="P705">
        <v>0</v>
      </c>
      <c r="Q705" s="4">
        <v>42</v>
      </c>
      <c r="R705" s="12">
        <f t="shared" si="10"/>
        <v>14322</v>
      </c>
      <c r="T705" t="s">
        <v>151</v>
      </c>
      <c r="U705" t="s">
        <v>621</v>
      </c>
      <c r="V705" s="4">
        <v>341</v>
      </c>
      <c r="W705">
        <v>0</v>
      </c>
    </row>
    <row r="706" spans="1:23" hidden="1" x14ac:dyDescent="0.25">
      <c r="A706" s="2">
        <v>46033.473379629628</v>
      </c>
      <c r="B706">
        <v>4426</v>
      </c>
      <c r="C706" t="s">
        <v>619</v>
      </c>
      <c r="D706" s="3">
        <v>46033</v>
      </c>
      <c r="E706" s="3">
        <v>46295</v>
      </c>
      <c r="F706" t="s">
        <v>98</v>
      </c>
      <c r="G706" t="s">
        <v>1493</v>
      </c>
      <c r="H706" t="s">
        <v>22</v>
      </c>
      <c r="I706" t="s">
        <v>41</v>
      </c>
      <c r="J706" t="s">
        <v>1491</v>
      </c>
      <c r="K706" t="s">
        <v>24</v>
      </c>
      <c r="L706" s="4">
        <v>341</v>
      </c>
      <c r="M706" t="s">
        <v>620</v>
      </c>
      <c r="N706" t="s">
        <v>46</v>
      </c>
      <c r="O706" s="4">
        <v>42</v>
      </c>
      <c r="P706">
        <v>0</v>
      </c>
      <c r="Q706" s="4">
        <v>42</v>
      </c>
      <c r="R706" s="12">
        <f t="shared" si="10"/>
        <v>14322</v>
      </c>
      <c r="T706" t="s">
        <v>151</v>
      </c>
      <c r="U706" t="s">
        <v>621</v>
      </c>
      <c r="V706" s="4">
        <v>341</v>
      </c>
      <c r="W706">
        <v>0</v>
      </c>
    </row>
    <row r="707" spans="1:23" hidden="1" x14ac:dyDescent="0.25">
      <c r="A707" s="2">
        <v>46033.473379629628</v>
      </c>
      <c r="B707">
        <v>4426</v>
      </c>
      <c r="C707" t="s">
        <v>619</v>
      </c>
      <c r="D707" s="3">
        <v>46033</v>
      </c>
      <c r="E707" s="3">
        <v>46295</v>
      </c>
      <c r="F707" t="s">
        <v>98</v>
      </c>
      <c r="G707" t="s">
        <v>1493</v>
      </c>
      <c r="H707" t="s">
        <v>22</v>
      </c>
      <c r="I707" t="s">
        <v>38</v>
      </c>
      <c r="J707" t="s">
        <v>1491</v>
      </c>
      <c r="K707" t="s">
        <v>24</v>
      </c>
      <c r="L707" s="4">
        <v>46</v>
      </c>
      <c r="M707" t="s">
        <v>620</v>
      </c>
      <c r="N707" t="s">
        <v>46</v>
      </c>
      <c r="O707" s="4">
        <v>210</v>
      </c>
      <c r="P707">
        <v>0</v>
      </c>
      <c r="Q707" s="4">
        <v>210</v>
      </c>
      <c r="R707" s="12">
        <f t="shared" ref="R707:R770" si="11">Q707*L707</f>
        <v>9660</v>
      </c>
      <c r="T707" t="s">
        <v>151</v>
      </c>
      <c r="U707" t="s">
        <v>621</v>
      </c>
      <c r="V707" s="4">
        <v>46</v>
      </c>
      <c r="W707">
        <v>0</v>
      </c>
    </row>
    <row r="708" spans="1:23" hidden="1" x14ac:dyDescent="0.25">
      <c r="A708" s="2">
        <v>46076.653333333335</v>
      </c>
      <c r="B708">
        <v>564</v>
      </c>
      <c r="C708" t="s">
        <v>622</v>
      </c>
      <c r="D708" s="3">
        <v>46076</v>
      </c>
      <c r="E708" s="3">
        <v>46264</v>
      </c>
      <c r="F708" t="s">
        <v>66</v>
      </c>
      <c r="G708" t="s">
        <v>1494</v>
      </c>
      <c r="H708" t="s">
        <v>484</v>
      </c>
      <c r="I708" t="s">
        <v>63</v>
      </c>
      <c r="J708" t="s">
        <v>1491</v>
      </c>
      <c r="K708" t="s">
        <v>31</v>
      </c>
      <c r="L708" s="4">
        <v>230</v>
      </c>
      <c r="M708" t="s">
        <v>623</v>
      </c>
      <c r="N708" t="s">
        <v>46</v>
      </c>
      <c r="O708" s="4">
        <v>16</v>
      </c>
      <c r="P708">
        <v>0</v>
      </c>
      <c r="Q708" s="4">
        <v>16</v>
      </c>
      <c r="R708" s="12">
        <f t="shared" si="11"/>
        <v>3680</v>
      </c>
      <c r="T708" t="s">
        <v>486</v>
      </c>
      <c r="U708" t="s">
        <v>624</v>
      </c>
      <c r="V708" s="4">
        <v>230</v>
      </c>
      <c r="W708">
        <v>0</v>
      </c>
    </row>
    <row r="709" spans="1:23" hidden="1" x14ac:dyDescent="0.25">
      <c r="A709" s="2">
        <v>46046.312789351854</v>
      </c>
      <c r="B709">
        <v>4485</v>
      </c>
      <c r="C709" t="s">
        <v>625</v>
      </c>
      <c r="D709" s="3">
        <v>46045</v>
      </c>
      <c r="E709" s="3">
        <v>46052</v>
      </c>
      <c r="F709" t="s">
        <v>418</v>
      </c>
      <c r="H709" t="s">
        <v>22</v>
      </c>
      <c r="I709" t="s">
        <v>80</v>
      </c>
      <c r="K709" t="s">
        <v>31</v>
      </c>
      <c r="L709" s="4">
        <v>41</v>
      </c>
      <c r="M709" t="s">
        <v>626</v>
      </c>
      <c r="N709" t="s">
        <v>46</v>
      </c>
      <c r="O709" s="4">
        <v>330</v>
      </c>
      <c r="P709">
        <v>0</v>
      </c>
      <c r="Q709" s="4">
        <v>330</v>
      </c>
      <c r="R709" s="12">
        <f t="shared" si="11"/>
        <v>13530</v>
      </c>
      <c r="T709" t="s">
        <v>532</v>
      </c>
      <c r="U709" t="s">
        <v>627</v>
      </c>
      <c r="V709" s="4">
        <v>41</v>
      </c>
      <c r="W709">
        <v>0</v>
      </c>
    </row>
    <row r="710" spans="1:23" hidden="1" x14ac:dyDescent="0.25">
      <c r="A710" s="2">
        <v>45989.609976851854</v>
      </c>
      <c r="B710">
        <v>435</v>
      </c>
      <c r="C710" t="s">
        <v>625</v>
      </c>
      <c r="D710" s="3">
        <v>45989</v>
      </c>
      <c r="E710" s="3">
        <v>46021</v>
      </c>
      <c r="F710" t="s">
        <v>418</v>
      </c>
      <c r="H710" t="s">
        <v>22</v>
      </c>
      <c r="I710" t="s">
        <v>80</v>
      </c>
      <c r="K710" t="s">
        <v>31</v>
      </c>
      <c r="L710" s="4">
        <v>41</v>
      </c>
      <c r="M710" t="s">
        <v>628</v>
      </c>
      <c r="N710" t="s">
        <v>46</v>
      </c>
      <c r="O710" s="4">
        <v>360</v>
      </c>
      <c r="P710">
        <v>0</v>
      </c>
      <c r="Q710" s="4">
        <v>360</v>
      </c>
      <c r="R710" s="12">
        <f t="shared" si="11"/>
        <v>14760</v>
      </c>
      <c r="T710" t="s">
        <v>532</v>
      </c>
      <c r="U710" t="s">
        <v>627</v>
      </c>
      <c r="V710" s="4">
        <v>41</v>
      </c>
      <c r="W710">
        <v>0</v>
      </c>
    </row>
    <row r="711" spans="1:23" hidden="1" x14ac:dyDescent="0.25">
      <c r="A711" s="2">
        <v>46072.600393518522</v>
      </c>
      <c r="B711">
        <v>554</v>
      </c>
      <c r="C711" t="s">
        <v>625</v>
      </c>
      <c r="D711" s="3">
        <v>46072</v>
      </c>
      <c r="E711" s="3">
        <v>46081</v>
      </c>
      <c r="F711" t="s">
        <v>418</v>
      </c>
      <c r="H711" t="s">
        <v>22</v>
      </c>
      <c r="I711" t="s">
        <v>80</v>
      </c>
      <c r="K711" t="s">
        <v>31</v>
      </c>
      <c r="L711" s="4">
        <v>41</v>
      </c>
      <c r="M711" t="s">
        <v>629</v>
      </c>
      <c r="N711" t="s">
        <v>46</v>
      </c>
      <c r="O711" s="4">
        <v>150</v>
      </c>
      <c r="P711">
        <v>0</v>
      </c>
      <c r="Q711" s="4">
        <v>150</v>
      </c>
      <c r="R711" s="12">
        <f t="shared" si="11"/>
        <v>6150</v>
      </c>
      <c r="T711" t="s">
        <v>532</v>
      </c>
      <c r="U711" t="s">
        <v>627</v>
      </c>
      <c r="V711" s="4">
        <v>41</v>
      </c>
      <c r="W711">
        <v>0</v>
      </c>
    </row>
    <row r="712" spans="1:23" hidden="1" x14ac:dyDescent="0.25">
      <c r="A712" s="2">
        <v>46037.528449074074</v>
      </c>
      <c r="B712">
        <v>502</v>
      </c>
      <c r="C712" t="s">
        <v>630</v>
      </c>
      <c r="D712" s="3">
        <v>46037</v>
      </c>
      <c r="E712" s="3">
        <v>46038</v>
      </c>
      <c r="F712" t="s">
        <v>324</v>
      </c>
      <c r="H712" t="s">
        <v>22</v>
      </c>
      <c r="I712" t="s">
        <v>80</v>
      </c>
      <c r="K712" t="s">
        <v>31</v>
      </c>
      <c r="L712" s="4">
        <v>40</v>
      </c>
      <c r="M712" t="s">
        <v>631</v>
      </c>
      <c r="N712" t="s">
        <v>46</v>
      </c>
      <c r="O712" s="4">
        <v>150</v>
      </c>
      <c r="P712">
        <v>0</v>
      </c>
      <c r="Q712" s="4">
        <v>150</v>
      </c>
      <c r="R712" s="12">
        <f t="shared" si="11"/>
        <v>6000</v>
      </c>
      <c r="T712" t="s">
        <v>125</v>
      </c>
      <c r="U712" t="s">
        <v>632</v>
      </c>
      <c r="V712" s="4">
        <v>40</v>
      </c>
      <c r="W712">
        <v>0</v>
      </c>
    </row>
    <row r="713" spans="1:23" hidden="1" x14ac:dyDescent="0.25">
      <c r="A713" s="2">
        <v>45771.63140046296</v>
      </c>
      <c r="B713">
        <v>202</v>
      </c>
      <c r="C713" t="s">
        <v>633</v>
      </c>
      <c r="D713" s="3">
        <v>45771</v>
      </c>
      <c r="E713" s="3">
        <v>46127</v>
      </c>
      <c r="F713" t="s">
        <v>52</v>
      </c>
      <c r="H713" t="s">
        <v>22</v>
      </c>
      <c r="I713" t="s">
        <v>356</v>
      </c>
      <c r="K713" t="s">
        <v>24</v>
      </c>
      <c r="L713" s="4">
        <v>15</v>
      </c>
      <c r="M713" t="s">
        <v>634</v>
      </c>
      <c r="N713" t="s">
        <v>26</v>
      </c>
      <c r="O713" s="4">
        <v>250</v>
      </c>
      <c r="P713">
        <v>0</v>
      </c>
      <c r="Q713" s="4">
        <v>250</v>
      </c>
      <c r="R713" s="12">
        <f t="shared" si="11"/>
        <v>3750</v>
      </c>
      <c r="T713" t="s">
        <v>55</v>
      </c>
      <c r="U713" t="s">
        <v>635</v>
      </c>
      <c r="V713" s="4">
        <v>15</v>
      </c>
      <c r="W713">
        <v>0</v>
      </c>
    </row>
    <row r="714" spans="1:23" hidden="1" x14ac:dyDescent="0.25">
      <c r="A714" s="2">
        <v>45771.63140046296</v>
      </c>
      <c r="B714">
        <v>202</v>
      </c>
      <c r="C714" t="s">
        <v>633</v>
      </c>
      <c r="D714" s="3">
        <v>45771</v>
      </c>
      <c r="E714" s="3">
        <v>46127</v>
      </c>
      <c r="F714" t="s">
        <v>52</v>
      </c>
      <c r="H714" t="s">
        <v>22</v>
      </c>
      <c r="I714" t="s">
        <v>280</v>
      </c>
      <c r="K714" t="s">
        <v>24</v>
      </c>
      <c r="L714" s="4">
        <v>21.923075999999998</v>
      </c>
      <c r="M714" t="s">
        <v>634</v>
      </c>
      <c r="N714" t="s">
        <v>26</v>
      </c>
      <c r="O714" s="4">
        <v>260</v>
      </c>
      <c r="P714">
        <v>0</v>
      </c>
      <c r="Q714" s="4">
        <v>260</v>
      </c>
      <c r="R714" s="12">
        <f t="shared" si="11"/>
        <v>5699.9997599999997</v>
      </c>
      <c r="T714" t="s">
        <v>55</v>
      </c>
      <c r="U714" t="s">
        <v>635</v>
      </c>
      <c r="V714" s="4">
        <v>21.923075999999998</v>
      </c>
      <c r="W714">
        <v>0</v>
      </c>
    </row>
    <row r="715" spans="1:23" hidden="1" x14ac:dyDescent="0.25">
      <c r="A715" s="2">
        <v>45771.63140046296</v>
      </c>
      <c r="B715">
        <v>202</v>
      </c>
      <c r="C715" t="s">
        <v>633</v>
      </c>
      <c r="D715" s="3">
        <v>45771</v>
      </c>
      <c r="E715" s="3">
        <v>46127</v>
      </c>
      <c r="F715" t="s">
        <v>52</v>
      </c>
      <c r="H715" t="s">
        <v>22</v>
      </c>
      <c r="I715" t="s">
        <v>279</v>
      </c>
      <c r="K715" t="s">
        <v>31</v>
      </c>
      <c r="L715" s="4">
        <v>235</v>
      </c>
      <c r="M715" t="s">
        <v>634</v>
      </c>
      <c r="N715" t="s">
        <v>26</v>
      </c>
      <c r="O715" s="4">
        <v>50</v>
      </c>
      <c r="P715">
        <v>0</v>
      </c>
      <c r="Q715" s="4">
        <v>50</v>
      </c>
      <c r="R715" s="12">
        <f t="shared" si="11"/>
        <v>11750</v>
      </c>
      <c r="T715" t="s">
        <v>55</v>
      </c>
      <c r="U715" t="s">
        <v>635</v>
      </c>
      <c r="V715" s="4">
        <v>235</v>
      </c>
      <c r="W715">
        <v>0</v>
      </c>
    </row>
    <row r="716" spans="1:23" hidden="1" x14ac:dyDescent="0.25">
      <c r="A716" s="2">
        <v>45771.63140046296</v>
      </c>
      <c r="B716">
        <v>202</v>
      </c>
      <c r="C716" t="s">
        <v>633</v>
      </c>
      <c r="D716" s="3">
        <v>45771</v>
      </c>
      <c r="E716" s="3">
        <v>46127</v>
      </c>
      <c r="F716" t="s">
        <v>52</v>
      </c>
      <c r="H716" t="s">
        <v>22</v>
      </c>
      <c r="I716" t="s">
        <v>42</v>
      </c>
      <c r="J716" t="s">
        <v>1490</v>
      </c>
      <c r="K716" t="s">
        <v>24</v>
      </c>
      <c r="L716" s="4">
        <v>210</v>
      </c>
      <c r="M716" t="s">
        <v>634</v>
      </c>
      <c r="N716" t="s">
        <v>26</v>
      </c>
      <c r="O716" s="4">
        <v>25</v>
      </c>
      <c r="P716">
        <v>0</v>
      </c>
      <c r="Q716" s="4">
        <v>25</v>
      </c>
      <c r="R716" s="12">
        <f t="shared" si="11"/>
        <v>5250</v>
      </c>
      <c r="T716" t="s">
        <v>55</v>
      </c>
      <c r="U716" t="s">
        <v>635</v>
      </c>
      <c r="V716" s="4">
        <v>210</v>
      </c>
      <c r="W716">
        <v>0</v>
      </c>
    </row>
    <row r="717" spans="1:23" hidden="1" x14ac:dyDescent="0.25">
      <c r="A717" s="2">
        <v>45771.63140046296</v>
      </c>
      <c r="B717">
        <v>202</v>
      </c>
      <c r="C717" t="s">
        <v>633</v>
      </c>
      <c r="D717" s="3">
        <v>45771</v>
      </c>
      <c r="E717" s="3">
        <v>46127</v>
      </c>
      <c r="F717" t="s">
        <v>52</v>
      </c>
      <c r="H717" t="s">
        <v>22</v>
      </c>
      <c r="I717" t="s">
        <v>276</v>
      </c>
      <c r="K717" t="s">
        <v>31</v>
      </c>
      <c r="L717" s="4">
        <v>22</v>
      </c>
      <c r="M717" t="s">
        <v>634</v>
      </c>
      <c r="N717" t="s">
        <v>26</v>
      </c>
      <c r="O717" s="4">
        <v>380</v>
      </c>
      <c r="P717">
        <v>0</v>
      </c>
      <c r="Q717" s="4">
        <v>380</v>
      </c>
      <c r="R717" s="12">
        <f t="shared" si="11"/>
        <v>8360</v>
      </c>
      <c r="T717" t="s">
        <v>55</v>
      </c>
      <c r="U717" t="s">
        <v>635</v>
      </c>
      <c r="V717" s="4">
        <v>22</v>
      </c>
      <c r="W717">
        <v>0</v>
      </c>
    </row>
    <row r="718" spans="1:23" hidden="1" x14ac:dyDescent="0.25">
      <c r="A718" s="2">
        <v>45771.63140046296</v>
      </c>
      <c r="B718">
        <v>202</v>
      </c>
      <c r="C718" t="s">
        <v>633</v>
      </c>
      <c r="D718" s="3">
        <v>45771</v>
      </c>
      <c r="E718" s="3">
        <v>46127</v>
      </c>
      <c r="F718" t="s">
        <v>52</v>
      </c>
      <c r="H718" t="s">
        <v>22</v>
      </c>
      <c r="I718" t="s">
        <v>177</v>
      </c>
      <c r="J718" t="s">
        <v>1490</v>
      </c>
      <c r="K718" t="s">
        <v>24</v>
      </c>
      <c r="L718" s="4">
        <v>20</v>
      </c>
      <c r="M718" t="s">
        <v>634</v>
      </c>
      <c r="N718" t="s">
        <v>26</v>
      </c>
      <c r="O718" s="4">
        <v>140</v>
      </c>
      <c r="P718">
        <v>0</v>
      </c>
      <c r="Q718" s="4">
        <v>140</v>
      </c>
      <c r="R718" s="12">
        <f t="shared" si="11"/>
        <v>2800</v>
      </c>
      <c r="T718" t="s">
        <v>55</v>
      </c>
      <c r="U718" t="s">
        <v>635</v>
      </c>
      <c r="V718" s="4">
        <v>20</v>
      </c>
      <c r="W718">
        <v>0</v>
      </c>
    </row>
    <row r="719" spans="1:23" hidden="1" x14ac:dyDescent="0.25">
      <c r="A719" s="2">
        <v>45771.63140046296</v>
      </c>
      <c r="B719">
        <v>202</v>
      </c>
      <c r="C719" t="s">
        <v>633</v>
      </c>
      <c r="D719" s="3">
        <v>45771</v>
      </c>
      <c r="E719" s="3">
        <v>46127</v>
      </c>
      <c r="F719" t="s">
        <v>52</v>
      </c>
      <c r="H719" t="s">
        <v>22</v>
      </c>
      <c r="I719" t="s">
        <v>37</v>
      </c>
      <c r="J719" t="s">
        <v>1490</v>
      </c>
      <c r="K719" t="s">
        <v>31</v>
      </c>
      <c r="L719" s="4">
        <v>68</v>
      </c>
      <c r="M719" t="s">
        <v>634</v>
      </c>
      <c r="N719" t="s">
        <v>26</v>
      </c>
      <c r="O719" s="4">
        <v>42</v>
      </c>
      <c r="P719">
        <v>0</v>
      </c>
      <c r="Q719" s="4">
        <v>42</v>
      </c>
      <c r="R719" s="12">
        <f t="shared" si="11"/>
        <v>2856</v>
      </c>
      <c r="T719" t="s">
        <v>55</v>
      </c>
      <c r="U719" t="s">
        <v>635</v>
      </c>
      <c r="V719" s="4">
        <v>68</v>
      </c>
      <c r="W719">
        <v>0</v>
      </c>
    </row>
    <row r="720" spans="1:23" hidden="1" x14ac:dyDescent="0.25">
      <c r="A720" s="2">
        <v>45771.63140046296</v>
      </c>
      <c r="B720">
        <v>202</v>
      </c>
      <c r="C720" t="s">
        <v>633</v>
      </c>
      <c r="D720" s="3">
        <v>45771</v>
      </c>
      <c r="E720" s="3">
        <v>46127</v>
      </c>
      <c r="F720" t="s">
        <v>52</v>
      </c>
      <c r="H720" t="s">
        <v>22</v>
      </c>
      <c r="I720" t="s">
        <v>89</v>
      </c>
      <c r="K720" t="s">
        <v>31</v>
      </c>
      <c r="L720" s="4">
        <v>19</v>
      </c>
      <c r="M720" t="s">
        <v>634</v>
      </c>
      <c r="N720" t="s">
        <v>26</v>
      </c>
      <c r="O720" s="4">
        <v>630</v>
      </c>
      <c r="P720">
        <v>0</v>
      </c>
      <c r="Q720" s="4">
        <v>630</v>
      </c>
      <c r="R720" s="12">
        <f t="shared" si="11"/>
        <v>11970</v>
      </c>
      <c r="T720" t="s">
        <v>55</v>
      </c>
      <c r="U720" t="s">
        <v>635</v>
      </c>
      <c r="V720" s="4">
        <v>19</v>
      </c>
      <c r="W720">
        <v>0</v>
      </c>
    </row>
    <row r="721" spans="1:23" hidden="1" x14ac:dyDescent="0.25">
      <c r="A721" s="2">
        <v>45937.347881944443</v>
      </c>
      <c r="B721">
        <v>4128</v>
      </c>
      <c r="C721" t="s">
        <v>636</v>
      </c>
      <c r="D721" s="3">
        <v>45937</v>
      </c>
      <c r="E721" s="3">
        <v>45938</v>
      </c>
      <c r="F721" t="s">
        <v>637</v>
      </c>
      <c r="G721" t="s">
        <v>1493</v>
      </c>
      <c r="H721" t="s">
        <v>22</v>
      </c>
      <c r="I721" t="s">
        <v>63</v>
      </c>
      <c r="J721" t="s">
        <v>1491</v>
      </c>
      <c r="K721" t="s">
        <v>31</v>
      </c>
      <c r="L721" s="4">
        <v>195</v>
      </c>
      <c r="M721" t="s">
        <v>638</v>
      </c>
      <c r="N721" t="s">
        <v>26</v>
      </c>
      <c r="O721" s="4">
        <v>6</v>
      </c>
      <c r="P721">
        <v>0</v>
      </c>
      <c r="Q721" s="4">
        <v>6</v>
      </c>
      <c r="R721" s="12">
        <f t="shared" si="11"/>
        <v>1170</v>
      </c>
      <c r="T721" t="s">
        <v>145</v>
      </c>
      <c r="U721" t="s">
        <v>639</v>
      </c>
      <c r="V721" s="4">
        <v>195</v>
      </c>
      <c r="W721">
        <v>0</v>
      </c>
    </row>
    <row r="722" spans="1:23" hidden="1" x14ac:dyDescent="0.25">
      <c r="A722" s="2">
        <v>45965.707662037035</v>
      </c>
      <c r="B722">
        <v>4236</v>
      </c>
      <c r="C722" t="s">
        <v>640</v>
      </c>
      <c r="D722" s="3">
        <v>45965</v>
      </c>
      <c r="E722" s="3">
        <v>46111</v>
      </c>
      <c r="F722" t="s">
        <v>112</v>
      </c>
      <c r="H722" t="s">
        <v>22</v>
      </c>
      <c r="I722" t="s">
        <v>36</v>
      </c>
      <c r="J722" t="s">
        <v>1490</v>
      </c>
      <c r="K722" t="s">
        <v>24</v>
      </c>
      <c r="L722" s="4">
        <v>60</v>
      </c>
      <c r="M722" t="s">
        <v>641</v>
      </c>
      <c r="N722" t="s">
        <v>26</v>
      </c>
      <c r="O722" s="4">
        <v>20</v>
      </c>
      <c r="P722">
        <v>0</v>
      </c>
      <c r="Q722" s="4">
        <v>20</v>
      </c>
      <c r="R722" s="12">
        <f t="shared" si="11"/>
        <v>1200</v>
      </c>
      <c r="T722" t="s">
        <v>642</v>
      </c>
      <c r="U722" t="s">
        <v>643</v>
      </c>
      <c r="V722" s="4">
        <v>60</v>
      </c>
      <c r="W722">
        <v>0</v>
      </c>
    </row>
    <row r="723" spans="1:23" hidden="1" x14ac:dyDescent="0.25">
      <c r="A723" s="2">
        <v>45965.707662037035</v>
      </c>
      <c r="B723">
        <v>4236</v>
      </c>
      <c r="C723" t="s">
        <v>640</v>
      </c>
      <c r="D723" s="3">
        <v>45965</v>
      </c>
      <c r="E723" s="3">
        <v>46111</v>
      </c>
      <c r="F723" t="s">
        <v>112</v>
      </c>
      <c r="H723" t="s">
        <v>22</v>
      </c>
      <c r="I723" t="s">
        <v>35</v>
      </c>
      <c r="J723" t="s">
        <v>1490</v>
      </c>
      <c r="K723" t="s">
        <v>24</v>
      </c>
      <c r="L723" s="4">
        <v>60</v>
      </c>
      <c r="M723" t="s">
        <v>641</v>
      </c>
      <c r="N723" t="s">
        <v>26</v>
      </c>
      <c r="O723" s="4">
        <v>180</v>
      </c>
      <c r="P723">
        <v>0</v>
      </c>
      <c r="Q723" s="4">
        <v>180</v>
      </c>
      <c r="R723" s="12">
        <f t="shared" si="11"/>
        <v>10800</v>
      </c>
      <c r="T723" t="s">
        <v>642</v>
      </c>
      <c r="U723" t="s">
        <v>643</v>
      </c>
      <c r="V723" s="4">
        <v>60</v>
      </c>
      <c r="W723">
        <v>0</v>
      </c>
    </row>
    <row r="724" spans="1:23" hidden="1" x14ac:dyDescent="0.25">
      <c r="A724" s="2">
        <v>45978.313333333332</v>
      </c>
      <c r="B724">
        <v>4274</v>
      </c>
      <c r="C724" t="s">
        <v>640</v>
      </c>
      <c r="D724" s="3">
        <v>45978</v>
      </c>
      <c r="E724" s="3">
        <v>46111</v>
      </c>
      <c r="F724" t="s">
        <v>112</v>
      </c>
      <c r="H724" t="s">
        <v>22</v>
      </c>
      <c r="I724" t="s">
        <v>36</v>
      </c>
      <c r="J724" t="s">
        <v>1490</v>
      </c>
      <c r="K724" t="s">
        <v>24</v>
      </c>
      <c r="L724" s="4">
        <v>60</v>
      </c>
      <c r="M724" t="s">
        <v>644</v>
      </c>
      <c r="N724" t="s">
        <v>26</v>
      </c>
      <c r="O724" s="4">
        <v>40</v>
      </c>
      <c r="P724">
        <v>0</v>
      </c>
      <c r="Q724" s="4">
        <v>40</v>
      </c>
      <c r="R724" s="12">
        <f t="shared" si="11"/>
        <v>2400</v>
      </c>
      <c r="T724" t="s">
        <v>68</v>
      </c>
      <c r="U724" t="s">
        <v>643</v>
      </c>
      <c r="V724" s="4">
        <v>60</v>
      </c>
      <c r="W724">
        <v>0</v>
      </c>
    </row>
    <row r="725" spans="1:23" hidden="1" x14ac:dyDescent="0.25">
      <c r="A725" s="2">
        <v>45978.313333333332</v>
      </c>
      <c r="B725">
        <v>4274</v>
      </c>
      <c r="C725" t="s">
        <v>640</v>
      </c>
      <c r="D725" s="3">
        <v>45978</v>
      </c>
      <c r="E725" s="3">
        <v>46111</v>
      </c>
      <c r="F725" t="s">
        <v>112</v>
      </c>
      <c r="H725" t="s">
        <v>22</v>
      </c>
      <c r="I725" t="s">
        <v>131</v>
      </c>
      <c r="J725" t="s">
        <v>1490</v>
      </c>
      <c r="K725" t="s">
        <v>24</v>
      </c>
      <c r="L725" s="4">
        <v>180</v>
      </c>
      <c r="M725" t="s">
        <v>644</v>
      </c>
      <c r="N725" t="s">
        <v>26</v>
      </c>
      <c r="O725" s="4">
        <v>2</v>
      </c>
      <c r="P725">
        <v>0</v>
      </c>
      <c r="Q725" s="4">
        <v>2</v>
      </c>
      <c r="R725" s="12">
        <f t="shared" si="11"/>
        <v>360</v>
      </c>
      <c r="T725" t="s">
        <v>68</v>
      </c>
      <c r="U725" t="s">
        <v>643</v>
      </c>
      <c r="V725" s="4">
        <v>180</v>
      </c>
      <c r="W725">
        <v>0</v>
      </c>
    </row>
    <row r="726" spans="1:23" hidden="1" x14ac:dyDescent="0.25">
      <c r="A726" s="2">
        <v>45985.616655092592</v>
      </c>
      <c r="B726">
        <v>4296</v>
      </c>
      <c r="C726" t="s">
        <v>640</v>
      </c>
      <c r="D726" s="3">
        <v>45985</v>
      </c>
      <c r="E726" s="3">
        <v>46111</v>
      </c>
      <c r="F726" t="s">
        <v>112</v>
      </c>
      <c r="G726" t="s">
        <v>1493</v>
      </c>
      <c r="H726" t="s">
        <v>22</v>
      </c>
      <c r="I726" t="s">
        <v>92</v>
      </c>
      <c r="J726" t="s">
        <v>1491</v>
      </c>
      <c r="K726" t="s">
        <v>31</v>
      </c>
      <c r="L726" s="4">
        <v>380</v>
      </c>
      <c r="M726" t="s">
        <v>645</v>
      </c>
      <c r="N726" t="s">
        <v>26</v>
      </c>
      <c r="O726" s="4">
        <v>10</v>
      </c>
      <c r="P726">
        <v>0</v>
      </c>
      <c r="Q726" s="4">
        <v>10</v>
      </c>
      <c r="R726" s="12">
        <f t="shared" si="11"/>
        <v>3800</v>
      </c>
      <c r="T726" t="s">
        <v>68</v>
      </c>
      <c r="U726" t="s">
        <v>643</v>
      </c>
      <c r="V726" s="4">
        <v>380</v>
      </c>
      <c r="W726">
        <v>0</v>
      </c>
    </row>
    <row r="727" spans="1:23" hidden="1" x14ac:dyDescent="0.25">
      <c r="A727" s="2">
        <v>46006.439097222225</v>
      </c>
      <c r="B727">
        <v>4355</v>
      </c>
      <c r="C727" t="s">
        <v>640</v>
      </c>
      <c r="D727" s="3">
        <v>46006</v>
      </c>
      <c r="E727" s="3">
        <v>46021</v>
      </c>
      <c r="F727" t="s">
        <v>112</v>
      </c>
      <c r="H727" t="s">
        <v>22</v>
      </c>
      <c r="I727" t="s">
        <v>36</v>
      </c>
      <c r="J727" t="s">
        <v>1490</v>
      </c>
      <c r="K727" t="s">
        <v>24</v>
      </c>
      <c r="L727" s="4">
        <v>60</v>
      </c>
      <c r="M727" t="s">
        <v>646</v>
      </c>
      <c r="N727" t="s">
        <v>46</v>
      </c>
      <c r="O727" s="4">
        <v>465</v>
      </c>
      <c r="P727">
        <v>0</v>
      </c>
      <c r="Q727" s="4">
        <v>465</v>
      </c>
      <c r="R727" s="12">
        <f t="shared" si="11"/>
        <v>27900</v>
      </c>
      <c r="T727" t="s">
        <v>68</v>
      </c>
      <c r="U727" t="s">
        <v>643</v>
      </c>
      <c r="V727" s="4">
        <v>60</v>
      </c>
      <c r="W727">
        <v>0</v>
      </c>
    </row>
    <row r="728" spans="1:23" hidden="1" x14ac:dyDescent="0.25">
      <c r="A728" s="2">
        <v>46006.439097222225</v>
      </c>
      <c r="B728">
        <v>4355</v>
      </c>
      <c r="C728" t="s">
        <v>640</v>
      </c>
      <c r="D728" s="3">
        <v>46006</v>
      </c>
      <c r="E728" s="3">
        <v>46021</v>
      </c>
      <c r="F728" t="s">
        <v>112</v>
      </c>
      <c r="H728" t="s">
        <v>22</v>
      </c>
      <c r="I728" t="s">
        <v>35</v>
      </c>
      <c r="J728" t="s">
        <v>1490</v>
      </c>
      <c r="K728" t="s">
        <v>24</v>
      </c>
      <c r="L728" s="4">
        <v>60</v>
      </c>
      <c r="M728" t="s">
        <v>646</v>
      </c>
      <c r="N728" t="s">
        <v>46</v>
      </c>
      <c r="O728" s="4">
        <v>690</v>
      </c>
      <c r="P728">
        <v>0</v>
      </c>
      <c r="Q728" s="4">
        <v>690</v>
      </c>
      <c r="R728" s="12">
        <f t="shared" si="11"/>
        <v>41400</v>
      </c>
      <c r="T728" t="s">
        <v>68</v>
      </c>
      <c r="U728" t="s">
        <v>643</v>
      </c>
      <c r="V728" s="4">
        <v>60</v>
      </c>
      <c r="W728">
        <v>0</v>
      </c>
    </row>
    <row r="729" spans="1:23" hidden="1" x14ac:dyDescent="0.25">
      <c r="A729" s="2">
        <v>46021.435682870368</v>
      </c>
      <c r="B729">
        <v>4393</v>
      </c>
      <c r="C729" t="s">
        <v>640</v>
      </c>
      <c r="D729" s="3">
        <v>46021</v>
      </c>
      <c r="E729" s="3">
        <v>46021</v>
      </c>
      <c r="F729" t="s">
        <v>112</v>
      </c>
      <c r="H729" t="s">
        <v>22</v>
      </c>
      <c r="I729" t="s">
        <v>35</v>
      </c>
      <c r="J729" t="s">
        <v>1490</v>
      </c>
      <c r="K729" t="s">
        <v>24</v>
      </c>
      <c r="L729" s="4">
        <v>60</v>
      </c>
      <c r="M729" t="s">
        <v>647</v>
      </c>
      <c r="N729" t="s">
        <v>46</v>
      </c>
      <c r="O729" s="4">
        <v>450</v>
      </c>
      <c r="P729">
        <v>0</v>
      </c>
      <c r="Q729" s="4">
        <v>450</v>
      </c>
      <c r="R729" s="12">
        <f t="shared" si="11"/>
        <v>27000</v>
      </c>
      <c r="T729" t="s">
        <v>642</v>
      </c>
      <c r="U729" t="s">
        <v>643</v>
      </c>
      <c r="V729" s="4">
        <v>60</v>
      </c>
      <c r="W729">
        <v>0</v>
      </c>
    </row>
    <row r="730" spans="1:23" hidden="1" x14ac:dyDescent="0.25">
      <c r="A730" s="2">
        <v>46021.435682870368</v>
      </c>
      <c r="B730">
        <v>4393</v>
      </c>
      <c r="C730" t="s">
        <v>640</v>
      </c>
      <c r="D730" s="3">
        <v>46021</v>
      </c>
      <c r="E730" s="3">
        <v>46021</v>
      </c>
      <c r="F730" t="s">
        <v>112</v>
      </c>
      <c r="H730" t="s">
        <v>22</v>
      </c>
      <c r="I730" t="s">
        <v>36</v>
      </c>
      <c r="J730" t="s">
        <v>1490</v>
      </c>
      <c r="K730" t="s">
        <v>24</v>
      </c>
      <c r="L730" s="4">
        <v>60</v>
      </c>
      <c r="M730" t="s">
        <v>647</v>
      </c>
      <c r="N730" t="s">
        <v>46</v>
      </c>
      <c r="O730" s="4">
        <v>295</v>
      </c>
      <c r="P730">
        <v>0</v>
      </c>
      <c r="Q730" s="4">
        <v>295</v>
      </c>
      <c r="R730" s="12">
        <f t="shared" si="11"/>
        <v>17700</v>
      </c>
      <c r="T730" t="s">
        <v>642</v>
      </c>
      <c r="U730" t="s">
        <v>643</v>
      </c>
      <c r="V730" s="4">
        <v>60</v>
      </c>
      <c r="W730">
        <v>0</v>
      </c>
    </row>
    <row r="731" spans="1:23" hidden="1" x14ac:dyDescent="0.25">
      <c r="A731" s="2">
        <v>46039.338101851848</v>
      </c>
      <c r="B731">
        <v>4454</v>
      </c>
      <c r="C731" t="s">
        <v>640</v>
      </c>
      <c r="D731" s="3">
        <v>46039</v>
      </c>
      <c r="E731" s="3">
        <v>46111</v>
      </c>
      <c r="F731" t="s">
        <v>112</v>
      </c>
      <c r="H731" t="s">
        <v>22</v>
      </c>
      <c r="I731" t="s">
        <v>72</v>
      </c>
      <c r="J731" t="s">
        <v>1490</v>
      </c>
      <c r="K731" t="s">
        <v>24</v>
      </c>
      <c r="L731" s="4">
        <v>900</v>
      </c>
      <c r="M731" t="s">
        <v>648</v>
      </c>
      <c r="N731" t="s">
        <v>46</v>
      </c>
      <c r="O731" s="4">
        <v>2</v>
      </c>
      <c r="P731">
        <v>0</v>
      </c>
      <c r="Q731" s="4">
        <v>2</v>
      </c>
      <c r="R731" s="12">
        <f t="shared" si="11"/>
        <v>1800</v>
      </c>
      <c r="T731" t="s">
        <v>68</v>
      </c>
      <c r="U731" t="s">
        <v>643</v>
      </c>
      <c r="V731" s="4">
        <v>900</v>
      </c>
      <c r="W731">
        <v>0</v>
      </c>
    </row>
    <row r="732" spans="1:23" hidden="1" x14ac:dyDescent="0.25">
      <c r="A732" s="2">
        <v>46039.338101851848</v>
      </c>
      <c r="B732">
        <v>4454</v>
      </c>
      <c r="C732" t="s">
        <v>640</v>
      </c>
      <c r="D732" s="3">
        <v>46039</v>
      </c>
      <c r="E732" s="3">
        <v>46111</v>
      </c>
      <c r="F732" t="s">
        <v>112</v>
      </c>
      <c r="G732" t="s">
        <v>1493</v>
      </c>
      <c r="H732" t="s">
        <v>22</v>
      </c>
      <c r="I732" t="s">
        <v>63</v>
      </c>
      <c r="J732" t="s">
        <v>1491</v>
      </c>
      <c r="K732" t="s">
        <v>31</v>
      </c>
      <c r="L732" s="4">
        <v>200</v>
      </c>
      <c r="M732" t="s">
        <v>648</v>
      </c>
      <c r="N732" t="s">
        <v>46</v>
      </c>
      <c r="O732" s="4">
        <v>5</v>
      </c>
      <c r="P732">
        <v>0</v>
      </c>
      <c r="Q732" s="4">
        <v>5</v>
      </c>
      <c r="R732" s="12">
        <f t="shared" si="11"/>
        <v>1000</v>
      </c>
      <c r="T732" t="s">
        <v>68</v>
      </c>
      <c r="U732" t="s">
        <v>643</v>
      </c>
      <c r="V732" s="4">
        <v>200</v>
      </c>
      <c r="W732">
        <v>0</v>
      </c>
    </row>
    <row r="733" spans="1:23" hidden="1" x14ac:dyDescent="0.25">
      <c r="A733" s="2">
        <v>46039.338101851848</v>
      </c>
      <c r="B733">
        <v>4454</v>
      </c>
      <c r="C733" t="s">
        <v>640</v>
      </c>
      <c r="D733" s="3">
        <v>46039</v>
      </c>
      <c r="E733" s="3">
        <v>46111</v>
      </c>
      <c r="F733" t="s">
        <v>112</v>
      </c>
      <c r="G733" t="s">
        <v>1493</v>
      </c>
      <c r="H733" t="s">
        <v>22</v>
      </c>
      <c r="I733" t="s">
        <v>38</v>
      </c>
      <c r="J733" t="s">
        <v>1491</v>
      </c>
      <c r="K733" t="s">
        <v>24</v>
      </c>
      <c r="L733" s="4">
        <v>58</v>
      </c>
      <c r="M733" t="s">
        <v>648</v>
      </c>
      <c r="N733" t="s">
        <v>46</v>
      </c>
      <c r="O733" s="4">
        <v>6</v>
      </c>
      <c r="P733">
        <v>0</v>
      </c>
      <c r="Q733" s="4">
        <v>6</v>
      </c>
      <c r="R733" s="12">
        <f t="shared" si="11"/>
        <v>348</v>
      </c>
      <c r="T733" t="s">
        <v>68</v>
      </c>
      <c r="U733" t="s">
        <v>643</v>
      </c>
      <c r="V733" s="4">
        <v>58</v>
      </c>
      <c r="W733">
        <v>0</v>
      </c>
    </row>
    <row r="734" spans="1:23" hidden="1" x14ac:dyDescent="0.25">
      <c r="A734" s="2">
        <v>46039.338101851848</v>
      </c>
      <c r="B734">
        <v>4454</v>
      </c>
      <c r="C734" t="s">
        <v>640</v>
      </c>
      <c r="D734" s="3">
        <v>46039</v>
      </c>
      <c r="E734" s="3">
        <v>46111</v>
      </c>
      <c r="F734" t="s">
        <v>112</v>
      </c>
      <c r="G734" t="s">
        <v>1493</v>
      </c>
      <c r="H734" t="s">
        <v>22</v>
      </c>
      <c r="I734" t="s">
        <v>40</v>
      </c>
      <c r="J734" t="s">
        <v>1491</v>
      </c>
      <c r="K734" t="s">
        <v>24</v>
      </c>
      <c r="L734" s="4">
        <v>360</v>
      </c>
      <c r="M734" t="s">
        <v>648</v>
      </c>
      <c r="N734" t="s">
        <v>46</v>
      </c>
      <c r="O734" s="4">
        <v>2</v>
      </c>
      <c r="P734">
        <v>0</v>
      </c>
      <c r="Q734" s="4">
        <v>2</v>
      </c>
      <c r="R734" s="12">
        <f t="shared" si="11"/>
        <v>720</v>
      </c>
      <c r="T734" t="s">
        <v>68</v>
      </c>
      <c r="U734" t="s">
        <v>643</v>
      </c>
      <c r="V734" s="4">
        <v>360</v>
      </c>
      <c r="W734">
        <v>0</v>
      </c>
    </row>
    <row r="735" spans="1:23" hidden="1" x14ac:dyDescent="0.25">
      <c r="A735" s="2">
        <v>46039.338101851848</v>
      </c>
      <c r="B735">
        <v>4454</v>
      </c>
      <c r="C735" t="s">
        <v>640</v>
      </c>
      <c r="D735" s="3">
        <v>46039</v>
      </c>
      <c r="E735" s="3">
        <v>46111</v>
      </c>
      <c r="F735" t="s">
        <v>112</v>
      </c>
      <c r="G735" t="s">
        <v>1493</v>
      </c>
      <c r="H735" t="s">
        <v>22</v>
      </c>
      <c r="I735" t="s">
        <v>41</v>
      </c>
      <c r="J735" t="s">
        <v>1491</v>
      </c>
      <c r="K735" t="s">
        <v>24</v>
      </c>
      <c r="L735" s="4">
        <v>380</v>
      </c>
      <c r="M735" t="s">
        <v>648</v>
      </c>
      <c r="N735" t="s">
        <v>46</v>
      </c>
      <c r="O735" s="4">
        <v>2</v>
      </c>
      <c r="P735">
        <v>0</v>
      </c>
      <c r="Q735" s="4">
        <v>2</v>
      </c>
      <c r="R735" s="12">
        <f t="shared" si="11"/>
        <v>760</v>
      </c>
      <c r="T735" t="s">
        <v>68</v>
      </c>
      <c r="U735" t="s">
        <v>643</v>
      </c>
      <c r="V735" s="4">
        <v>380</v>
      </c>
      <c r="W735">
        <v>0</v>
      </c>
    </row>
    <row r="736" spans="1:23" hidden="1" x14ac:dyDescent="0.25">
      <c r="A736" s="2">
        <v>46063.364432870374</v>
      </c>
      <c r="B736">
        <v>4549</v>
      </c>
      <c r="C736" t="s">
        <v>640</v>
      </c>
      <c r="D736" s="3">
        <v>46059</v>
      </c>
      <c r="E736" s="3">
        <v>46111</v>
      </c>
      <c r="F736" t="s">
        <v>112</v>
      </c>
      <c r="G736" t="s">
        <v>1493</v>
      </c>
      <c r="H736" t="s">
        <v>22</v>
      </c>
      <c r="I736" t="s">
        <v>75</v>
      </c>
      <c r="J736" t="s">
        <v>1491</v>
      </c>
      <c r="K736" t="s">
        <v>24</v>
      </c>
      <c r="L736" s="4">
        <v>45</v>
      </c>
      <c r="M736" t="s">
        <v>649</v>
      </c>
      <c r="N736" t="s">
        <v>46</v>
      </c>
      <c r="O736" s="4">
        <v>50</v>
      </c>
      <c r="P736">
        <v>0</v>
      </c>
      <c r="Q736" s="4">
        <v>50</v>
      </c>
      <c r="R736" s="12">
        <f t="shared" si="11"/>
        <v>2250</v>
      </c>
      <c r="T736" t="s">
        <v>68</v>
      </c>
      <c r="U736" t="s">
        <v>643</v>
      </c>
      <c r="V736" s="4">
        <v>45</v>
      </c>
      <c r="W736">
        <v>0</v>
      </c>
    </row>
    <row r="737" spans="1:23" hidden="1" x14ac:dyDescent="0.25">
      <c r="A737" s="2">
        <v>46073.572974537034</v>
      </c>
      <c r="B737">
        <v>4591</v>
      </c>
      <c r="C737" t="s">
        <v>640</v>
      </c>
      <c r="D737" s="3">
        <v>46073</v>
      </c>
      <c r="E737" s="3">
        <v>46111</v>
      </c>
      <c r="F737" t="s">
        <v>112</v>
      </c>
      <c r="H737" t="s">
        <v>22</v>
      </c>
      <c r="I737" t="s">
        <v>36</v>
      </c>
      <c r="J737" t="s">
        <v>1490</v>
      </c>
      <c r="K737" t="s">
        <v>24</v>
      </c>
      <c r="L737" s="4">
        <v>60</v>
      </c>
      <c r="M737" t="s">
        <v>650</v>
      </c>
      <c r="N737" t="s">
        <v>46</v>
      </c>
      <c r="O737" s="4">
        <v>40</v>
      </c>
      <c r="P737">
        <v>0</v>
      </c>
      <c r="Q737" s="4">
        <v>40</v>
      </c>
      <c r="R737" s="12">
        <f t="shared" si="11"/>
        <v>2400</v>
      </c>
      <c r="T737" t="s">
        <v>68</v>
      </c>
      <c r="U737" t="s">
        <v>643</v>
      </c>
      <c r="V737" s="4">
        <v>60</v>
      </c>
      <c r="W737">
        <v>0</v>
      </c>
    </row>
    <row r="738" spans="1:23" hidden="1" x14ac:dyDescent="0.25">
      <c r="A738" s="2">
        <v>45888.360347222224</v>
      </c>
      <c r="B738">
        <v>267</v>
      </c>
      <c r="C738" t="s">
        <v>651</v>
      </c>
      <c r="D738" s="3">
        <v>45888</v>
      </c>
      <c r="E738" s="3">
        <v>45899</v>
      </c>
      <c r="F738" t="s">
        <v>66</v>
      </c>
      <c r="G738" t="s">
        <v>1494</v>
      </c>
      <c r="H738" t="s">
        <v>22</v>
      </c>
      <c r="I738" t="s">
        <v>43</v>
      </c>
      <c r="J738" t="s">
        <v>1491</v>
      </c>
      <c r="K738" t="s">
        <v>24</v>
      </c>
      <c r="L738" s="4">
        <v>38.5</v>
      </c>
      <c r="M738" t="s">
        <v>652</v>
      </c>
      <c r="N738" t="s">
        <v>26</v>
      </c>
      <c r="O738" s="4">
        <v>702</v>
      </c>
      <c r="P738">
        <v>0</v>
      </c>
      <c r="Q738" s="4">
        <v>702</v>
      </c>
      <c r="R738" s="12">
        <f t="shared" si="11"/>
        <v>27027</v>
      </c>
      <c r="T738" t="s">
        <v>125</v>
      </c>
      <c r="U738" t="s">
        <v>653</v>
      </c>
      <c r="V738" s="4">
        <v>38.5</v>
      </c>
      <c r="W738">
        <v>0</v>
      </c>
    </row>
    <row r="739" spans="1:23" hidden="1" x14ac:dyDescent="0.25">
      <c r="A739" s="2">
        <v>46006.569768518515</v>
      </c>
      <c r="B739">
        <v>4357</v>
      </c>
      <c r="C739" t="s">
        <v>654</v>
      </c>
      <c r="D739" s="3">
        <v>46006</v>
      </c>
      <c r="E739" s="3">
        <v>46111</v>
      </c>
      <c r="F739" t="s">
        <v>79</v>
      </c>
      <c r="H739" t="s">
        <v>22</v>
      </c>
      <c r="I739" t="s">
        <v>96</v>
      </c>
      <c r="K739" t="s">
        <v>24</v>
      </c>
      <c r="L739" s="4">
        <v>58.9</v>
      </c>
      <c r="M739" t="s">
        <v>655</v>
      </c>
      <c r="N739" t="s">
        <v>26</v>
      </c>
      <c r="O739" s="4">
        <v>1000</v>
      </c>
      <c r="P739">
        <v>0</v>
      </c>
      <c r="Q739" s="4">
        <v>1000</v>
      </c>
      <c r="R739" s="12">
        <f t="shared" si="11"/>
        <v>58900</v>
      </c>
      <c r="T739" t="s">
        <v>151</v>
      </c>
      <c r="U739" t="s">
        <v>656</v>
      </c>
      <c r="V739" s="4">
        <v>58.9</v>
      </c>
      <c r="W739">
        <v>0</v>
      </c>
    </row>
    <row r="740" spans="1:23" x14ac:dyDescent="0.25">
      <c r="A740" s="2">
        <v>46006.419861111113</v>
      </c>
      <c r="B740">
        <v>4353</v>
      </c>
      <c r="C740" t="s">
        <v>657</v>
      </c>
      <c r="D740" s="3">
        <v>46006</v>
      </c>
      <c r="E740" s="3">
        <v>46142</v>
      </c>
      <c r="F740" t="s">
        <v>98</v>
      </c>
      <c r="H740" t="s">
        <v>22</v>
      </c>
      <c r="I740" t="s">
        <v>32</v>
      </c>
      <c r="J740" t="s">
        <v>1490</v>
      </c>
      <c r="K740" t="s">
        <v>24</v>
      </c>
      <c r="L740" s="4">
        <v>21</v>
      </c>
      <c r="M740" t="s">
        <v>658</v>
      </c>
      <c r="N740" t="s">
        <v>26</v>
      </c>
      <c r="O740" s="4">
        <v>60</v>
      </c>
      <c r="P740">
        <v>0</v>
      </c>
      <c r="Q740" s="4">
        <v>60</v>
      </c>
      <c r="R740" s="12">
        <f t="shared" si="11"/>
        <v>1260</v>
      </c>
      <c r="T740" t="s">
        <v>225</v>
      </c>
      <c r="U740" t="s">
        <v>659</v>
      </c>
      <c r="V740" s="4">
        <v>21</v>
      </c>
      <c r="W740">
        <v>0</v>
      </c>
    </row>
    <row r="741" spans="1:23" x14ac:dyDescent="0.25">
      <c r="A741" s="2">
        <v>46006.419861111113</v>
      </c>
      <c r="B741">
        <v>4353</v>
      </c>
      <c r="C741" t="s">
        <v>657</v>
      </c>
      <c r="D741" s="3">
        <v>46006</v>
      </c>
      <c r="E741" s="3">
        <v>46142</v>
      </c>
      <c r="F741" t="s">
        <v>98</v>
      </c>
      <c r="H741" t="s">
        <v>22</v>
      </c>
      <c r="I741" t="s">
        <v>30</v>
      </c>
      <c r="J741" t="s">
        <v>1490</v>
      </c>
      <c r="K741" t="s">
        <v>31</v>
      </c>
      <c r="L741" s="4">
        <v>20</v>
      </c>
      <c r="M741" t="s">
        <v>658</v>
      </c>
      <c r="N741" t="s">
        <v>26</v>
      </c>
      <c r="O741" s="4">
        <v>90</v>
      </c>
      <c r="P741">
        <v>0</v>
      </c>
      <c r="Q741" s="4">
        <v>90</v>
      </c>
      <c r="R741" s="12">
        <f t="shared" si="11"/>
        <v>1800</v>
      </c>
      <c r="T741" t="s">
        <v>225</v>
      </c>
      <c r="U741" t="s">
        <v>659</v>
      </c>
      <c r="V741" s="4">
        <v>20</v>
      </c>
      <c r="W741">
        <v>0</v>
      </c>
    </row>
    <row r="742" spans="1:23" x14ac:dyDescent="0.25">
      <c r="A742" s="2">
        <v>46006.419861111113</v>
      </c>
      <c r="B742">
        <v>4353</v>
      </c>
      <c r="C742" t="s">
        <v>657</v>
      </c>
      <c r="D742" s="3">
        <v>46006</v>
      </c>
      <c r="E742" s="3">
        <v>46142</v>
      </c>
      <c r="F742" t="s">
        <v>98</v>
      </c>
      <c r="H742" t="s">
        <v>22</v>
      </c>
      <c r="I742" t="s">
        <v>192</v>
      </c>
      <c r="J742" t="s">
        <v>1490</v>
      </c>
      <c r="K742" t="s">
        <v>24</v>
      </c>
      <c r="L742" s="4">
        <v>16</v>
      </c>
      <c r="M742" t="s">
        <v>658</v>
      </c>
      <c r="N742" t="s">
        <v>26</v>
      </c>
      <c r="O742" s="4">
        <v>60</v>
      </c>
      <c r="P742">
        <v>0</v>
      </c>
      <c r="Q742" s="4">
        <v>60</v>
      </c>
      <c r="R742" s="12">
        <f t="shared" si="11"/>
        <v>960</v>
      </c>
      <c r="T742" t="s">
        <v>225</v>
      </c>
      <c r="U742" t="s">
        <v>659</v>
      </c>
      <c r="V742" s="4">
        <v>16</v>
      </c>
      <c r="W742">
        <v>0</v>
      </c>
    </row>
    <row r="743" spans="1:23" x14ac:dyDescent="0.25">
      <c r="A743" s="2">
        <v>46006.419861111113</v>
      </c>
      <c r="B743">
        <v>4353</v>
      </c>
      <c r="C743" t="s">
        <v>657</v>
      </c>
      <c r="D743" s="3">
        <v>46006</v>
      </c>
      <c r="E743" s="3">
        <v>46142</v>
      </c>
      <c r="F743" t="s">
        <v>98</v>
      </c>
      <c r="H743" t="s">
        <v>22</v>
      </c>
      <c r="I743" t="s">
        <v>34</v>
      </c>
      <c r="J743" t="s">
        <v>1490</v>
      </c>
      <c r="K743" t="s">
        <v>31</v>
      </c>
      <c r="L743" s="4">
        <v>23</v>
      </c>
      <c r="M743" t="s">
        <v>658</v>
      </c>
      <c r="N743" t="s">
        <v>26</v>
      </c>
      <c r="O743" s="4">
        <v>60</v>
      </c>
      <c r="P743">
        <v>0</v>
      </c>
      <c r="Q743" s="4">
        <v>60</v>
      </c>
      <c r="R743" s="12">
        <f t="shared" si="11"/>
        <v>1380</v>
      </c>
      <c r="T743" t="s">
        <v>225</v>
      </c>
      <c r="U743" t="s">
        <v>659</v>
      </c>
      <c r="V743" s="4">
        <v>23</v>
      </c>
      <c r="W743">
        <v>0</v>
      </c>
    </row>
    <row r="744" spans="1:23" x14ac:dyDescent="0.25">
      <c r="A744" s="2">
        <v>46006.419861111113</v>
      </c>
      <c r="B744">
        <v>4353</v>
      </c>
      <c r="C744" t="s">
        <v>657</v>
      </c>
      <c r="D744" s="3">
        <v>46006</v>
      </c>
      <c r="E744" s="3">
        <v>46142</v>
      </c>
      <c r="F744" t="s">
        <v>98</v>
      </c>
      <c r="H744" t="s">
        <v>22</v>
      </c>
      <c r="I744" t="s">
        <v>29</v>
      </c>
      <c r="J744" t="s">
        <v>1490</v>
      </c>
      <c r="K744" t="s">
        <v>24</v>
      </c>
      <c r="L744" s="4">
        <v>150</v>
      </c>
      <c r="M744" t="s">
        <v>658</v>
      </c>
      <c r="N744" t="s">
        <v>26</v>
      </c>
      <c r="O744" s="4">
        <v>20</v>
      </c>
      <c r="P744">
        <v>0</v>
      </c>
      <c r="Q744" s="4">
        <v>20</v>
      </c>
      <c r="R744" s="12">
        <f t="shared" si="11"/>
        <v>3000</v>
      </c>
      <c r="T744" t="s">
        <v>225</v>
      </c>
      <c r="U744" t="s">
        <v>659</v>
      </c>
      <c r="V744" s="4">
        <v>150</v>
      </c>
      <c r="W744">
        <v>0</v>
      </c>
    </row>
    <row r="745" spans="1:23" x14ac:dyDescent="0.25">
      <c r="A745" s="2">
        <v>46006.419861111113</v>
      </c>
      <c r="B745">
        <v>4353</v>
      </c>
      <c r="C745" t="s">
        <v>657</v>
      </c>
      <c r="D745" s="3">
        <v>46006</v>
      </c>
      <c r="E745" s="3">
        <v>46142</v>
      </c>
      <c r="F745" t="s">
        <v>98</v>
      </c>
      <c r="H745" t="s">
        <v>22</v>
      </c>
      <c r="I745" t="s">
        <v>660</v>
      </c>
      <c r="K745" t="s">
        <v>24</v>
      </c>
      <c r="L745" s="4">
        <v>20</v>
      </c>
      <c r="M745" t="s">
        <v>658</v>
      </c>
      <c r="N745" t="s">
        <v>26</v>
      </c>
      <c r="O745" s="4">
        <v>25</v>
      </c>
      <c r="P745">
        <v>0</v>
      </c>
      <c r="Q745" s="4">
        <v>25</v>
      </c>
      <c r="R745" s="12">
        <f t="shared" si="11"/>
        <v>500</v>
      </c>
      <c r="T745" t="s">
        <v>225</v>
      </c>
      <c r="U745" t="s">
        <v>659</v>
      </c>
      <c r="V745" s="4">
        <v>20</v>
      </c>
      <c r="W745">
        <v>0</v>
      </c>
    </row>
    <row r="746" spans="1:23" x14ac:dyDescent="0.25">
      <c r="A746" s="2">
        <v>46007.309606481482</v>
      </c>
      <c r="B746">
        <v>4358</v>
      </c>
      <c r="C746" t="s">
        <v>657</v>
      </c>
      <c r="D746" s="3">
        <v>46006</v>
      </c>
      <c r="E746" s="3">
        <v>46142</v>
      </c>
      <c r="F746" t="s">
        <v>98</v>
      </c>
      <c r="H746" t="s">
        <v>22</v>
      </c>
      <c r="I746" t="s">
        <v>29</v>
      </c>
      <c r="J746" t="s">
        <v>1490</v>
      </c>
      <c r="K746" t="s">
        <v>24</v>
      </c>
      <c r="L746" s="4">
        <v>150</v>
      </c>
      <c r="M746" t="s">
        <v>661</v>
      </c>
      <c r="N746" t="s">
        <v>26</v>
      </c>
      <c r="O746" s="4">
        <v>400</v>
      </c>
      <c r="P746">
        <v>0</v>
      </c>
      <c r="Q746" s="4">
        <v>400</v>
      </c>
      <c r="R746" s="12">
        <f t="shared" si="11"/>
        <v>60000</v>
      </c>
      <c r="T746" t="s">
        <v>225</v>
      </c>
      <c r="U746" t="s">
        <v>659</v>
      </c>
      <c r="V746" s="4">
        <v>150</v>
      </c>
      <c r="W746">
        <v>0</v>
      </c>
    </row>
    <row r="747" spans="1:23" x14ac:dyDescent="0.25">
      <c r="A747" s="2">
        <v>46007.309606481482</v>
      </c>
      <c r="B747">
        <v>4358</v>
      </c>
      <c r="C747" t="s">
        <v>657</v>
      </c>
      <c r="D747" s="3">
        <v>46006</v>
      </c>
      <c r="E747" s="3">
        <v>46142</v>
      </c>
      <c r="F747" t="s">
        <v>98</v>
      </c>
      <c r="H747" t="s">
        <v>22</v>
      </c>
      <c r="I747" t="s">
        <v>30</v>
      </c>
      <c r="J747" t="s">
        <v>1490</v>
      </c>
      <c r="K747" t="s">
        <v>31</v>
      </c>
      <c r="L747" s="4">
        <v>20</v>
      </c>
      <c r="M747" t="s">
        <v>661</v>
      </c>
      <c r="N747" t="s">
        <v>26</v>
      </c>
      <c r="O747" s="4">
        <v>1000</v>
      </c>
      <c r="P747">
        <v>0</v>
      </c>
      <c r="Q747" s="4">
        <v>1000</v>
      </c>
      <c r="R747" s="12">
        <f t="shared" si="11"/>
        <v>20000</v>
      </c>
      <c r="T747" t="s">
        <v>225</v>
      </c>
      <c r="U747" t="s">
        <v>659</v>
      </c>
      <c r="V747" s="4">
        <v>20</v>
      </c>
      <c r="W747">
        <v>0</v>
      </c>
    </row>
    <row r="748" spans="1:23" x14ac:dyDescent="0.25">
      <c r="A748" s="2">
        <v>46025.345601851855</v>
      </c>
      <c r="B748">
        <v>4402</v>
      </c>
      <c r="C748" t="s">
        <v>657</v>
      </c>
      <c r="D748" s="3">
        <v>46024</v>
      </c>
      <c r="E748" s="3">
        <v>46142</v>
      </c>
      <c r="F748" t="s">
        <v>98</v>
      </c>
      <c r="H748" t="s">
        <v>22</v>
      </c>
      <c r="I748" t="s">
        <v>35</v>
      </c>
      <c r="J748" t="s">
        <v>1490</v>
      </c>
      <c r="K748" t="s">
        <v>24</v>
      </c>
      <c r="L748" s="4">
        <v>71</v>
      </c>
      <c r="M748" t="s">
        <v>662</v>
      </c>
      <c r="N748" t="s">
        <v>26</v>
      </c>
      <c r="O748" s="4">
        <v>60</v>
      </c>
      <c r="P748">
        <v>0</v>
      </c>
      <c r="Q748" s="4">
        <v>60</v>
      </c>
      <c r="R748" s="12">
        <f t="shared" si="11"/>
        <v>4260</v>
      </c>
      <c r="T748" t="s">
        <v>225</v>
      </c>
      <c r="U748" t="s">
        <v>659</v>
      </c>
      <c r="V748" s="4">
        <v>71</v>
      </c>
      <c r="W748">
        <v>0</v>
      </c>
    </row>
    <row r="749" spans="1:23" hidden="1" x14ac:dyDescent="0.25">
      <c r="A749" s="2">
        <v>46048.576631944445</v>
      </c>
      <c r="B749">
        <v>4487</v>
      </c>
      <c r="C749" t="s">
        <v>657</v>
      </c>
      <c r="D749" s="3">
        <v>46030</v>
      </c>
      <c r="E749" s="3">
        <v>46295</v>
      </c>
      <c r="F749" t="s">
        <v>98</v>
      </c>
      <c r="G749" t="s">
        <v>1493</v>
      </c>
      <c r="H749" t="s">
        <v>22</v>
      </c>
      <c r="I749" t="s">
        <v>41</v>
      </c>
      <c r="J749" t="s">
        <v>1491</v>
      </c>
      <c r="K749" t="s">
        <v>24</v>
      </c>
      <c r="L749" s="4">
        <v>341</v>
      </c>
      <c r="M749" t="s">
        <v>663</v>
      </c>
      <c r="N749" t="s">
        <v>46</v>
      </c>
      <c r="O749" s="4">
        <v>31</v>
      </c>
      <c r="P749">
        <v>0</v>
      </c>
      <c r="Q749" s="4">
        <v>31</v>
      </c>
      <c r="R749" s="12">
        <f t="shared" si="11"/>
        <v>10571</v>
      </c>
      <c r="T749" t="s">
        <v>225</v>
      </c>
      <c r="U749" t="s">
        <v>659</v>
      </c>
      <c r="V749" s="4">
        <v>341</v>
      </c>
      <c r="W749">
        <v>0</v>
      </c>
    </row>
    <row r="750" spans="1:23" hidden="1" x14ac:dyDescent="0.25">
      <c r="A750" s="2">
        <v>46048.576631944445</v>
      </c>
      <c r="B750">
        <v>4487</v>
      </c>
      <c r="C750" t="s">
        <v>657</v>
      </c>
      <c r="D750" s="3">
        <v>46030</v>
      </c>
      <c r="E750" s="3">
        <v>46295</v>
      </c>
      <c r="F750" t="s">
        <v>98</v>
      </c>
      <c r="G750" t="s">
        <v>1493</v>
      </c>
      <c r="H750" t="s">
        <v>22</v>
      </c>
      <c r="I750" t="s">
        <v>40</v>
      </c>
      <c r="J750" t="s">
        <v>1491</v>
      </c>
      <c r="K750" t="s">
        <v>24</v>
      </c>
      <c r="L750" s="4">
        <v>341</v>
      </c>
      <c r="M750" t="s">
        <v>663</v>
      </c>
      <c r="N750" t="s">
        <v>46</v>
      </c>
      <c r="O750" s="4">
        <v>31</v>
      </c>
      <c r="P750">
        <v>0</v>
      </c>
      <c r="Q750" s="4">
        <v>31</v>
      </c>
      <c r="R750" s="12">
        <f t="shared" si="11"/>
        <v>10571</v>
      </c>
      <c r="T750" t="s">
        <v>225</v>
      </c>
      <c r="U750" t="s">
        <v>659</v>
      </c>
      <c r="V750" s="4">
        <v>341</v>
      </c>
      <c r="W750">
        <v>0</v>
      </c>
    </row>
    <row r="751" spans="1:23" hidden="1" x14ac:dyDescent="0.25">
      <c r="A751" s="2">
        <v>46048.579363425924</v>
      </c>
      <c r="B751">
        <v>4488</v>
      </c>
      <c r="C751" t="s">
        <v>657</v>
      </c>
      <c r="D751" s="3">
        <v>46046</v>
      </c>
      <c r="E751" s="3">
        <v>46264</v>
      </c>
      <c r="F751" t="s">
        <v>98</v>
      </c>
      <c r="G751" t="s">
        <v>1493</v>
      </c>
      <c r="H751" t="s">
        <v>22</v>
      </c>
      <c r="I751" t="s">
        <v>38</v>
      </c>
      <c r="J751" t="s">
        <v>1491</v>
      </c>
      <c r="K751" t="s">
        <v>24</v>
      </c>
      <c r="L751" s="4">
        <v>47</v>
      </c>
      <c r="M751" t="s">
        <v>664</v>
      </c>
      <c r="N751" t="s">
        <v>46</v>
      </c>
      <c r="O751" s="4">
        <v>21</v>
      </c>
      <c r="P751">
        <v>0</v>
      </c>
      <c r="Q751" s="4">
        <v>21</v>
      </c>
      <c r="R751" s="12">
        <f t="shared" si="11"/>
        <v>987</v>
      </c>
      <c r="T751" t="s">
        <v>225</v>
      </c>
      <c r="U751" t="s">
        <v>659</v>
      </c>
      <c r="V751" s="4">
        <v>47</v>
      </c>
      <c r="W751">
        <v>0</v>
      </c>
    </row>
    <row r="752" spans="1:23" hidden="1" x14ac:dyDescent="0.25">
      <c r="A752" s="2">
        <v>46077.469571759262</v>
      </c>
      <c r="B752">
        <v>4604</v>
      </c>
      <c r="C752" t="s">
        <v>657</v>
      </c>
      <c r="D752" s="3">
        <v>46077</v>
      </c>
      <c r="E752" s="3">
        <v>46264</v>
      </c>
      <c r="F752" t="s">
        <v>98</v>
      </c>
      <c r="G752" t="s">
        <v>1493</v>
      </c>
      <c r="H752" t="s">
        <v>22</v>
      </c>
      <c r="I752" t="s">
        <v>40</v>
      </c>
      <c r="J752" t="s">
        <v>1491</v>
      </c>
      <c r="K752" t="s">
        <v>24</v>
      </c>
      <c r="L752" s="4">
        <v>341</v>
      </c>
      <c r="M752" t="s">
        <v>665</v>
      </c>
      <c r="N752" t="s">
        <v>46</v>
      </c>
      <c r="O752" s="4">
        <v>30</v>
      </c>
      <c r="P752">
        <v>0</v>
      </c>
      <c r="Q752" s="4">
        <v>30</v>
      </c>
      <c r="R752" s="12">
        <f t="shared" si="11"/>
        <v>10230</v>
      </c>
      <c r="T752" t="s">
        <v>225</v>
      </c>
      <c r="U752" t="s">
        <v>659</v>
      </c>
      <c r="V752" s="4">
        <v>341</v>
      </c>
      <c r="W752">
        <v>0</v>
      </c>
    </row>
    <row r="753" spans="1:23" hidden="1" x14ac:dyDescent="0.25">
      <c r="A753" s="2">
        <v>46077.469571759262</v>
      </c>
      <c r="B753">
        <v>4604</v>
      </c>
      <c r="C753" t="s">
        <v>657</v>
      </c>
      <c r="D753" s="3">
        <v>46077</v>
      </c>
      <c r="E753" s="3">
        <v>46264</v>
      </c>
      <c r="F753" t="s">
        <v>98</v>
      </c>
      <c r="G753" t="s">
        <v>1493</v>
      </c>
      <c r="H753" t="s">
        <v>22</v>
      </c>
      <c r="I753" t="s">
        <v>41</v>
      </c>
      <c r="J753" t="s">
        <v>1491</v>
      </c>
      <c r="K753" t="s">
        <v>24</v>
      </c>
      <c r="L753" s="4">
        <v>341</v>
      </c>
      <c r="M753" t="s">
        <v>665</v>
      </c>
      <c r="N753" t="s">
        <v>46</v>
      </c>
      <c r="O753" s="4">
        <v>30</v>
      </c>
      <c r="P753">
        <v>0</v>
      </c>
      <c r="Q753" s="4">
        <v>30</v>
      </c>
      <c r="R753" s="12">
        <f t="shared" si="11"/>
        <v>10230</v>
      </c>
      <c r="T753" t="s">
        <v>225</v>
      </c>
      <c r="U753" t="s">
        <v>659</v>
      </c>
      <c r="V753" s="4">
        <v>341</v>
      </c>
      <c r="W753">
        <v>0</v>
      </c>
    </row>
    <row r="754" spans="1:23" hidden="1" x14ac:dyDescent="0.25">
      <c r="A754" s="2">
        <v>46088.376458333332</v>
      </c>
      <c r="B754">
        <v>4645</v>
      </c>
      <c r="C754" t="s">
        <v>657</v>
      </c>
      <c r="D754" s="3">
        <v>46088</v>
      </c>
      <c r="E754" s="3">
        <v>46264</v>
      </c>
      <c r="F754" t="s">
        <v>98</v>
      </c>
      <c r="H754" t="s">
        <v>22</v>
      </c>
      <c r="I754" t="s">
        <v>42</v>
      </c>
      <c r="J754" t="s">
        <v>1490</v>
      </c>
      <c r="K754" t="s">
        <v>24</v>
      </c>
      <c r="L754" s="4">
        <v>235</v>
      </c>
      <c r="M754" t="s">
        <v>666</v>
      </c>
      <c r="N754" t="s">
        <v>46</v>
      </c>
      <c r="O754" s="4">
        <v>15</v>
      </c>
      <c r="P754">
        <v>0</v>
      </c>
      <c r="Q754" s="4">
        <v>15</v>
      </c>
      <c r="R754" s="12">
        <f t="shared" si="11"/>
        <v>3525</v>
      </c>
      <c r="T754" t="s">
        <v>225</v>
      </c>
      <c r="U754" t="s">
        <v>659</v>
      </c>
      <c r="V754" s="4">
        <v>235</v>
      </c>
      <c r="W754">
        <v>0</v>
      </c>
    </row>
    <row r="755" spans="1:23" hidden="1" x14ac:dyDescent="0.25">
      <c r="A755" s="2">
        <v>45938.641608796293</v>
      </c>
      <c r="B755">
        <v>333</v>
      </c>
      <c r="C755" t="s">
        <v>667</v>
      </c>
      <c r="D755" s="3">
        <v>45937</v>
      </c>
      <c r="E755" s="3">
        <v>46111</v>
      </c>
      <c r="F755" t="s">
        <v>66</v>
      </c>
      <c r="H755" t="s">
        <v>484</v>
      </c>
      <c r="I755" t="s">
        <v>130</v>
      </c>
      <c r="K755" t="s">
        <v>24</v>
      </c>
      <c r="L755" s="4">
        <v>180</v>
      </c>
      <c r="N755" t="s">
        <v>26</v>
      </c>
      <c r="O755" s="4">
        <v>12</v>
      </c>
      <c r="P755">
        <v>0</v>
      </c>
      <c r="Q755" s="4">
        <v>12</v>
      </c>
      <c r="R755" s="12">
        <f t="shared" si="11"/>
        <v>2160</v>
      </c>
      <c r="T755" t="s">
        <v>668</v>
      </c>
      <c r="U755" t="s">
        <v>669</v>
      </c>
      <c r="V755" s="4">
        <v>180</v>
      </c>
      <c r="W755">
        <v>0</v>
      </c>
    </row>
    <row r="756" spans="1:23" hidden="1" x14ac:dyDescent="0.25">
      <c r="A756" s="2">
        <v>45972.364768518521</v>
      </c>
      <c r="B756">
        <v>409</v>
      </c>
      <c r="C756" t="s">
        <v>667</v>
      </c>
      <c r="D756" s="3">
        <v>45972</v>
      </c>
      <c r="E756" s="3">
        <v>46142</v>
      </c>
      <c r="F756" t="s">
        <v>66</v>
      </c>
      <c r="H756" t="s">
        <v>484</v>
      </c>
      <c r="I756" t="s">
        <v>57</v>
      </c>
      <c r="K756" t="s">
        <v>31</v>
      </c>
      <c r="L756" s="4">
        <v>100</v>
      </c>
      <c r="M756" t="s">
        <v>670</v>
      </c>
      <c r="N756" t="s">
        <v>26</v>
      </c>
      <c r="O756" s="4">
        <v>20</v>
      </c>
      <c r="P756">
        <v>0</v>
      </c>
      <c r="Q756" s="4">
        <v>20</v>
      </c>
      <c r="R756" s="12">
        <f t="shared" si="11"/>
        <v>2000</v>
      </c>
      <c r="T756" t="s">
        <v>668</v>
      </c>
      <c r="U756" t="s">
        <v>669</v>
      </c>
      <c r="V756" s="4">
        <v>100</v>
      </c>
      <c r="W756">
        <v>0</v>
      </c>
    </row>
    <row r="757" spans="1:23" hidden="1" x14ac:dyDescent="0.25">
      <c r="A757" s="2">
        <v>45972.364768518521</v>
      </c>
      <c r="B757">
        <v>409</v>
      </c>
      <c r="C757" t="s">
        <v>667</v>
      </c>
      <c r="D757" s="3">
        <v>45972</v>
      </c>
      <c r="E757" s="3">
        <v>46142</v>
      </c>
      <c r="F757" t="s">
        <v>66</v>
      </c>
      <c r="H757" t="s">
        <v>484</v>
      </c>
      <c r="I757" t="s">
        <v>671</v>
      </c>
      <c r="J757" t="s">
        <v>1490</v>
      </c>
      <c r="K757" t="s">
        <v>24</v>
      </c>
      <c r="L757" s="4">
        <v>100</v>
      </c>
      <c r="M757" t="s">
        <v>670</v>
      </c>
      <c r="N757" t="s">
        <v>26</v>
      </c>
      <c r="O757" s="4">
        <v>5</v>
      </c>
      <c r="P757">
        <v>0</v>
      </c>
      <c r="Q757" s="4">
        <v>5</v>
      </c>
      <c r="R757" s="12">
        <f t="shared" si="11"/>
        <v>500</v>
      </c>
      <c r="T757" t="s">
        <v>668</v>
      </c>
      <c r="U757" t="s">
        <v>669</v>
      </c>
      <c r="V757" s="4">
        <v>100</v>
      </c>
      <c r="W757">
        <v>0</v>
      </c>
    </row>
    <row r="758" spans="1:23" hidden="1" x14ac:dyDescent="0.25">
      <c r="A758" s="2">
        <v>45972.364768518521</v>
      </c>
      <c r="B758">
        <v>409</v>
      </c>
      <c r="C758" t="s">
        <v>667</v>
      </c>
      <c r="D758" s="3">
        <v>45972</v>
      </c>
      <c r="E758" s="3">
        <v>46142</v>
      </c>
      <c r="F758" t="s">
        <v>66</v>
      </c>
      <c r="H758" t="s">
        <v>484</v>
      </c>
      <c r="I758" t="s">
        <v>672</v>
      </c>
      <c r="K758" t="s">
        <v>24</v>
      </c>
      <c r="L758" s="4">
        <v>100</v>
      </c>
      <c r="M758" t="s">
        <v>670</v>
      </c>
      <c r="N758" t="s">
        <v>26</v>
      </c>
      <c r="O758" s="4">
        <v>20</v>
      </c>
      <c r="P758">
        <v>0</v>
      </c>
      <c r="Q758" s="4">
        <v>20</v>
      </c>
      <c r="R758" s="12">
        <f t="shared" si="11"/>
        <v>2000</v>
      </c>
      <c r="T758" t="s">
        <v>668</v>
      </c>
      <c r="U758" t="s">
        <v>669</v>
      </c>
      <c r="V758" s="4">
        <v>100</v>
      </c>
      <c r="W758">
        <v>0</v>
      </c>
    </row>
    <row r="759" spans="1:23" hidden="1" x14ac:dyDescent="0.25">
      <c r="A759" s="2">
        <v>46036.312465277777</v>
      </c>
      <c r="B759">
        <v>498</v>
      </c>
      <c r="C759" t="s">
        <v>667</v>
      </c>
      <c r="D759" s="3">
        <v>46036</v>
      </c>
      <c r="E759" s="3">
        <v>46264</v>
      </c>
      <c r="F759" t="s">
        <v>66</v>
      </c>
      <c r="H759" t="s">
        <v>484</v>
      </c>
      <c r="I759" t="s">
        <v>131</v>
      </c>
      <c r="J759" t="s">
        <v>1490</v>
      </c>
      <c r="K759" t="s">
        <v>24</v>
      </c>
      <c r="L759" s="4">
        <v>185</v>
      </c>
      <c r="M759" t="s">
        <v>673</v>
      </c>
      <c r="N759" t="s">
        <v>46</v>
      </c>
      <c r="O759" s="4">
        <v>12</v>
      </c>
      <c r="P759">
        <v>0</v>
      </c>
      <c r="Q759" s="4">
        <v>12</v>
      </c>
      <c r="R759" s="12">
        <f t="shared" si="11"/>
        <v>2220</v>
      </c>
      <c r="T759" t="s">
        <v>668</v>
      </c>
      <c r="U759" t="s">
        <v>669</v>
      </c>
      <c r="V759" s="4">
        <v>185</v>
      </c>
      <c r="W759">
        <v>0</v>
      </c>
    </row>
    <row r="760" spans="1:23" hidden="1" x14ac:dyDescent="0.25">
      <c r="A760" s="2">
        <v>45988.707835648151</v>
      </c>
      <c r="B760">
        <v>432</v>
      </c>
      <c r="C760" t="s">
        <v>674</v>
      </c>
      <c r="D760" s="3">
        <v>45987</v>
      </c>
      <c r="E760" s="3">
        <v>46264</v>
      </c>
      <c r="F760" t="s">
        <v>324</v>
      </c>
      <c r="H760" t="s">
        <v>22</v>
      </c>
      <c r="I760" t="s">
        <v>104</v>
      </c>
      <c r="K760" t="s">
        <v>105</v>
      </c>
      <c r="L760" s="4">
        <v>1400</v>
      </c>
      <c r="M760" t="s">
        <v>675</v>
      </c>
      <c r="N760" t="s">
        <v>46</v>
      </c>
      <c r="O760" s="4">
        <v>13</v>
      </c>
      <c r="P760">
        <v>0</v>
      </c>
      <c r="Q760" s="4">
        <v>13</v>
      </c>
      <c r="R760" s="12">
        <f t="shared" si="11"/>
        <v>18200</v>
      </c>
      <c r="T760" t="s">
        <v>311</v>
      </c>
      <c r="U760" t="s">
        <v>676</v>
      </c>
      <c r="V760" s="4">
        <v>1400</v>
      </c>
      <c r="W760">
        <v>0</v>
      </c>
    </row>
    <row r="761" spans="1:23" hidden="1" x14ac:dyDescent="0.25">
      <c r="A761" s="2">
        <v>45988.707835648151</v>
      </c>
      <c r="B761">
        <v>432</v>
      </c>
      <c r="C761" t="s">
        <v>674</v>
      </c>
      <c r="D761" s="3">
        <v>45987</v>
      </c>
      <c r="E761" s="3">
        <v>46264</v>
      </c>
      <c r="F761" t="s">
        <v>324</v>
      </c>
      <c r="H761" t="s">
        <v>22</v>
      </c>
      <c r="I761" t="s">
        <v>677</v>
      </c>
      <c r="K761" t="s">
        <v>105</v>
      </c>
      <c r="L761" s="4">
        <v>1400</v>
      </c>
      <c r="M761" t="s">
        <v>675</v>
      </c>
      <c r="N761" t="s">
        <v>46</v>
      </c>
      <c r="O761" s="4">
        <v>3</v>
      </c>
      <c r="P761">
        <v>0</v>
      </c>
      <c r="Q761" s="4">
        <v>3</v>
      </c>
      <c r="R761" s="12">
        <f t="shared" si="11"/>
        <v>4200</v>
      </c>
      <c r="T761" t="s">
        <v>311</v>
      </c>
      <c r="U761" t="s">
        <v>676</v>
      </c>
      <c r="V761" s="4">
        <v>1400</v>
      </c>
      <c r="W761">
        <v>0</v>
      </c>
    </row>
    <row r="762" spans="1:23" hidden="1" x14ac:dyDescent="0.25">
      <c r="A762" s="2">
        <v>45988.707835648151</v>
      </c>
      <c r="B762">
        <v>432</v>
      </c>
      <c r="C762" t="s">
        <v>674</v>
      </c>
      <c r="D762" s="3">
        <v>45987</v>
      </c>
      <c r="E762" s="3">
        <v>46264</v>
      </c>
      <c r="F762" t="s">
        <v>324</v>
      </c>
      <c r="H762" t="s">
        <v>22</v>
      </c>
      <c r="I762" t="s">
        <v>678</v>
      </c>
      <c r="K762" t="s">
        <v>105</v>
      </c>
      <c r="L762" s="4">
        <v>1400</v>
      </c>
      <c r="M762" t="s">
        <v>675</v>
      </c>
      <c r="N762" t="s">
        <v>46</v>
      </c>
      <c r="O762" s="4">
        <v>2</v>
      </c>
      <c r="P762">
        <v>0</v>
      </c>
      <c r="Q762" s="4">
        <v>2</v>
      </c>
      <c r="R762" s="12">
        <f t="shared" si="11"/>
        <v>2800</v>
      </c>
      <c r="T762" t="s">
        <v>311</v>
      </c>
      <c r="U762" t="s">
        <v>676</v>
      </c>
      <c r="V762" s="4">
        <v>1400</v>
      </c>
      <c r="W762">
        <v>0</v>
      </c>
    </row>
    <row r="763" spans="1:23" hidden="1" x14ac:dyDescent="0.25">
      <c r="A763" s="2">
        <v>45988.707835648151</v>
      </c>
      <c r="B763">
        <v>432</v>
      </c>
      <c r="C763" t="s">
        <v>674</v>
      </c>
      <c r="D763" s="3">
        <v>45987</v>
      </c>
      <c r="E763" s="3">
        <v>46264</v>
      </c>
      <c r="F763" t="s">
        <v>324</v>
      </c>
      <c r="H763" t="s">
        <v>22</v>
      </c>
      <c r="I763" t="s">
        <v>502</v>
      </c>
      <c r="K763" t="s">
        <v>105</v>
      </c>
      <c r="L763" s="4">
        <v>1400</v>
      </c>
      <c r="M763" t="s">
        <v>675</v>
      </c>
      <c r="N763" t="s">
        <v>46</v>
      </c>
      <c r="O763" s="4">
        <v>1</v>
      </c>
      <c r="P763">
        <v>0</v>
      </c>
      <c r="Q763" s="4">
        <v>1</v>
      </c>
      <c r="R763" s="12">
        <f t="shared" si="11"/>
        <v>1400</v>
      </c>
      <c r="T763" t="s">
        <v>311</v>
      </c>
      <c r="U763" t="s">
        <v>676</v>
      </c>
      <c r="V763" s="4">
        <v>1400</v>
      </c>
      <c r="W763">
        <v>0</v>
      </c>
    </row>
    <row r="764" spans="1:23" hidden="1" x14ac:dyDescent="0.25">
      <c r="A764" s="2">
        <v>45873.330474537041</v>
      </c>
      <c r="B764">
        <v>3956</v>
      </c>
      <c r="C764" t="s">
        <v>679</v>
      </c>
      <c r="D764" s="3">
        <v>45873</v>
      </c>
      <c r="E764" s="3">
        <v>46111</v>
      </c>
      <c r="F764" t="s">
        <v>112</v>
      </c>
      <c r="H764" t="s">
        <v>22</v>
      </c>
      <c r="I764" t="s">
        <v>36</v>
      </c>
      <c r="J764" t="s">
        <v>1490</v>
      </c>
      <c r="K764" t="s">
        <v>24</v>
      </c>
      <c r="L764" s="4">
        <v>73</v>
      </c>
      <c r="M764" t="s">
        <v>680</v>
      </c>
      <c r="N764" t="s">
        <v>26</v>
      </c>
      <c r="O764" s="4">
        <v>80</v>
      </c>
      <c r="P764">
        <v>0</v>
      </c>
      <c r="Q764" s="4">
        <v>80</v>
      </c>
      <c r="R764" s="12">
        <f t="shared" si="11"/>
        <v>5840</v>
      </c>
      <c r="T764" t="s">
        <v>151</v>
      </c>
      <c r="U764" t="s">
        <v>681</v>
      </c>
      <c r="V764" s="4">
        <v>73</v>
      </c>
      <c r="W764">
        <v>0</v>
      </c>
    </row>
    <row r="765" spans="1:23" hidden="1" x14ac:dyDescent="0.25">
      <c r="A765" s="2">
        <v>45873.330474537041</v>
      </c>
      <c r="B765">
        <v>3956</v>
      </c>
      <c r="C765" t="s">
        <v>679</v>
      </c>
      <c r="D765" s="3">
        <v>45873</v>
      </c>
      <c r="E765" s="3">
        <v>46111</v>
      </c>
      <c r="F765" t="s">
        <v>112</v>
      </c>
      <c r="H765" t="s">
        <v>22</v>
      </c>
      <c r="I765" t="s">
        <v>35</v>
      </c>
      <c r="J765" t="s">
        <v>1490</v>
      </c>
      <c r="K765" t="s">
        <v>24</v>
      </c>
      <c r="L765" s="4">
        <v>73</v>
      </c>
      <c r="M765" t="s">
        <v>680</v>
      </c>
      <c r="N765" t="s">
        <v>26</v>
      </c>
      <c r="O765" s="4">
        <v>140</v>
      </c>
      <c r="P765">
        <v>0</v>
      </c>
      <c r="Q765" s="4">
        <v>140</v>
      </c>
      <c r="R765" s="12">
        <f t="shared" si="11"/>
        <v>10220</v>
      </c>
      <c r="T765" t="s">
        <v>151</v>
      </c>
      <c r="U765" t="s">
        <v>681</v>
      </c>
      <c r="V765" s="4">
        <v>73</v>
      </c>
      <c r="W765">
        <v>0</v>
      </c>
    </row>
    <row r="766" spans="1:23" hidden="1" x14ac:dyDescent="0.25">
      <c r="A766" s="2">
        <v>45873.330474537041</v>
      </c>
      <c r="B766">
        <v>3956</v>
      </c>
      <c r="C766" t="s">
        <v>679</v>
      </c>
      <c r="D766" s="3">
        <v>45873</v>
      </c>
      <c r="E766" s="3">
        <v>46111</v>
      </c>
      <c r="F766" t="s">
        <v>112</v>
      </c>
      <c r="H766" t="s">
        <v>22</v>
      </c>
      <c r="I766" t="s">
        <v>682</v>
      </c>
      <c r="J766" t="s">
        <v>1490</v>
      </c>
      <c r="K766" t="s">
        <v>24</v>
      </c>
      <c r="L766" s="4">
        <v>73</v>
      </c>
      <c r="M766" t="s">
        <v>680</v>
      </c>
      <c r="N766" t="s">
        <v>26</v>
      </c>
      <c r="O766" s="4">
        <v>40</v>
      </c>
      <c r="P766">
        <v>0</v>
      </c>
      <c r="Q766" s="4">
        <v>40</v>
      </c>
      <c r="R766" s="12">
        <f t="shared" si="11"/>
        <v>2920</v>
      </c>
      <c r="T766" t="s">
        <v>151</v>
      </c>
      <c r="U766" t="s">
        <v>681</v>
      </c>
      <c r="V766" s="4">
        <v>73</v>
      </c>
      <c r="W766">
        <v>0</v>
      </c>
    </row>
    <row r="767" spans="1:23" hidden="1" x14ac:dyDescent="0.25">
      <c r="A767" s="2">
        <v>45873.345381944448</v>
      </c>
      <c r="B767">
        <v>3957</v>
      </c>
      <c r="C767" t="s">
        <v>679</v>
      </c>
      <c r="D767" s="3">
        <v>45873</v>
      </c>
      <c r="E767" s="3">
        <v>46111</v>
      </c>
      <c r="F767" t="s">
        <v>112</v>
      </c>
      <c r="H767" t="s">
        <v>22</v>
      </c>
      <c r="I767" t="s">
        <v>42</v>
      </c>
      <c r="J767" t="s">
        <v>1490</v>
      </c>
      <c r="K767" t="s">
        <v>24</v>
      </c>
      <c r="L767" s="4">
        <v>245</v>
      </c>
      <c r="M767" t="s">
        <v>683</v>
      </c>
      <c r="N767" t="s">
        <v>26</v>
      </c>
      <c r="O767" s="4">
        <v>50</v>
      </c>
      <c r="P767">
        <v>0</v>
      </c>
      <c r="Q767" s="4">
        <v>50</v>
      </c>
      <c r="R767" s="12">
        <f t="shared" si="11"/>
        <v>12250</v>
      </c>
      <c r="T767" t="s">
        <v>151</v>
      </c>
      <c r="U767" t="s">
        <v>681</v>
      </c>
      <c r="V767" s="4">
        <v>245</v>
      </c>
      <c r="W767">
        <v>0</v>
      </c>
    </row>
    <row r="768" spans="1:23" hidden="1" x14ac:dyDescent="0.25">
      <c r="A768" s="2">
        <v>45873.345381944448</v>
      </c>
      <c r="B768">
        <v>3957</v>
      </c>
      <c r="C768" t="s">
        <v>679</v>
      </c>
      <c r="D768" s="3">
        <v>45873</v>
      </c>
      <c r="E768" s="3">
        <v>46111</v>
      </c>
      <c r="F768" t="s">
        <v>112</v>
      </c>
      <c r="G768" t="s">
        <v>1493</v>
      </c>
      <c r="H768" t="s">
        <v>22</v>
      </c>
      <c r="I768" t="s">
        <v>38</v>
      </c>
      <c r="J768" t="s">
        <v>1491</v>
      </c>
      <c r="K768" t="s">
        <v>24</v>
      </c>
      <c r="L768" s="4">
        <v>52</v>
      </c>
      <c r="M768" t="s">
        <v>683</v>
      </c>
      <c r="N768" t="s">
        <v>26</v>
      </c>
      <c r="O768" s="4">
        <v>51</v>
      </c>
      <c r="P768">
        <v>0</v>
      </c>
      <c r="Q768" s="4">
        <v>51</v>
      </c>
      <c r="R768" s="12">
        <f t="shared" si="11"/>
        <v>2652</v>
      </c>
      <c r="T768" t="s">
        <v>151</v>
      </c>
      <c r="U768" t="s">
        <v>681</v>
      </c>
      <c r="V768" s="4">
        <v>52</v>
      </c>
      <c r="W768">
        <v>0</v>
      </c>
    </row>
    <row r="769" spans="1:23" hidden="1" x14ac:dyDescent="0.25">
      <c r="A769" s="2">
        <v>45873.345381944448</v>
      </c>
      <c r="B769">
        <v>3957</v>
      </c>
      <c r="C769" t="s">
        <v>679</v>
      </c>
      <c r="D769" s="3">
        <v>45873</v>
      </c>
      <c r="E769" s="3">
        <v>46111</v>
      </c>
      <c r="F769" t="s">
        <v>112</v>
      </c>
      <c r="G769" t="s">
        <v>1493</v>
      </c>
      <c r="H769" t="s">
        <v>22</v>
      </c>
      <c r="I769" t="s">
        <v>40</v>
      </c>
      <c r="J769" t="s">
        <v>1491</v>
      </c>
      <c r="K769" t="s">
        <v>24</v>
      </c>
      <c r="L769" s="4">
        <v>355</v>
      </c>
      <c r="M769" t="s">
        <v>683</v>
      </c>
      <c r="N769" t="s">
        <v>26</v>
      </c>
      <c r="O769" s="4">
        <v>40</v>
      </c>
      <c r="P769">
        <v>0</v>
      </c>
      <c r="Q769" s="4">
        <v>40</v>
      </c>
      <c r="R769" s="12">
        <f t="shared" si="11"/>
        <v>14200</v>
      </c>
      <c r="T769" t="s">
        <v>151</v>
      </c>
      <c r="U769" t="s">
        <v>681</v>
      </c>
      <c r="V769" s="4">
        <v>355</v>
      </c>
      <c r="W769">
        <v>0</v>
      </c>
    </row>
    <row r="770" spans="1:23" hidden="1" x14ac:dyDescent="0.25">
      <c r="A770" s="2">
        <v>45873.345381944448</v>
      </c>
      <c r="B770">
        <v>3957</v>
      </c>
      <c r="C770" t="s">
        <v>679</v>
      </c>
      <c r="D770" s="3">
        <v>45873</v>
      </c>
      <c r="E770" s="3">
        <v>46111</v>
      </c>
      <c r="F770" t="s">
        <v>112</v>
      </c>
      <c r="G770" t="s">
        <v>1493</v>
      </c>
      <c r="H770" t="s">
        <v>22</v>
      </c>
      <c r="I770" t="s">
        <v>41</v>
      </c>
      <c r="J770" t="s">
        <v>1491</v>
      </c>
      <c r="K770" t="s">
        <v>24</v>
      </c>
      <c r="L770" s="4">
        <v>365</v>
      </c>
      <c r="M770" t="s">
        <v>683</v>
      </c>
      <c r="N770" t="s">
        <v>26</v>
      </c>
      <c r="O770" s="4">
        <v>40</v>
      </c>
      <c r="P770">
        <v>0</v>
      </c>
      <c r="Q770" s="4">
        <v>40</v>
      </c>
      <c r="R770" s="12">
        <f t="shared" si="11"/>
        <v>14600</v>
      </c>
      <c r="T770" t="s">
        <v>151</v>
      </c>
      <c r="U770" t="s">
        <v>681</v>
      </c>
      <c r="V770" s="4">
        <v>365</v>
      </c>
      <c r="W770">
        <v>0</v>
      </c>
    </row>
    <row r="771" spans="1:23" hidden="1" x14ac:dyDescent="0.25">
      <c r="A771" s="2">
        <v>45873.345381944448</v>
      </c>
      <c r="B771">
        <v>3957</v>
      </c>
      <c r="C771" t="s">
        <v>679</v>
      </c>
      <c r="D771" s="3">
        <v>45873</v>
      </c>
      <c r="E771" s="3">
        <v>46111</v>
      </c>
      <c r="F771" t="s">
        <v>112</v>
      </c>
      <c r="G771" t="s">
        <v>1493</v>
      </c>
      <c r="H771" t="s">
        <v>22</v>
      </c>
      <c r="I771" t="s">
        <v>44</v>
      </c>
      <c r="J771" t="s">
        <v>1491</v>
      </c>
      <c r="K771" t="s">
        <v>31</v>
      </c>
      <c r="L771" s="4">
        <v>400</v>
      </c>
      <c r="M771" t="s">
        <v>683</v>
      </c>
      <c r="N771" t="s">
        <v>26</v>
      </c>
      <c r="O771" s="4">
        <v>40</v>
      </c>
      <c r="P771">
        <v>0</v>
      </c>
      <c r="Q771" s="4">
        <v>40</v>
      </c>
      <c r="R771" s="12">
        <f t="shared" ref="R771:R834" si="12">Q771*L771</f>
        <v>16000</v>
      </c>
      <c r="T771" t="s">
        <v>151</v>
      </c>
      <c r="U771" t="s">
        <v>681</v>
      </c>
      <c r="V771" s="4">
        <v>400</v>
      </c>
      <c r="W771">
        <v>0</v>
      </c>
    </row>
    <row r="772" spans="1:23" hidden="1" x14ac:dyDescent="0.25">
      <c r="A772" s="2">
        <v>45873.345381944448</v>
      </c>
      <c r="B772">
        <v>3957</v>
      </c>
      <c r="C772" t="s">
        <v>679</v>
      </c>
      <c r="D772" s="3">
        <v>45873</v>
      </c>
      <c r="E772" s="3">
        <v>46111</v>
      </c>
      <c r="F772" t="s">
        <v>112</v>
      </c>
      <c r="G772" t="s">
        <v>1493</v>
      </c>
      <c r="H772" t="s">
        <v>22</v>
      </c>
      <c r="I772" t="s">
        <v>43</v>
      </c>
      <c r="J772" t="s">
        <v>1491</v>
      </c>
      <c r="K772" t="s">
        <v>24</v>
      </c>
      <c r="L772" s="4">
        <v>45</v>
      </c>
      <c r="M772" t="s">
        <v>683</v>
      </c>
      <c r="N772" t="s">
        <v>26</v>
      </c>
      <c r="O772" s="4">
        <v>114</v>
      </c>
      <c r="P772">
        <v>0</v>
      </c>
      <c r="Q772" s="4">
        <v>114</v>
      </c>
      <c r="R772" s="12">
        <f t="shared" si="12"/>
        <v>5130</v>
      </c>
      <c r="T772" t="s">
        <v>151</v>
      </c>
      <c r="U772" t="s">
        <v>681</v>
      </c>
      <c r="V772" s="4">
        <v>45</v>
      </c>
      <c r="W772">
        <v>0</v>
      </c>
    </row>
    <row r="773" spans="1:23" hidden="1" x14ac:dyDescent="0.25">
      <c r="A773" s="2">
        <v>45873.352789351855</v>
      </c>
      <c r="B773">
        <v>3958</v>
      </c>
      <c r="C773" t="s">
        <v>679</v>
      </c>
      <c r="D773" s="3">
        <v>45873</v>
      </c>
      <c r="E773" s="3">
        <v>46111</v>
      </c>
      <c r="F773" t="s">
        <v>112</v>
      </c>
      <c r="H773" t="s">
        <v>22</v>
      </c>
      <c r="I773" t="s">
        <v>29</v>
      </c>
      <c r="J773" t="s">
        <v>1490</v>
      </c>
      <c r="K773" t="s">
        <v>24</v>
      </c>
      <c r="L773" s="4">
        <v>165</v>
      </c>
      <c r="M773" t="s">
        <v>684</v>
      </c>
      <c r="N773" t="s">
        <v>26</v>
      </c>
      <c r="O773" s="4">
        <v>80</v>
      </c>
      <c r="P773">
        <v>0</v>
      </c>
      <c r="Q773" s="4">
        <v>80</v>
      </c>
      <c r="R773" s="12">
        <f t="shared" si="12"/>
        <v>13200</v>
      </c>
      <c r="T773" t="s">
        <v>151</v>
      </c>
      <c r="U773" t="s">
        <v>681</v>
      </c>
      <c r="V773" s="4">
        <v>165</v>
      </c>
      <c r="W773">
        <v>0</v>
      </c>
    </row>
    <row r="774" spans="1:23" hidden="1" x14ac:dyDescent="0.25">
      <c r="A774" s="2">
        <v>45873.352789351855</v>
      </c>
      <c r="B774">
        <v>3958</v>
      </c>
      <c r="C774" t="s">
        <v>679</v>
      </c>
      <c r="D774" s="3">
        <v>45873</v>
      </c>
      <c r="E774" s="3">
        <v>46111</v>
      </c>
      <c r="F774" t="s">
        <v>112</v>
      </c>
      <c r="H774" t="s">
        <v>22</v>
      </c>
      <c r="I774" t="s">
        <v>37</v>
      </c>
      <c r="J774" t="s">
        <v>1490</v>
      </c>
      <c r="K774" t="s">
        <v>31</v>
      </c>
      <c r="L774" s="4">
        <v>90</v>
      </c>
      <c r="M774" t="s">
        <v>684</v>
      </c>
      <c r="N774" t="s">
        <v>26</v>
      </c>
      <c r="O774" s="4">
        <v>81</v>
      </c>
      <c r="P774">
        <v>0</v>
      </c>
      <c r="Q774" s="4">
        <v>81</v>
      </c>
      <c r="R774" s="12">
        <f t="shared" si="12"/>
        <v>7290</v>
      </c>
      <c r="T774" t="s">
        <v>151</v>
      </c>
      <c r="U774" t="s">
        <v>681</v>
      </c>
      <c r="V774" s="4">
        <v>90</v>
      </c>
      <c r="W774">
        <v>0</v>
      </c>
    </row>
    <row r="775" spans="1:23" hidden="1" x14ac:dyDescent="0.25">
      <c r="A775" s="2">
        <v>45873.352789351855</v>
      </c>
      <c r="B775">
        <v>3958</v>
      </c>
      <c r="C775" t="s">
        <v>679</v>
      </c>
      <c r="D775" s="3">
        <v>45873</v>
      </c>
      <c r="E775" s="3">
        <v>46111</v>
      </c>
      <c r="F775" t="s">
        <v>112</v>
      </c>
      <c r="H775" t="s">
        <v>22</v>
      </c>
      <c r="I775" t="s">
        <v>192</v>
      </c>
      <c r="J775" t="s">
        <v>1490</v>
      </c>
      <c r="K775" t="s">
        <v>24</v>
      </c>
      <c r="L775" s="4">
        <v>18</v>
      </c>
      <c r="M775" t="s">
        <v>684</v>
      </c>
      <c r="N775" t="s">
        <v>26</v>
      </c>
      <c r="O775" s="4">
        <v>500</v>
      </c>
      <c r="P775">
        <v>0</v>
      </c>
      <c r="Q775" s="4">
        <v>500</v>
      </c>
      <c r="R775" s="12">
        <f t="shared" si="12"/>
        <v>9000</v>
      </c>
      <c r="T775" t="s">
        <v>151</v>
      </c>
      <c r="U775" t="s">
        <v>681</v>
      </c>
      <c r="V775" s="4">
        <v>18</v>
      </c>
      <c r="W775">
        <v>0</v>
      </c>
    </row>
    <row r="776" spans="1:23" hidden="1" x14ac:dyDescent="0.25">
      <c r="A776" s="2">
        <v>45873.352789351855</v>
      </c>
      <c r="B776">
        <v>3958</v>
      </c>
      <c r="C776" t="s">
        <v>679</v>
      </c>
      <c r="D776" s="3">
        <v>45873</v>
      </c>
      <c r="E776" s="3">
        <v>46111</v>
      </c>
      <c r="F776" t="s">
        <v>112</v>
      </c>
      <c r="H776" t="s">
        <v>22</v>
      </c>
      <c r="I776" t="s">
        <v>32</v>
      </c>
      <c r="J776" t="s">
        <v>1490</v>
      </c>
      <c r="K776" t="s">
        <v>24</v>
      </c>
      <c r="L776" s="4">
        <v>24</v>
      </c>
      <c r="M776" t="s">
        <v>684</v>
      </c>
      <c r="N776" t="s">
        <v>26</v>
      </c>
      <c r="O776" s="4">
        <v>500</v>
      </c>
      <c r="P776">
        <v>0</v>
      </c>
      <c r="Q776" s="4">
        <v>500</v>
      </c>
      <c r="R776" s="12">
        <f t="shared" si="12"/>
        <v>12000</v>
      </c>
      <c r="T776" t="s">
        <v>151</v>
      </c>
      <c r="U776" t="s">
        <v>681</v>
      </c>
      <c r="V776" s="4">
        <v>24</v>
      </c>
      <c r="W776">
        <v>0</v>
      </c>
    </row>
    <row r="777" spans="1:23" hidden="1" x14ac:dyDescent="0.25">
      <c r="A777" s="2">
        <v>45873.352789351855</v>
      </c>
      <c r="B777">
        <v>3958</v>
      </c>
      <c r="C777" t="s">
        <v>679</v>
      </c>
      <c r="D777" s="3">
        <v>45873</v>
      </c>
      <c r="E777" s="3">
        <v>46111</v>
      </c>
      <c r="F777" t="s">
        <v>112</v>
      </c>
      <c r="H777" t="s">
        <v>22</v>
      </c>
      <c r="I777" t="s">
        <v>30</v>
      </c>
      <c r="J777" t="s">
        <v>1490</v>
      </c>
      <c r="K777" t="s">
        <v>31</v>
      </c>
      <c r="L777" s="4">
        <v>23</v>
      </c>
      <c r="M777" t="s">
        <v>684</v>
      </c>
      <c r="N777" t="s">
        <v>26</v>
      </c>
      <c r="O777" s="4">
        <v>500</v>
      </c>
      <c r="P777">
        <v>0</v>
      </c>
      <c r="Q777" s="4">
        <v>500</v>
      </c>
      <c r="R777" s="12">
        <f t="shared" si="12"/>
        <v>11500</v>
      </c>
      <c r="T777" t="s">
        <v>151</v>
      </c>
      <c r="U777" t="s">
        <v>681</v>
      </c>
      <c r="V777" s="4">
        <v>23</v>
      </c>
      <c r="W777">
        <v>0</v>
      </c>
    </row>
    <row r="778" spans="1:23" hidden="1" x14ac:dyDescent="0.25">
      <c r="A778" s="2">
        <v>45873.352789351855</v>
      </c>
      <c r="B778">
        <v>3958</v>
      </c>
      <c r="C778" t="s">
        <v>679</v>
      </c>
      <c r="D778" s="3">
        <v>45873</v>
      </c>
      <c r="E778" s="3">
        <v>46111</v>
      </c>
      <c r="F778" t="s">
        <v>112</v>
      </c>
      <c r="H778" t="s">
        <v>22</v>
      </c>
      <c r="I778" t="s">
        <v>34</v>
      </c>
      <c r="J778" t="s">
        <v>1490</v>
      </c>
      <c r="K778" t="s">
        <v>31</v>
      </c>
      <c r="L778" s="4">
        <v>25</v>
      </c>
      <c r="M778" t="s">
        <v>684</v>
      </c>
      <c r="N778" t="s">
        <v>26</v>
      </c>
      <c r="O778" s="4">
        <v>500</v>
      </c>
      <c r="P778">
        <v>0</v>
      </c>
      <c r="Q778" s="4">
        <v>500</v>
      </c>
      <c r="R778" s="12">
        <f t="shared" si="12"/>
        <v>12500</v>
      </c>
      <c r="T778" t="s">
        <v>151</v>
      </c>
      <c r="U778" t="s">
        <v>681</v>
      </c>
      <c r="V778" s="4">
        <v>25</v>
      </c>
      <c r="W778">
        <v>0</v>
      </c>
    </row>
    <row r="779" spans="1:23" hidden="1" x14ac:dyDescent="0.25">
      <c r="A779" s="2">
        <v>45873.352789351855</v>
      </c>
      <c r="B779">
        <v>3958</v>
      </c>
      <c r="C779" t="s">
        <v>679</v>
      </c>
      <c r="D779" s="3">
        <v>45873</v>
      </c>
      <c r="E779" s="3">
        <v>46111</v>
      </c>
      <c r="F779" t="s">
        <v>112</v>
      </c>
      <c r="H779" t="s">
        <v>22</v>
      </c>
      <c r="I779" t="s">
        <v>33</v>
      </c>
      <c r="J779" t="s">
        <v>1490</v>
      </c>
      <c r="K779" t="s">
        <v>31</v>
      </c>
      <c r="L779" s="4">
        <v>25</v>
      </c>
      <c r="M779" t="s">
        <v>684</v>
      </c>
      <c r="N779" t="s">
        <v>26</v>
      </c>
      <c r="O779" s="4">
        <v>1000</v>
      </c>
      <c r="P779">
        <v>0</v>
      </c>
      <c r="Q779" s="4">
        <v>1000</v>
      </c>
      <c r="R779" s="12">
        <f t="shared" si="12"/>
        <v>25000</v>
      </c>
      <c r="T779" t="s">
        <v>151</v>
      </c>
      <c r="U779" t="s">
        <v>681</v>
      </c>
      <c r="V779" s="4">
        <v>25</v>
      </c>
      <c r="W779">
        <v>0</v>
      </c>
    </row>
    <row r="780" spans="1:23" hidden="1" x14ac:dyDescent="0.25">
      <c r="A780" s="2">
        <v>45873.352789351855</v>
      </c>
      <c r="B780">
        <v>3958</v>
      </c>
      <c r="C780" t="s">
        <v>679</v>
      </c>
      <c r="D780" s="3">
        <v>45873</v>
      </c>
      <c r="E780" s="3">
        <v>46111</v>
      </c>
      <c r="F780" t="s">
        <v>112</v>
      </c>
      <c r="H780" t="s">
        <v>22</v>
      </c>
      <c r="I780" t="s">
        <v>23</v>
      </c>
      <c r="J780" t="s">
        <v>1490</v>
      </c>
      <c r="K780" t="s">
        <v>24</v>
      </c>
      <c r="L780" s="4">
        <v>17</v>
      </c>
      <c r="M780" t="s">
        <v>684</v>
      </c>
      <c r="N780" t="s">
        <v>26</v>
      </c>
      <c r="O780" s="4">
        <v>500</v>
      </c>
      <c r="P780">
        <v>0</v>
      </c>
      <c r="Q780" s="4">
        <v>500</v>
      </c>
      <c r="R780" s="12">
        <f t="shared" si="12"/>
        <v>8500</v>
      </c>
      <c r="T780" t="s">
        <v>151</v>
      </c>
      <c r="U780" t="s">
        <v>681</v>
      </c>
      <c r="V780" s="4">
        <v>17</v>
      </c>
      <c r="W780">
        <v>0</v>
      </c>
    </row>
    <row r="781" spans="1:23" hidden="1" x14ac:dyDescent="0.25">
      <c r="A781" s="2">
        <v>46002.445185185185</v>
      </c>
      <c r="B781">
        <v>4344</v>
      </c>
      <c r="C781" t="s">
        <v>679</v>
      </c>
      <c r="D781" s="3">
        <v>46002</v>
      </c>
      <c r="E781" s="3">
        <v>46111</v>
      </c>
      <c r="F781" t="s">
        <v>112</v>
      </c>
      <c r="H781" t="s">
        <v>22</v>
      </c>
      <c r="I781" t="s">
        <v>600</v>
      </c>
      <c r="K781" t="s">
        <v>24</v>
      </c>
      <c r="L781" s="4">
        <v>98</v>
      </c>
      <c r="M781" t="s">
        <v>685</v>
      </c>
      <c r="N781" t="s">
        <v>26</v>
      </c>
      <c r="O781" s="4">
        <v>60</v>
      </c>
      <c r="P781">
        <v>0</v>
      </c>
      <c r="Q781" s="4">
        <v>60</v>
      </c>
      <c r="R781" s="12">
        <f t="shared" si="12"/>
        <v>5880</v>
      </c>
      <c r="T781" t="s">
        <v>151</v>
      </c>
      <c r="U781" t="s">
        <v>681</v>
      </c>
      <c r="V781" s="4">
        <v>98</v>
      </c>
      <c r="W781">
        <v>0</v>
      </c>
    </row>
    <row r="782" spans="1:23" hidden="1" x14ac:dyDescent="0.25">
      <c r="A782" s="2">
        <v>46002.445185185185</v>
      </c>
      <c r="B782">
        <v>4344</v>
      </c>
      <c r="C782" t="s">
        <v>679</v>
      </c>
      <c r="D782" s="3">
        <v>46002</v>
      </c>
      <c r="E782" s="3">
        <v>46111</v>
      </c>
      <c r="F782" t="s">
        <v>112</v>
      </c>
      <c r="G782" t="s">
        <v>1493</v>
      </c>
      <c r="H782" t="s">
        <v>22</v>
      </c>
      <c r="I782" t="s">
        <v>92</v>
      </c>
      <c r="J782" t="s">
        <v>1491</v>
      </c>
      <c r="K782" t="s">
        <v>31</v>
      </c>
      <c r="L782" s="4">
        <v>380</v>
      </c>
      <c r="M782" t="s">
        <v>685</v>
      </c>
      <c r="N782" t="s">
        <v>26</v>
      </c>
      <c r="O782" s="4">
        <v>30</v>
      </c>
      <c r="P782">
        <v>0</v>
      </c>
      <c r="Q782" s="4">
        <v>30</v>
      </c>
      <c r="R782" s="12">
        <f t="shared" si="12"/>
        <v>11400</v>
      </c>
      <c r="T782" t="s">
        <v>151</v>
      </c>
      <c r="U782" t="s">
        <v>681</v>
      </c>
      <c r="V782" s="4">
        <v>380</v>
      </c>
      <c r="W782">
        <v>0</v>
      </c>
    </row>
    <row r="783" spans="1:23" hidden="1" x14ac:dyDescent="0.25">
      <c r="A783" s="2">
        <v>46029.591307870367</v>
      </c>
      <c r="B783">
        <v>4416</v>
      </c>
      <c r="C783" t="s">
        <v>679</v>
      </c>
      <c r="D783" s="3">
        <v>46029</v>
      </c>
      <c r="E783" s="3">
        <v>46264</v>
      </c>
      <c r="F783" t="s">
        <v>112</v>
      </c>
      <c r="G783" t="s">
        <v>1493</v>
      </c>
      <c r="H783" t="s">
        <v>22</v>
      </c>
      <c r="I783" t="s">
        <v>41</v>
      </c>
      <c r="J783" t="s">
        <v>1491</v>
      </c>
      <c r="K783" t="s">
        <v>24</v>
      </c>
      <c r="L783" s="4">
        <v>365</v>
      </c>
      <c r="M783" t="s">
        <v>686</v>
      </c>
      <c r="N783" t="s">
        <v>46</v>
      </c>
      <c r="O783" s="4">
        <v>25</v>
      </c>
      <c r="P783">
        <v>0</v>
      </c>
      <c r="Q783" s="4">
        <v>25</v>
      </c>
      <c r="R783" s="12">
        <f t="shared" si="12"/>
        <v>9125</v>
      </c>
      <c r="T783" t="s">
        <v>151</v>
      </c>
      <c r="U783" t="s">
        <v>681</v>
      </c>
      <c r="V783" s="4">
        <v>365</v>
      </c>
      <c r="W783">
        <v>0</v>
      </c>
    </row>
    <row r="784" spans="1:23" hidden="1" x14ac:dyDescent="0.25">
      <c r="A784" s="2">
        <v>46029.591307870367</v>
      </c>
      <c r="B784">
        <v>4416</v>
      </c>
      <c r="C784" t="s">
        <v>679</v>
      </c>
      <c r="D784" s="3">
        <v>46029</v>
      </c>
      <c r="E784" s="3">
        <v>46264</v>
      </c>
      <c r="F784" t="s">
        <v>112</v>
      </c>
      <c r="G784" t="s">
        <v>1493</v>
      </c>
      <c r="H784" t="s">
        <v>22</v>
      </c>
      <c r="I784" t="s">
        <v>40</v>
      </c>
      <c r="J784" t="s">
        <v>1491</v>
      </c>
      <c r="K784" t="s">
        <v>24</v>
      </c>
      <c r="L784" s="4">
        <v>355</v>
      </c>
      <c r="M784" t="s">
        <v>686</v>
      </c>
      <c r="N784" t="s">
        <v>46</v>
      </c>
      <c r="O784" s="4">
        <v>25</v>
      </c>
      <c r="P784">
        <v>0</v>
      </c>
      <c r="Q784" s="4">
        <v>25</v>
      </c>
      <c r="R784" s="12">
        <f t="shared" si="12"/>
        <v>8875</v>
      </c>
      <c r="T784" t="s">
        <v>151</v>
      </c>
      <c r="U784" t="s">
        <v>681</v>
      </c>
      <c r="V784" s="4">
        <v>355</v>
      </c>
      <c r="W784">
        <v>0</v>
      </c>
    </row>
    <row r="785" spans="1:23" hidden="1" x14ac:dyDescent="0.25">
      <c r="A785" s="2">
        <v>46029.591307870367</v>
      </c>
      <c r="B785">
        <v>4416</v>
      </c>
      <c r="C785" t="s">
        <v>679</v>
      </c>
      <c r="D785" s="3">
        <v>46029</v>
      </c>
      <c r="E785" s="3">
        <v>46264</v>
      </c>
      <c r="F785" t="s">
        <v>112</v>
      </c>
      <c r="G785" t="s">
        <v>1493</v>
      </c>
      <c r="H785" t="s">
        <v>22</v>
      </c>
      <c r="I785" t="s">
        <v>38</v>
      </c>
      <c r="J785" t="s">
        <v>1491</v>
      </c>
      <c r="K785" t="s">
        <v>24</v>
      </c>
      <c r="L785" s="4">
        <v>52</v>
      </c>
      <c r="M785" t="s">
        <v>686</v>
      </c>
      <c r="N785" t="s">
        <v>46</v>
      </c>
      <c r="O785" s="4">
        <v>102</v>
      </c>
      <c r="P785">
        <v>0</v>
      </c>
      <c r="Q785" s="4">
        <v>102</v>
      </c>
      <c r="R785" s="12">
        <f t="shared" si="12"/>
        <v>5304</v>
      </c>
      <c r="T785" t="s">
        <v>151</v>
      </c>
      <c r="U785" t="s">
        <v>681</v>
      </c>
      <c r="V785" s="4">
        <v>52</v>
      </c>
      <c r="W785">
        <v>0</v>
      </c>
    </row>
    <row r="786" spans="1:23" hidden="1" x14ac:dyDescent="0.25">
      <c r="A786" s="2">
        <v>46029.591307870367</v>
      </c>
      <c r="B786">
        <v>4416</v>
      </c>
      <c r="C786" t="s">
        <v>679</v>
      </c>
      <c r="D786" s="3">
        <v>46029</v>
      </c>
      <c r="E786" s="3">
        <v>46264</v>
      </c>
      <c r="F786" t="s">
        <v>112</v>
      </c>
      <c r="G786" t="s">
        <v>1493</v>
      </c>
      <c r="H786" t="s">
        <v>22</v>
      </c>
      <c r="I786" t="s">
        <v>44</v>
      </c>
      <c r="J786" t="s">
        <v>1491</v>
      </c>
      <c r="K786" t="s">
        <v>31</v>
      </c>
      <c r="L786" s="4">
        <v>400</v>
      </c>
      <c r="M786" t="s">
        <v>686</v>
      </c>
      <c r="N786" t="s">
        <v>46</v>
      </c>
      <c r="O786" s="4">
        <v>25</v>
      </c>
      <c r="P786">
        <v>0</v>
      </c>
      <c r="Q786" s="4">
        <v>25</v>
      </c>
      <c r="R786" s="12">
        <f t="shared" si="12"/>
        <v>10000</v>
      </c>
      <c r="T786" t="s">
        <v>151</v>
      </c>
      <c r="U786" t="s">
        <v>681</v>
      </c>
      <c r="V786" s="4">
        <v>400</v>
      </c>
      <c r="W786">
        <v>0</v>
      </c>
    </row>
    <row r="787" spans="1:23" hidden="1" x14ac:dyDescent="0.25">
      <c r="A787" s="2">
        <v>46031.483113425929</v>
      </c>
      <c r="B787">
        <v>4419</v>
      </c>
      <c r="C787" t="s">
        <v>679</v>
      </c>
      <c r="D787" s="3">
        <v>46031</v>
      </c>
      <c r="E787" s="3">
        <v>46264</v>
      </c>
      <c r="F787" t="s">
        <v>112</v>
      </c>
      <c r="H787" t="s">
        <v>22</v>
      </c>
      <c r="I787" t="s">
        <v>30</v>
      </c>
      <c r="J787" t="s">
        <v>1490</v>
      </c>
      <c r="K787" t="s">
        <v>31</v>
      </c>
      <c r="L787" s="4">
        <v>23</v>
      </c>
      <c r="M787" t="s">
        <v>687</v>
      </c>
      <c r="N787" t="s">
        <v>46</v>
      </c>
      <c r="O787" s="4">
        <v>500</v>
      </c>
      <c r="P787">
        <v>0</v>
      </c>
      <c r="Q787" s="4">
        <v>500</v>
      </c>
      <c r="R787" s="12">
        <f t="shared" si="12"/>
        <v>11500</v>
      </c>
      <c r="T787" t="s">
        <v>151</v>
      </c>
      <c r="U787" t="s">
        <v>681</v>
      </c>
      <c r="V787" s="4">
        <v>23</v>
      </c>
      <c r="W787">
        <v>0</v>
      </c>
    </row>
    <row r="788" spans="1:23" hidden="1" x14ac:dyDescent="0.25">
      <c r="A788" s="2">
        <v>46031.483113425929</v>
      </c>
      <c r="B788">
        <v>4419</v>
      </c>
      <c r="C788" t="s">
        <v>679</v>
      </c>
      <c r="D788" s="3">
        <v>46031</v>
      </c>
      <c r="E788" s="3">
        <v>46264</v>
      </c>
      <c r="F788" t="s">
        <v>112</v>
      </c>
      <c r="H788" t="s">
        <v>22</v>
      </c>
      <c r="I788" t="s">
        <v>42</v>
      </c>
      <c r="J788" t="s">
        <v>1490</v>
      </c>
      <c r="K788" t="s">
        <v>24</v>
      </c>
      <c r="L788" s="4">
        <v>245</v>
      </c>
      <c r="M788" t="s">
        <v>687</v>
      </c>
      <c r="N788" t="s">
        <v>46</v>
      </c>
      <c r="O788" s="4">
        <v>50</v>
      </c>
      <c r="P788">
        <v>0</v>
      </c>
      <c r="Q788" s="4">
        <v>50</v>
      </c>
      <c r="R788" s="12">
        <f t="shared" si="12"/>
        <v>12250</v>
      </c>
      <c r="T788" t="s">
        <v>151</v>
      </c>
      <c r="U788" t="s">
        <v>681</v>
      </c>
      <c r="V788" s="4">
        <v>245</v>
      </c>
      <c r="W788">
        <v>0</v>
      </c>
    </row>
    <row r="789" spans="1:23" hidden="1" x14ac:dyDescent="0.25">
      <c r="A789" s="2">
        <v>46031.483113425929</v>
      </c>
      <c r="B789">
        <v>4419</v>
      </c>
      <c r="C789" t="s">
        <v>679</v>
      </c>
      <c r="D789" s="3">
        <v>46031</v>
      </c>
      <c r="E789" s="3">
        <v>46264</v>
      </c>
      <c r="F789" t="s">
        <v>112</v>
      </c>
      <c r="H789" t="s">
        <v>22</v>
      </c>
      <c r="I789" t="s">
        <v>33</v>
      </c>
      <c r="J789" t="s">
        <v>1490</v>
      </c>
      <c r="K789" t="s">
        <v>31</v>
      </c>
      <c r="L789" s="4">
        <v>25</v>
      </c>
      <c r="M789" t="s">
        <v>687</v>
      </c>
      <c r="N789" t="s">
        <v>46</v>
      </c>
      <c r="O789" s="4">
        <v>360</v>
      </c>
      <c r="P789">
        <v>0</v>
      </c>
      <c r="Q789" s="4">
        <v>360</v>
      </c>
      <c r="R789" s="12">
        <f t="shared" si="12"/>
        <v>9000</v>
      </c>
      <c r="T789" t="s">
        <v>151</v>
      </c>
      <c r="U789" t="s">
        <v>681</v>
      </c>
      <c r="V789" s="4">
        <v>25</v>
      </c>
      <c r="W789">
        <v>0</v>
      </c>
    </row>
    <row r="790" spans="1:23" hidden="1" x14ac:dyDescent="0.25">
      <c r="A790" s="2">
        <v>46031.483113425929</v>
      </c>
      <c r="B790">
        <v>4419</v>
      </c>
      <c r="C790" t="s">
        <v>679</v>
      </c>
      <c r="D790" s="3">
        <v>46031</v>
      </c>
      <c r="E790" s="3">
        <v>46264</v>
      </c>
      <c r="F790" t="s">
        <v>112</v>
      </c>
      <c r="H790" t="s">
        <v>22</v>
      </c>
      <c r="I790" t="s">
        <v>32</v>
      </c>
      <c r="J790" t="s">
        <v>1490</v>
      </c>
      <c r="K790" t="s">
        <v>24</v>
      </c>
      <c r="L790" s="4">
        <v>24</v>
      </c>
      <c r="M790" t="s">
        <v>687</v>
      </c>
      <c r="N790" t="s">
        <v>46</v>
      </c>
      <c r="O790" s="4">
        <v>500</v>
      </c>
      <c r="P790">
        <v>0</v>
      </c>
      <c r="Q790" s="4">
        <v>500</v>
      </c>
      <c r="R790" s="12">
        <f t="shared" si="12"/>
        <v>12000</v>
      </c>
      <c r="T790" t="s">
        <v>151</v>
      </c>
      <c r="U790" t="s">
        <v>681</v>
      </c>
      <c r="V790" s="4">
        <v>24</v>
      </c>
      <c r="W790">
        <v>0</v>
      </c>
    </row>
    <row r="791" spans="1:23" hidden="1" x14ac:dyDescent="0.25">
      <c r="A791" s="2">
        <v>46031.483113425929</v>
      </c>
      <c r="B791">
        <v>4419</v>
      </c>
      <c r="C791" t="s">
        <v>679</v>
      </c>
      <c r="D791" s="3">
        <v>46031</v>
      </c>
      <c r="E791" s="3">
        <v>46264</v>
      </c>
      <c r="F791" t="s">
        <v>112</v>
      </c>
      <c r="H791" t="s">
        <v>22</v>
      </c>
      <c r="I791" t="s">
        <v>29</v>
      </c>
      <c r="J791" t="s">
        <v>1490</v>
      </c>
      <c r="K791" t="s">
        <v>24</v>
      </c>
      <c r="L791" s="4">
        <v>165</v>
      </c>
      <c r="M791" t="s">
        <v>687</v>
      </c>
      <c r="N791" t="s">
        <v>46</v>
      </c>
      <c r="O791" s="4">
        <v>80</v>
      </c>
      <c r="P791">
        <v>0</v>
      </c>
      <c r="Q791" s="4">
        <v>80</v>
      </c>
      <c r="R791" s="12">
        <f t="shared" si="12"/>
        <v>13200</v>
      </c>
      <c r="T791" t="s">
        <v>151</v>
      </c>
      <c r="U791" t="s">
        <v>681</v>
      </c>
      <c r="V791" s="4">
        <v>165</v>
      </c>
      <c r="W791">
        <v>0</v>
      </c>
    </row>
    <row r="792" spans="1:23" hidden="1" x14ac:dyDescent="0.25">
      <c r="A792" s="2">
        <v>45916.493113425924</v>
      </c>
      <c r="B792">
        <v>298</v>
      </c>
      <c r="C792" t="s">
        <v>688</v>
      </c>
      <c r="D792" s="3">
        <v>45916</v>
      </c>
      <c r="E792" s="3">
        <v>46111</v>
      </c>
      <c r="F792" t="s">
        <v>66</v>
      </c>
      <c r="H792" t="s">
        <v>484</v>
      </c>
      <c r="I792" t="s">
        <v>96</v>
      </c>
      <c r="K792" t="s">
        <v>24</v>
      </c>
      <c r="L792" s="4">
        <v>58</v>
      </c>
      <c r="M792" t="s">
        <v>689</v>
      </c>
      <c r="N792" t="s">
        <v>26</v>
      </c>
      <c r="O792" s="4">
        <v>100</v>
      </c>
      <c r="P792">
        <v>0</v>
      </c>
      <c r="Q792" s="4">
        <v>100</v>
      </c>
      <c r="R792" s="12">
        <f t="shared" si="12"/>
        <v>5800</v>
      </c>
      <c r="U792" t="s">
        <v>690</v>
      </c>
      <c r="V792" s="4">
        <v>58</v>
      </c>
      <c r="W792">
        <v>0</v>
      </c>
    </row>
    <row r="793" spans="1:23" hidden="1" x14ac:dyDescent="0.25">
      <c r="A793" s="2">
        <v>45916.493113425924</v>
      </c>
      <c r="B793">
        <v>298</v>
      </c>
      <c r="C793" t="s">
        <v>688</v>
      </c>
      <c r="D793" s="3">
        <v>45916</v>
      </c>
      <c r="E793" s="3">
        <v>46111</v>
      </c>
      <c r="F793" t="s">
        <v>66</v>
      </c>
      <c r="H793" t="s">
        <v>484</v>
      </c>
      <c r="I793" t="s">
        <v>89</v>
      </c>
      <c r="K793" t="s">
        <v>31</v>
      </c>
      <c r="L793" s="4">
        <v>15</v>
      </c>
      <c r="M793" t="s">
        <v>689</v>
      </c>
      <c r="N793" t="s">
        <v>26</v>
      </c>
      <c r="O793" s="4">
        <v>2790</v>
      </c>
      <c r="P793">
        <v>0</v>
      </c>
      <c r="Q793" s="4">
        <v>2790</v>
      </c>
      <c r="R793" s="12">
        <f t="shared" si="12"/>
        <v>41850</v>
      </c>
      <c r="U793" t="s">
        <v>690</v>
      </c>
      <c r="V793" s="4">
        <v>15</v>
      </c>
      <c r="W793">
        <v>0</v>
      </c>
    </row>
    <row r="794" spans="1:23" hidden="1" x14ac:dyDescent="0.25">
      <c r="A794" s="2">
        <v>45916.493113425924</v>
      </c>
      <c r="B794">
        <v>298</v>
      </c>
      <c r="C794" t="s">
        <v>688</v>
      </c>
      <c r="D794" s="3">
        <v>45916</v>
      </c>
      <c r="E794" s="3">
        <v>46111</v>
      </c>
      <c r="F794" t="s">
        <v>66</v>
      </c>
      <c r="H794" t="s">
        <v>484</v>
      </c>
      <c r="I794" t="s">
        <v>691</v>
      </c>
      <c r="K794" t="s">
        <v>31</v>
      </c>
      <c r="L794" s="4">
        <v>26.25</v>
      </c>
      <c r="M794" t="s">
        <v>689</v>
      </c>
      <c r="N794" t="s">
        <v>26</v>
      </c>
      <c r="O794" s="4">
        <v>520</v>
      </c>
      <c r="P794">
        <v>0</v>
      </c>
      <c r="Q794" s="4">
        <v>520</v>
      </c>
      <c r="R794" s="12">
        <f t="shared" si="12"/>
        <v>13650</v>
      </c>
      <c r="U794" t="s">
        <v>690</v>
      </c>
      <c r="V794" s="4">
        <v>26.25</v>
      </c>
      <c r="W794">
        <v>0</v>
      </c>
    </row>
    <row r="795" spans="1:23" hidden="1" x14ac:dyDescent="0.25">
      <c r="A795" s="2">
        <v>45916.493113425924</v>
      </c>
      <c r="B795">
        <v>298</v>
      </c>
      <c r="C795" t="s">
        <v>688</v>
      </c>
      <c r="D795" s="3">
        <v>45916</v>
      </c>
      <c r="E795" s="3">
        <v>46111</v>
      </c>
      <c r="F795" t="s">
        <v>66</v>
      </c>
      <c r="H795" t="s">
        <v>484</v>
      </c>
      <c r="I795" t="s">
        <v>29</v>
      </c>
      <c r="J795" t="s">
        <v>1490</v>
      </c>
      <c r="K795" t="s">
        <v>24</v>
      </c>
      <c r="L795" s="4">
        <v>110</v>
      </c>
      <c r="M795" t="s">
        <v>689</v>
      </c>
      <c r="N795" t="s">
        <v>26</v>
      </c>
      <c r="O795" s="4">
        <v>60</v>
      </c>
      <c r="P795">
        <v>0</v>
      </c>
      <c r="Q795" s="4">
        <v>60</v>
      </c>
      <c r="R795" s="12">
        <f t="shared" si="12"/>
        <v>6600</v>
      </c>
      <c r="U795" t="s">
        <v>690</v>
      </c>
      <c r="V795" s="4">
        <v>110</v>
      </c>
      <c r="W795">
        <v>0</v>
      </c>
    </row>
    <row r="796" spans="1:23" hidden="1" x14ac:dyDescent="0.25">
      <c r="A796" s="2">
        <v>45916.493113425924</v>
      </c>
      <c r="B796">
        <v>298</v>
      </c>
      <c r="C796" t="s">
        <v>688</v>
      </c>
      <c r="D796" s="3">
        <v>45916</v>
      </c>
      <c r="E796" s="3">
        <v>46111</v>
      </c>
      <c r="F796" t="s">
        <v>66</v>
      </c>
      <c r="H796" t="s">
        <v>484</v>
      </c>
      <c r="I796" t="s">
        <v>348</v>
      </c>
      <c r="K796" t="s">
        <v>24</v>
      </c>
      <c r="L796" s="4">
        <v>115</v>
      </c>
      <c r="M796" t="s">
        <v>689</v>
      </c>
      <c r="N796" t="s">
        <v>26</v>
      </c>
      <c r="O796" s="4">
        <v>200</v>
      </c>
      <c r="P796">
        <v>0</v>
      </c>
      <c r="Q796" s="4">
        <v>200</v>
      </c>
      <c r="R796" s="12">
        <f t="shared" si="12"/>
        <v>23000</v>
      </c>
      <c r="U796" t="s">
        <v>690</v>
      </c>
      <c r="V796" s="4">
        <v>115</v>
      </c>
      <c r="W796">
        <v>0</v>
      </c>
    </row>
    <row r="797" spans="1:23" hidden="1" x14ac:dyDescent="0.25">
      <c r="A797" s="2">
        <v>45916.493113425924</v>
      </c>
      <c r="B797">
        <v>298</v>
      </c>
      <c r="C797" t="s">
        <v>688</v>
      </c>
      <c r="D797" s="3">
        <v>45916</v>
      </c>
      <c r="E797" s="3">
        <v>46111</v>
      </c>
      <c r="F797" t="s">
        <v>66</v>
      </c>
      <c r="G797" t="s">
        <v>1494</v>
      </c>
      <c r="H797" t="s">
        <v>484</v>
      </c>
      <c r="I797" t="s">
        <v>43</v>
      </c>
      <c r="J797" t="s">
        <v>1491</v>
      </c>
      <c r="K797" t="s">
        <v>24</v>
      </c>
      <c r="L797" s="4">
        <v>40</v>
      </c>
      <c r="M797" t="s">
        <v>689</v>
      </c>
      <c r="N797" t="s">
        <v>26</v>
      </c>
      <c r="O797" s="4">
        <v>324</v>
      </c>
      <c r="P797">
        <v>0</v>
      </c>
      <c r="Q797" s="4">
        <v>324</v>
      </c>
      <c r="R797" s="12">
        <f t="shared" si="12"/>
        <v>12960</v>
      </c>
      <c r="U797" t="s">
        <v>690</v>
      </c>
      <c r="V797" s="4">
        <v>40</v>
      </c>
      <c r="W797">
        <v>0</v>
      </c>
    </row>
    <row r="798" spans="1:23" hidden="1" x14ac:dyDescent="0.25">
      <c r="A798" s="2">
        <v>45916.493113425924</v>
      </c>
      <c r="B798">
        <v>298</v>
      </c>
      <c r="C798" t="s">
        <v>688</v>
      </c>
      <c r="D798" s="3">
        <v>45916</v>
      </c>
      <c r="E798" s="3">
        <v>46111</v>
      </c>
      <c r="F798" t="s">
        <v>66</v>
      </c>
      <c r="G798" t="s">
        <v>1494</v>
      </c>
      <c r="H798" t="s">
        <v>484</v>
      </c>
      <c r="I798" t="s">
        <v>38</v>
      </c>
      <c r="J798" t="s">
        <v>1491</v>
      </c>
      <c r="K798" t="s">
        <v>24</v>
      </c>
      <c r="L798" s="4">
        <v>42</v>
      </c>
      <c r="M798" t="s">
        <v>689</v>
      </c>
      <c r="N798" t="s">
        <v>26</v>
      </c>
      <c r="O798" s="4">
        <v>180</v>
      </c>
      <c r="P798">
        <v>0</v>
      </c>
      <c r="Q798" s="4">
        <v>180</v>
      </c>
      <c r="R798" s="12">
        <f t="shared" si="12"/>
        <v>7560</v>
      </c>
      <c r="U798" t="s">
        <v>690</v>
      </c>
      <c r="V798" s="4">
        <v>42</v>
      </c>
      <c r="W798">
        <v>0</v>
      </c>
    </row>
    <row r="799" spans="1:23" hidden="1" x14ac:dyDescent="0.25">
      <c r="A799" s="2">
        <v>45916.493113425924</v>
      </c>
      <c r="B799">
        <v>298</v>
      </c>
      <c r="C799" t="s">
        <v>688</v>
      </c>
      <c r="D799" s="3">
        <v>45916</v>
      </c>
      <c r="E799" s="3">
        <v>46111</v>
      </c>
      <c r="F799" t="s">
        <v>66</v>
      </c>
      <c r="G799" t="s">
        <v>1494</v>
      </c>
      <c r="H799" t="s">
        <v>484</v>
      </c>
      <c r="I799" t="s">
        <v>63</v>
      </c>
      <c r="J799" t="s">
        <v>1491</v>
      </c>
      <c r="K799" t="s">
        <v>31</v>
      </c>
      <c r="L799" s="4">
        <v>180</v>
      </c>
      <c r="M799" t="s">
        <v>689</v>
      </c>
      <c r="N799" t="s">
        <v>26</v>
      </c>
      <c r="O799" s="4">
        <v>170</v>
      </c>
      <c r="P799">
        <v>0</v>
      </c>
      <c r="Q799" s="4">
        <v>170</v>
      </c>
      <c r="R799" s="12">
        <f t="shared" si="12"/>
        <v>30600</v>
      </c>
      <c r="U799" t="s">
        <v>690</v>
      </c>
      <c r="V799" s="4">
        <v>180</v>
      </c>
      <c r="W799">
        <v>0</v>
      </c>
    </row>
    <row r="800" spans="1:23" hidden="1" x14ac:dyDescent="0.25">
      <c r="A800" s="2">
        <v>45916.493113425924</v>
      </c>
      <c r="B800">
        <v>298</v>
      </c>
      <c r="C800" t="s">
        <v>688</v>
      </c>
      <c r="D800" s="3">
        <v>45916</v>
      </c>
      <c r="E800" s="3">
        <v>46111</v>
      </c>
      <c r="F800" t="s">
        <v>66</v>
      </c>
      <c r="H800" t="s">
        <v>484</v>
      </c>
      <c r="I800" t="s">
        <v>53</v>
      </c>
      <c r="K800" t="s">
        <v>24</v>
      </c>
      <c r="L800" s="4">
        <v>120</v>
      </c>
      <c r="M800" t="s">
        <v>689</v>
      </c>
      <c r="N800" t="s">
        <v>26</v>
      </c>
      <c r="O800" s="4">
        <v>24</v>
      </c>
      <c r="P800">
        <v>0</v>
      </c>
      <c r="Q800" s="4">
        <v>24</v>
      </c>
      <c r="R800" s="12">
        <f t="shared" si="12"/>
        <v>2880</v>
      </c>
      <c r="U800" t="s">
        <v>690</v>
      </c>
      <c r="V800" s="4">
        <v>120</v>
      </c>
      <c r="W800">
        <v>0</v>
      </c>
    </row>
    <row r="801" spans="1:23" hidden="1" x14ac:dyDescent="0.25">
      <c r="A801" s="2">
        <v>45916.535590277781</v>
      </c>
      <c r="B801">
        <v>299</v>
      </c>
      <c r="C801" t="s">
        <v>688</v>
      </c>
      <c r="D801" s="3">
        <v>45916</v>
      </c>
      <c r="E801" s="3">
        <v>46111</v>
      </c>
      <c r="F801" t="s">
        <v>66</v>
      </c>
      <c r="H801" t="s">
        <v>484</v>
      </c>
      <c r="I801" t="s">
        <v>29</v>
      </c>
      <c r="J801" t="s">
        <v>1490</v>
      </c>
      <c r="K801" t="s">
        <v>24</v>
      </c>
      <c r="L801" s="4">
        <v>110</v>
      </c>
      <c r="M801" t="s">
        <v>692</v>
      </c>
      <c r="N801" t="s">
        <v>26</v>
      </c>
      <c r="O801" s="4">
        <v>20</v>
      </c>
      <c r="P801">
        <v>0</v>
      </c>
      <c r="Q801" s="4">
        <v>20</v>
      </c>
      <c r="R801" s="12">
        <f t="shared" si="12"/>
        <v>2200</v>
      </c>
      <c r="U801" t="s">
        <v>690</v>
      </c>
      <c r="V801" s="4">
        <v>110</v>
      </c>
      <c r="W801">
        <v>0</v>
      </c>
    </row>
    <row r="802" spans="1:23" hidden="1" x14ac:dyDescent="0.25">
      <c r="A802" s="2">
        <v>45916.535590277781</v>
      </c>
      <c r="B802">
        <v>299</v>
      </c>
      <c r="C802" t="s">
        <v>688</v>
      </c>
      <c r="D802" s="3">
        <v>45916</v>
      </c>
      <c r="E802" s="3">
        <v>46111</v>
      </c>
      <c r="F802" t="s">
        <v>66</v>
      </c>
      <c r="G802" t="s">
        <v>1494</v>
      </c>
      <c r="H802" t="s">
        <v>484</v>
      </c>
      <c r="I802" t="s">
        <v>38</v>
      </c>
      <c r="J802" t="s">
        <v>1491</v>
      </c>
      <c r="K802" t="s">
        <v>24</v>
      </c>
      <c r="L802" s="4">
        <v>42</v>
      </c>
      <c r="M802" t="s">
        <v>692</v>
      </c>
      <c r="N802" t="s">
        <v>26</v>
      </c>
      <c r="O802" s="4">
        <v>15</v>
      </c>
      <c r="P802">
        <v>0</v>
      </c>
      <c r="Q802" s="4">
        <v>15</v>
      </c>
      <c r="R802" s="12">
        <f t="shared" si="12"/>
        <v>630</v>
      </c>
      <c r="U802" t="s">
        <v>690</v>
      </c>
      <c r="V802" s="4">
        <v>42</v>
      </c>
      <c r="W802">
        <v>0</v>
      </c>
    </row>
    <row r="803" spans="1:23" hidden="1" x14ac:dyDescent="0.25">
      <c r="A803" s="2">
        <v>45916.535590277781</v>
      </c>
      <c r="B803">
        <v>299</v>
      </c>
      <c r="C803" t="s">
        <v>688</v>
      </c>
      <c r="D803" s="3">
        <v>45916</v>
      </c>
      <c r="E803" s="3">
        <v>46111</v>
      </c>
      <c r="F803" t="s">
        <v>66</v>
      </c>
      <c r="H803" t="s">
        <v>484</v>
      </c>
      <c r="I803" t="s">
        <v>691</v>
      </c>
      <c r="K803" t="s">
        <v>31</v>
      </c>
      <c r="L803" s="4">
        <v>26.25</v>
      </c>
      <c r="M803" t="s">
        <v>692</v>
      </c>
      <c r="N803" t="s">
        <v>26</v>
      </c>
      <c r="O803" s="4">
        <v>22.4</v>
      </c>
      <c r="P803">
        <v>0</v>
      </c>
      <c r="Q803" s="4">
        <v>22.4</v>
      </c>
      <c r="R803" s="12">
        <f t="shared" si="12"/>
        <v>588</v>
      </c>
      <c r="U803" t="s">
        <v>690</v>
      </c>
      <c r="V803" s="4">
        <v>26.25</v>
      </c>
      <c r="W803">
        <v>0</v>
      </c>
    </row>
    <row r="804" spans="1:23" hidden="1" x14ac:dyDescent="0.25">
      <c r="A804" s="2">
        <v>45916.535590277781</v>
      </c>
      <c r="B804">
        <v>299</v>
      </c>
      <c r="C804" t="s">
        <v>688</v>
      </c>
      <c r="D804" s="3">
        <v>45916</v>
      </c>
      <c r="E804" s="3">
        <v>46111</v>
      </c>
      <c r="F804" t="s">
        <v>66</v>
      </c>
      <c r="G804" t="s">
        <v>1494</v>
      </c>
      <c r="H804" t="s">
        <v>484</v>
      </c>
      <c r="I804" t="s">
        <v>43</v>
      </c>
      <c r="J804" t="s">
        <v>1491</v>
      </c>
      <c r="K804" t="s">
        <v>24</v>
      </c>
      <c r="L804" s="4">
        <v>40</v>
      </c>
      <c r="M804" t="s">
        <v>692</v>
      </c>
      <c r="N804" t="s">
        <v>26</v>
      </c>
      <c r="O804" s="4">
        <v>15</v>
      </c>
      <c r="P804">
        <v>0</v>
      </c>
      <c r="Q804" s="4">
        <v>15</v>
      </c>
      <c r="R804" s="12">
        <f t="shared" si="12"/>
        <v>600</v>
      </c>
      <c r="U804" t="s">
        <v>690</v>
      </c>
      <c r="V804" s="4">
        <v>40</v>
      </c>
      <c r="W804">
        <v>0</v>
      </c>
    </row>
    <row r="805" spans="1:23" hidden="1" x14ac:dyDescent="0.25">
      <c r="A805" s="2">
        <v>45919.445729166669</v>
      </c>
      <c r="B805">
        <v>305</v>
      </c>
      <c r="C805" t="s">
        <v>688</v>
      </c>
      <c r="D805" s="3">
        <v>45919</v>
      </c>
      <c r="E805" s="3">
        <v>46111</v>
      </c>
      <c r="F805" t="s">
        <v>66</v>
      </c>
      <c r="G805" t="s">
        <v>1494</v>
      </c>
      <c r="H805" t="s">
        <v>484</v>
      </c>
      <c r="I805" t="s">
        <v>63</v>
      </c>
      <c r="J805" t="s">
        <v>1491</v>
      </c>
      <c r="K805" t="s">
        <v>31</v>
      </c>
      <c r="L805" s="4">
        <v>180</v>
      </c>
      <c r="N805" t="s">
        <v>26</v>
      </c>
      <c r="O805" s="4">
        <v>40</v>
      </c>
      <c r="P805">
        <v>0</v>
      </c>
      <c r="Q805" s="4">
        <v>40</v>
      </c>
      <c r="R805" s="12">
        <f t="shared" si="12"/>
        <v>7200</v>
      </c>
      <c r="U805" t="s">
        <v>690</v>
      </c>
      <c r="V805" s="4">
        <v>180</v>
      </c>
      <c r="W805">
        <v>0</v>
      </c>
    </row>
    <row r="806" spans="1:23" hidden="1" x14ac:dyDescent="0.25">
      <c r="A806" s="2">
        <v>45919.445729166669</v>
      </c>
      <c r="B806">
        <v>305</v>
      </c>
      <c r="C806" t="s">
        <v>688</v>
      </c>
      <c r="D806" s="3">
        <v>45919</v>
      </c>
      <c r="E806" s="3">
        <v>46111</v>
      </c>
      <c r="F806" t="s">
        <v>66</v>
      </c>
      <c r="H806" t="s">
        <v>484</v>
      </c>
      <c r="I806" t="s">
        <v>691</v>
      </c>
      <c r="K806" t="s">
        <v>31</v>
      </c>
      <c r="L806" s="4">
        <v>26.25</v>
      </c>
      <c r="N806" t="s">
        <v>26</v>
      </c>
      <c r="O806" s="4">
        <v>48</v>
      </c>
      <c r="P806">
        <v>0</v>
      </c>
      <c r="Q806" s="4">
        <v>48</v>
      </c>
      <c r="R806" s="12">
        <f t="shared" si="12"/>
        <v>1260</v>
      </c>
      <c r="U806" t="s">
        <v>690</v>
      </c>
      <c r="V806" s="4">
        <v>26.25</v>
      </c>
      <c r="W806">
        <v>0</v>
      </c>
    </row>
    <row r="807" spans="1:23" hidden="1" x14ac:dyDescent="0.25">
      <c r="A807" s="2">
        <v>45919.445729166669</v>
      </c>
      <c r="B807">
        <v>305</v>
      </c>
      <c r="C807" t="s">
        <v>688</v>
      </c>
      <c r="D807" s="3">
        <v>45919</v>
      </c>
      <c r="E807" s="3">
        <v>46111</v>
      </c>
      <c r="F807" t="s">
        <v>66</v>
      </c>
      <c r="H807" t="s">
        <v>484</v>
      </c>
      <c r="I807" t="s">
        <v>89</v>
      </c>
      <c r="K807" t="s">
        <v>31</v>
      </c>
      <c r="L807" s="4">
        <v>15</v>
      </c>
      <c r="N807" t="s">
        <v>26</v>
      </c>
      <c r="O807" s="4">
        <v>1000</v>
      </c>
      <c r="P807">
        <v>0</v>
      </c>
      <c r="Q807" s="4">
        <v>1000</v>
      </c>
      <c r="R807" s="12">
        <f t="shared" si="12"/>
        <v>15000</v>
      </c>
      <c r="U807" t="s">
        <v>690</v>
      </c>
      <c r="V807" s="4">
        <v>15</v>
      </c>
      <c r="W807">
        <v>0</v>
      </c>
    </row>
    <row r="808" spans="1:23" hidden="1" x14ac:dyDescent="0.25">
      <c r="A808" s="2">
        <v>45784.583518518521</v>
      </c>
      <c r="B808">
        <v>3832</v>
      </c>
      <c r="C808" t="s">
        <v>693</v>
      </c>
      <c r="D808" s="3">
        <v>45784</v>
      </c>
      <c r="E808" s="3">
        <v>46111</v>
      </c>
      <c r="F808" t="s">
        <v>112</v>
      </c>
      <c r="G808" t="s">
        <v>1493</v>
      </c>
      <c r="H808" t="s">
        <v>22</v>
      </c>
      <c r="I808" t="s">
        <v>38</v>
      </c>
      <c r="J808" t="s">
        <v>1491</v>
      </c>
      <c r="K808" t="s">
        <v>24</v>
      </c>
      <c r="L808" s="4">
        <v>42</v>
      </c>
      <c r="M808" t="s">
        <v>694</v>
      </c>
      <c r="N808" t="s">
        <v>26</v>
      </c>
      <c r="O808" s="4">
        <v>258</v>
      </c>
      <c r="P808">
        <v>0</v>
      </c>
      <c r="Q808" s="4">
        <v>258</v>
      </c>
      <c r="R808" s="12">
        <f t="shared" si="12"/>
        <v>10836</v>
      </c>
      <c r="T808" t="s">
        <v>68</v>
      </c>
      <c r="U808" t="s">
        <v>695</v>
      </c>
      <c r="V808" s="4">
        <v>42</v>
      </c>
      <c r="W808">
        <v>0</v>
      </c>
    </row>
    <row r="809" spans="1:23" hidden="1" x14ac:dyDescent="0.25">
      <c r="A809" s="2">
        <v>45784.583518518521</v>
      </c>
      <c r="B809">
        <v>3832</v>
      </c>
      <c r="C809" t="s">
        <v>693</v>
      </c>
      <c r="D809" s="3">
        <v>45784</v>
      </c>
      <c r="E809" s="3">
        <v>46111</v>
      </c>
      <c r="F809" t="s">
        <v>112</v>
      </c>
      <c r="H809" t="s">
        <v>22</v>
      </c>
      <c r="I809" t="s">
        <v>35</v>
      </c>
      <c r="J809" t="s">
        <v>1490</v>
      </c>
      <c r="K809" t="s">
        <v>24</v>
      </c>
      <c r="L809" s="4">
        <v>69</v>
      </c>
      <c r="M809" t="s">
        <v>694</v>
      </c>
      <c r="N809" t="s">
        <v>26</v>
      </c>
      <c r="O809" s="4">
        <v>200</v>
      </c>
      <c r="P809">
        <v>0</v>
      </c>
      <c r="Q809" s="4">
        <v>200</v>
      </c>
      <c r="R809" s="12">
        <f t="shared" si="12"/>
        <v>13800</v>
      </c>
      <c r="T809" t="s">
        <v>68</v>
      </c>
      <c r="U809" t="s">
        <v>695</v>
      </c>
      <c r="V809" s="4">
        <v>69</v>
      </c>
      <c r="W809">
        <v>0</v>
      </c>
    </row>
    <row r="810" spans="1:23" hidden="1" x14ac:dyDescent="0.25">
      <c r="A810" s="2">
        <v>45784.583518518521</v>
      </c>
      <c r="B810">
        <v>3832</v>
      </c>
      <c r="C810" t="s">
        <v>693</v>
      </c>
      <c r="D810" s="3">
        <v>45784</v>
      </c>
      <c r="E810" s="3">
        <v>46111</v>
      </c>
      <c r="F810" t="s">
        <v>112</v>
      </c>
      <c r="G810" t="s">
        <v>1493</v>
      </c>
      <c r="H810" t="s">
        <v>22</v>
      </c>
      <c r="I810" t="s">
        <v>41</v>
      </c>
      <c r="J810" t="s">
        <v>1491</v>
      </c>
      <c r="K810" t="s">
        <v>24</v>
      </c>
      <c r="L810" s="4">
        <v>296</v>
      </c>
      <c r="M810" t="s">
        <v>694</v>
      </c>
      <c r="N810" t="s">
        <v>26</v>
      </c>
      <c r="O810" s="4">
        <v>132</v>
      </c>
      <c r="P810">
        <v>0</v>
      </c>
      <c r="Q810" s="4">
        <v>132</v>
      </c>
      <c r="R810" s="12">
        <f t="shared" si="12"/>
        <v>39072</v>
      </c>
      <c r="T810" t="s">
        <v>68</v>
      </c>
      <c r="U810" t="s">
        <v>695</v>
      </c>
      <c r="V810" s="4">
        <v>296</v>
      </c>
      <c r="W810">
        <v>0</v>
      </c>
    </row>
    <row r="811" spans="1:23" hidden="1" x14ac:dyDescent="0.25">
      <c r="A811" s="2">
        <v>45784.583518518521</v>
      </c>
      <c r="B811">
        <v>3832</v>
      </c>
      <c r="C811" t="s">
        <v>693</v>
      </c>
      <c r="D811" s="3">
        <v>45784</v>
      </c>
      <c r="E811" s="3">
        <v>46111</v>
      </c>
      <c r="F811" t="s">
        <v>112</v>
      </c>
      <c r="G811" t="s">
        <v>1493</v>
      </c>
      <c r="H811" t="s">
        <v>22</v>
      </c>
      <c r="I811" t="s">
        <v>40</v>
      </c>
      <c r="J811" t="s">
        <v>1491</v>
      </c>
      <c r="K811" t="s">
        <v>24</v>
      </c>
      <c r="L811" s="4">
        <v>287</v>
      </c>
      <c r="M811" t="s">
        <v>694</v>
      </c>
      <c r="N811" t="s">
        <v>26</v>
      </c>
      <c r="O811" s="4">
        <v>132</v>
      </c>
      <c r="P811">
        <v>0</v>
      </c>
      <c r="Q811" s="4">
        <v>132</v>
      </c>
      <c r="R811" s="12">
        <f t="shared" si="12"/>
        <v>37884</v>
      </c>
      <c r="T811" t="s">
        <v>68</v>
      </c>
      <c r="U811" t="s">
        <v>695</v>
      </c>
      <c r="V811" s="4">
        <v>287</v>
      </c>
      <c r="W811">
        <v>0</v>
      </c>
    </row>
    <row r="812" spans="1:23" hidden="1" x14ac:dyDescent="0.25">
      <c r="A812" s="2">
        <v>45784.583518518521</v>
      </c>
      <c r="B812">
        <v>3832</v>
      </c>
      <c r="C812" t="s">
        <v>693</v>
      </c>
      <c r="D812" s="3">
        <v>45784</v>
      </c>
      <c r="E812" s="3">
        <v>46111</v>
      </c>
      <c r="F812" t="s">
        <v>112</v>
      </c>
      <c r="H812" t="s">
        <v>22</v>
      </c>
      <c r="I812" t="s">
        <v>96</v>
      </c>
      <c r="K812" t="s">
        <v>24</v>
      </c>
      <c r="L812" s="4">
        <v>69</v>
      </c>
      <c r="M812" t="s">
        <v>694</v>
      </c>
      <c r="N812" t="s">
        <v>26</v>
      </c>
      <c r="O812" s="4">
        <v>400</v>
      </c>
      <c r="P812">
        <v>0</v>
      </c>
      <c r="Q812" s="4">
        <v>400</v>
      </c>
      <c r="R812" s="12">
        <f t="shared" si="12"/>
        <v>27600</v>
      </c>
      <c r="T812" t="s">
        <v>68</v>
      </c>
      <c r="U812" t="s">
        <v>695</v>
      </c>
      <c r="V812" s="4">
        <v>69</v>
      </c>
      <c r="W812">
        <v>0</v>
      </c>
    </row>
    <row r="813" spans="1:23" hidden="1" x14ac:dyDescent="0.25">
      <c r="A813" s="2">
        <v>45784.583518518521</v>
      </c>
      <c r="B813">
        <v>3832</v>
      </c>
      <c r="C813" t="s">
        <v>693</v>
      </c>
      <c r="D813" s="3">
        <v>45784</v>
      </c>
      <c r="E813" s="3">
        <v>46111</v>
      </c>
      <c r="F813" t="s">
        <v>112</v>
      </c>
      <c r="G813" t="s">
        <v>1493</v>
      </c>
      <c r="H813" t="s">
        <v>22</v>
      </c>
      <c r="I813" t="s">
        <v>63</v>
      </c>
      <c r="J813" t="s">
        <v>1491</v>
      </c>
      <c r="K813" t="s">
        <v>31</v>
      </c>
      <c r="L813" s="4">
        <v>180</v>
      </c>
      <c r="M813" t="s">
        <v>694</v>
      </c>
      <c r="N813" t="s">
        <v>26</v>
      </c>
      <c r="O813" s="4">
        <v>260</v>
      </c>
      <c r="P813">
        <v>0</v>
      </c>
      <c r="Q813" s="4">
        <v>260</v>
      </c>
      <c r="R813" s="12">
        <f t="shared" si="12"/>
        <v>46800</v>
      </c>
      <c r="T813" t="s">
        <v>68</v>
      </c>
      <c r="U813" t="s">
        <v>695</v>
      </c>
      <c r="V813" s="4">
        <v>180</v>
      </c>
      <c r="W813">
        <v>0</v>
      </c>
    </row>
    <row r="814" spans="1:23" hidden="1" x14ac:dyDescent="0.25">
      <c r="A814" s="2">
        <v>45784.583518518521</v>
      </c>
      <c r="B814">
        <v>3832</v>
      </c>
      <c r="C814" t="s">
        <v>693</v>
      </c>
      <c r="D814" s="3">
        <v>45784</v>
      </c>
      <c r="E814" s="3">
        <v>46111</v>
      </c>
      <c r="F814" t="s">
        <v>112</v>
      </c>
      <c r="G814" t="s">
        <v>1493</v>
      </c>
      <c r="H814" t="s">
        <v>22</v>
      </c>
      <c r="I814" t="s">
        <v>43</v>
      </c>
      <c r="J814" t="s">
        <v>1491</v>
      </c>
      <c r="K814" t="s">
        <v>24</v>
      </c>
      <c r="L814" s="4">
        <v>43</v>
      </c>
      <c r="M814" t="s">
        <v>694</v>
      </c>
      <c r="N814" t="s">
        <v>26</v>
      </c>
      <c r="O814" s="4">
        <v>516</v>
      </c>
      <c r="P814">
        <v>0</v>
      </c>
      <c r="Q814" s="4">
        <v>516</v>
      </c>
      <c r="R814" s="12">
        <f t="shared" si="12"/>
        <v>22188</v>
      </c>
      <c r="T814" t="s">
        <v>68</v>
      </c>
      <c r="U814" t="s">
        <v>695</v>
      </c>
      <c r="V814" s="4">
        <v>43</v>
      </c>
      <c r="W814">
        <v>0</v>
      </c>
    </row>
    <row r="815" spans="1:23" hidden="1" x14ac:dyDescent="0.25">
      <c r="A815" s="2">
        <v>45784.583518518521</v>
      </c>
      <c r="B815">
        <v>3832</v>
      </c>
      <c r="C815" t="s">
        <v>693</v>
      </c>
      <c r="D815" s="3">
        <v>45784</v>
      </c>
      <c r="E815" s="3">
        <v>46111</v>
      </c>
      <c r="F815" t="s">
        <v>112</v>
      </c>
      <c r="H815" t="s">
        <v>22</v>
      </c>
      <c r="I815" t="s">
        <v>328</v>
      </c>
      <c r="K815" t="s">
        <v>24</v>
      </c>
      <c r="L815" s="4">
        <v>69</v>
      </c>
      <c r="M815" t="s">
        <v>694</v>
      </c>
      <c r="N815" t="s">
        <v>26</v>
      </c>
      <c r="O815" s="4">
        <v>800</v>
      </c>
      <c r="P815">
        <v>0</v>
      </c>
      <c r="Q815" s="4">
        <v>800</v>
      </c>
      <c r="R815" s="12">
        <f t="shared" si="12"/>
        <v>55200</v>
      </c>
      <c r="T815" t="s">
        <v>68</v>
      </c>
      <c r="U815" t="s">
        <v>695</v>
      </c>
      <c r="V815" s="4">
        <v>69</v>
      </c>
      <c r="W815">
        <v>0</v>
      </c>
    </row>
    <row r="816" spans="1:23" hidden="1" x14ac:dyDescent="0.25">
      <c r="A816" s="2">
        <v>45784.583518518521</v>
      </c>
      <c r="B816">
        <v>3832</v>
      </c>
      <c r="C816" t="s">
        <v>693</v>
      </c>
      <c r="D816" s="3">
        <v>45784</v>
      </c>
      <c r="E816" s="3">
        <v>46111</v>
      </c>
      <c r="F816" t="s">
        <v>112</v>
      </c>
      <c r="H816" t="s">
        <v>22</v>
      </c>
      <c r="I816" t="s">
        <v>36</v>
      </c>
      <c r="J816" t="s">
        <v>1490</v>
      </c>
      <c r="K816" t="s">
        <v>24</v>
      </c>
      <c r="L816" s="4">
        <v>69</v>
      </c>
      <c r="M816" t="s">
        <v>694</v>
      </c>
      <c r="N816" t="s">
        <v>26</v>
      </c>
      <c r="O816" s="4">
        <v>100</v>
      </c>
      <c r="P816">
        <v>0</v>
      </c>
      <c r="Q816" s="4">
        <v>100</v>
      </c>
      <c r="R816" s="12">
        <f t="shared" si="12"/>
        <v>6900</v>
      </c>
      <c r="T816" t="s">
        <v>68</v>
      </c>
      <c r="U816" t="s">
        <v>695</v>
      </c>
      <c r="V816" s="4">
        <v>69</v>
      </c>
      <c r="W816">
        <v>0</v>
      </c>
    </row>
    <row r="817" spans="1:23" hidden="1" x14ac:dyDescent="0.25">
      <c r="A817" s="2">
        <v>45901.372071759259</v>
      </c>
      <c r="B817">
        <v>4004</v>
      </c>
      <c r="C817" t="s">
        <v>693</v>
      </c>
      <c r="D817" s="3">
        <v>45901</v>
      </c>
      <c r="E817" s="3">
        <v>46111</v>
      </c>
      <c r="F817" t="s">
        <v>112</v>
      </c>
      <c r="G817" t="s">
        <v>1493</v>
      </c>
      <c r="H817" t="s">
        <v>22</v>
      </c>
      <c r="I817" t="s">
        <v>40</v>
      </c>
      <c r="J817" t="s">
        <v>1491</v>
      </c>
      <c r="K817" t="s">
        <v>24</v>
      </c>
      <c r="L817" s="4">
        <v>290</v>
      </c>
      <c r="M817" t="s">
        <v>696</v>
      </c>
      <c r="N817" t="s">
        <v>26</v>
      </c>
      <c r="O817" s="4">
        <v>73</v>
      </c>
      <c r="P817">
        <v>0</v>
      </c>
      <c r="Q817" s="4">
        <v>73</v>
      </c>
      <c r="R817" s="12">
        <f t="shared" si="12"/>
        <v>21170</v>
      </c>
      <c r="T817" t="s">
        <v>68</v>
      </c>
      <c r="U817" t="s">
        <v>695</v>
      </c>
      <c r="V817" s="4">
        <v>290</v>
      </c>
      <c r="W817">
        <v>0</v>
      </c>
    </row>
    <row r="818" spans="1:23" hidden="1" x14ac:dyDescent="0.25">
      <c r="A818" s="2">
        <v>45901.372071759259</v>
      </c>
      <c r="B818">
        <v>4004</v>
      </c>
      <c r="C818" t="s">
        <v>693</v>
      </c>
      <c r="D818" s="3">
        <v>45901</v>
      </c>
      <c r="E818" s="3">
        <v>46111</v>
      </c>
      <c r="F818" t="s">
        <v>112</v>
      </c>
      <c r="G818" t="s">
        <v>1493</v>
      </c>
      <c r="H818" t="s">
        <v>22</v>
      </c>
      <c r="I818" t="s">
        <v>41</v>
      </c>
      <c r="J818" t="s">
        <v>1491</v>
      </c>
      <c r="K818" t="s">
        <v>24</v>
      </c>
      <c r="L818" s="4">
        <v>296</v>
      </c>
      <c r="M818" t="s">
        <v>696</v>
      </c>
      <c r="N818" t="s">
        <v>26</v>
      </c>
      <c r="O818" s="4">
        <v>73</v>
      </c>
      <c r="P818">
        <v>0</v>
      </c>
      <c r="Q818" s="4">
        <v>73</v>
      </c>
      <c r="R818" s="12">
        <f t="shared" si="12"/>
        <v>21608</v>
      </c>
      <c r="T818" t="s">
        <v>68</v>
      </c>
      <c r="U818" t="s">
        <v>695</v>
      </c>
      <c r="V818" s="4">
        <v>296</v>
      </c>
      <c r="W818">
        <v>0</v>
      </c>
    </row>
    <row r="819" spans="1:23" hidden="1" x14ac:dyDescent="0.25">
      <c r="A819" s="2">
        <v>45944.325289351851</v>
      </c>
      <c r="B819">
        <v>4157</v>
      </c>
      <c r="C819" t="s">
        <v>693</v>
      </c>
      <c r="D819" s="3">
        <v>45944</v>
      </c>
      <c r="E819" s="3">
        <v>46111</v>
      </c>
      <c r="F819" t="s">
        <v>112</v>
      </c>
      <c r="H819" t="s">
        <v>22</v>
      </c>
      <c r="I819" t="s">
        <v>53</v>
      </c>
      <c r="K819" t="s">
        <v>24</v>
      </c>
      <c r="L819" s="4">
        <v>140</v>
      </c>
      <c r="M819" t="s">
        <v>697</v>
      </c>
      <c r="N819" t="s">
        <v>26</v>
      </c>
      <c r="O819" s="4">
        <v>11</v>
      </c>
      <c r="P819">
        <v>0</v>
      </c>
      <c r="Q819" s="4">
        <v>11</v>
      </c>
      <c r="R819" s="12">
        <f t="shared" si="12"/>
        <v>1540</v>
      </c>
      <c r="T819" t="s">
        <v>68</v>
      </c>
      <c r="U819" t="s">
        <v>695</v>
      </c>
      <c r="V819" s="4">
        <v>140</v>
      </c>
      <c r="W819">
        <v>0</v>
      </c>
    </row>
    <row r="820" spans="1:23" hidden="1" x14ac:dyDescent="0.25">
      <c r="A820" s="2">
        <v>45944.325289351851</v>
      </c>
      <c r="B820">
        <v>4157</v>
      </c>
      <c r="C820" t="s">
        <v>693</v>
      </c>
      <c r="D820" s="3">
        <v>45944</v>
      </c>
      <c r="E820" s="3">
        <v>46111</v>
      </c>
      <c r="F820" t="s">
        <v>112</v>
      </c>
      <c r="H820" t="s">
        <v>22</v>
      </c>
      <c r="I820" t="s">
        <v>672</v>
      </c>
      <c r="K820" t="s">
        <v>24</v>
      </c>
      <c r="L820" s="4">
        <v>110</v>
      </c>
      <c r="M820" t="s">
        <v>697</v>
      </c>
      <c r="N820" t="s">
        <v>26</v>
      </c>
      <c r="O820" s="4">
        <v>20</v>
      </c>
      <c r="P820">
        <v>0</v>
      </c>
      <c r="Q820" s="4">
        <v>20</v>
      </c>
      <c r="R820" s="12">
        <f t="shared" si="12"/>
        <v>2200</v>
      </c>
      <c r="T820" t="s">
        <v>68</v>
      </c>
      <c r="U820" t="s">
        <v>695</v>
      </c>
      <c r="V820" s="4">
        <v>110</v>
      </c>
      <c r="W820">
        <v>0</v>
      </c>
    </row>
    <row r="821" spans="1:23" hidden="1" x14ac:dyDescent="0.25">
      <c r="A821" s="2">
        <v>45947.604525462964</v>
      </c>
      <c r="B821">
        <v>4175</v>
      </c>
      <c r="C821" t="s">
        <v>693</v>
      </c>
      <c r="D821" s="3">
        <v>45947</v>
      </c>
      <c r="E821" s="3">
        <v>46111</v>
      </c>
      <c r="F821" t="s">
        <v>112</v>
      </c>
      <c r="G821" t="s">
        <v>1493</v>
      </c>
      <c r="H821" t="s">
        <v>22</v>
      </c>
      <c r="I821" t="s">
        <v>63</v>
      </c>
      <c r="J821" t="s">
        <v>1491</v>
      </c>
      <c r="K821" t="s">
        <v>31</v>
      </c>
      <c r="L821" s="4">
        <v>180</v>
      </c>
      <c r="M821" t="s">
        <v>698</v>
      </c>
      <c r="N821" t="s">
        <v>26</v>
      </c>
      <c r="O821" s="4">
        <v>15</v>
      </c>
      <c r="P821">
        <v>0</v>
      </c>
      <c r="Q821" s="4">
        <v>15</v>
      </c>
      <c r="R821" s="12">
        <f t="shared" si="12"/>
        <v>2700</v>
      </c>
      <c r="T821" t="s">
        <v>68</v>
      </c>
      <c r="U821" t="s">
        <v>695</v>
      </c>
      <c r="V821" s="4">
        <v>180</v>
      </c>
      <c r="W821">
        <v>0</v>
      </c>
    </row>
    <row r="822" spans="1:23" hidden="1" x14ac:dyDescent="0.25">
      <c r="A822" s="2">
        <v>45985.572106481479</v>
      </c>
      <c r="B822">
        <v>4295</v>
      </c>
      <c r="C822" t="s">
        <v>693</v>
      </c>
      <c r="D822" s="3">
        <v>45985</v>
      </c>
      <c r="E822" s="3">
        <v>46111</v>
      </c>
      <c r="F822" t="s">
        <v>112</v>
      </c>
      <c r="H822" t="s">
        <v>22</v>
      </c>
      <c r="I822" t="s">
        <v>131</v>
      </c>
      <c r="J822" t="s">
        <v>1490</v>
      </c>
      <c r="K822" t="s">
        <v>24</v>
      </c>
      <c r="L822" s="4">
        <v>200</v>
      </c>
      <c r="M822" t="s">
        <v>699</v>
      </c>
      <c r="N822" t="s">
        <v>26</v>
      </c>
      <c r="O822" s="4">
        <v>12</v>
      </c>
      <c r="P822">
        <v>0</v>
      </c>
      <c r="Q822" s="4">
        <v>12</v>
      </c>
      <c r="R822" s="12">
        <f t="shared" si="12"/>
        <v>2400</v>
      </c>
      <c r="T822" t="s">
        <v>68</v>
      </c>
      <c r="U822" t="s">
        <v>695</v>
      </c>
      <c r="V822" s="4">
        <v>200</v>
      </c>
      <c r="W822">
        <v>0</v>
      </c>
    </row>
    <row r="823" spans="1:23" hidden="1" x14ac:dyDescent="0.25">
      <c r="A823" s="2">
        <v>45994.33326388889</v>
      </c>
      <c r="B823">
        <v>4316</v>
      </c>
      <c r="C823" t="s">
        <v>693</v>
      </c>
      <c r="D823" s="3">
        <v>45993</v>
      </c>
      <c r="E823" s="3">
        <v>46264</v>
      </c>
      <c r="F823" t="s">
        <v>112</v>
      </c>
      <c r="H823" t="s">
        <v>22</v>
      </c>
      <c r="I823" t="s">
        <v>29</v>
      </c>
      <c r="J823" t="s">
        <v>1490</v>
      </c>
      <c r="K823" t="s">
        <v>24</v>
      </c>
      <c r="L823" s="4">
        <v>160</v>
      </c>
      <c r="M823" t="s">
        <v>700</v>
      </c>
      <c r="N823" t="s">
        <v>46</v>
      </c>
      <c r="O823" s="4">
        <v>820</v>
      </c>
      <c r="P823">
        <v>0</v>
      </c>
      <c r="Q823" s="4">
        <v>820</v>
      </c>
      <c r="R823" s="12">
        <f t="shared" si="12"/>
        <v>131200</v>
      </c>
      <c r="T823" t="s">
        <v>68</v>
      </c>
      <c r="U823" t="s">
        <v>695</v>
      </c>
      <c r="V823" s="4">
        <v>160</v>
      </c>
      <c r="W823">
        <v>0</v>
      </c>
    </row>
    <row r="824" spans="1:23" hidden="1" x14ac:dyDescent="0.25">
      <c r="A824" s="2">
        <v>45994.33326388889</v>
      </c>
      <c r="B824">
        <v>4316</v>
      </c>
      <c r="C824" t="s">
        <v>693</v>
      </c>
      <c r="D824" s="3">
        <v>45993</v>
      </c>
      <c r="E824" s="3">
        <v>46264</v>
      </c>
      <c r="F824" t="s">
        <v>112</v>
      </c>
      <c r="H824" t="s">
        <v>22</v>
      </c>
      <c r="I824" t="s">
        <v>35</v>
      </c>
      <c r="J824" t="s">
        <v>1490</v>
      </c>
      <c r="K824" t="s">
        <v>24</v>
      </c>
      <c r="L824" s="4">
        <v>65</v>
      </c>
      <c r="M824" t="s">
        <v>700</v>
      </c>
      <c r="N824" t="s">
        <v>46</v>
      </c>
      <c r="O824" s="4">
        <v>600</v>
      </c>
      <c r="P824">
        <v>0</v>
      </c>
      <c r="Q824" s="4">
        <v>600</v>
      </c>
      <c r="R824" s="12">
        <f t="shared" si="12"/>
        <v>39000</v>
      </c>
      <c r="T824" t="s">
        <v>68</v>
      </c>
      <c r="U824" t="s">
        <v>695</v>
      </c>
      <c r="V824" s="4">
        <v>65</v>
      </c>
      <c r="W824">
        <v>0</v>
      </c>
    </row>
    <row r="825" spans="1:23" hidden="1" x14ac:dyDescent="0.25">
      <c r="A825" s="2">
        <v>45994.33326388889</v>
      </c>
      <c r="B825">
        <v>4316</v>
      </c>
      <c r="C825" t="s">
        <v>693</v>
      </c>
      <c r="D825" s="3">
        <v>45993</v>
      </c>
      <c r="E825" s="3">
        <v>46264</v>
      </c>
      <c r="F825" t="s">
        <v>112</v>
      </c>
      <c r="H825" t="s">
        <v>22</v>
      </c>
      <c r="I825" t="s">
        <v>36</v>
      </c>
      <c r="J825" t="s">
        <v>1490</v>
      </c>
      <c r="K825" t="s">
        <v>24</v>
      </c>
      <c r="L825" s="4">
        <v>65</v>
      </c>
      <c r="M825" t="s">
        <v>700</v>
      </c>
      <c r="N825" t="s">
        <v>46</v>
      </c>
      <c r="O825" s="4">
        <v>400</v>
      </c>
      <c r="P825">
        <v>0</v>
      </c>
      <c r="Q825" s="4">
        <v>400</v>
      </c>
      <c r="R825" s="12">
        <f t="shared" si="12"/>
        <v>26000</v>
      </c>
      <c r="T825" t="s">
        <v>68</v>
      </c>
      <c r="U825" t="s">
        <v>695</v>
      </c>
      <c r="V825" s="4">
        <v>65</v>
      </c>
      <c r="W825">
        <v>0</v>
      </c>
    </row>
    <row r="826" spans="1:23" hidden="1" x14ac:dyDescent="0.25">
      <c r="A826" s="2">
        <v>45994.33326388889</v>
      </c>
      <c r="B826">
        <v>4316</v>
      </c>
      <c r="C826" t="s">
        <v>693</v>
      </c>
      <c r="D826" s="3">
        <v>45993</v>
      </c>
      <c r="E826" s="3">
        <v>46264</v>
      </c>
      <c r="F826" t="s">
        <v>112</v>
      </c>
      <c r="H826" t="s">
        <v>22</v>
      </c>
      <c r="I826" t="s">
        <v>30</v>
      </c>
      <c r="J826" t="s">
        <v>1490</v>
      </c>
      <c r="K826" t="s">
        <v>31</v>
      </c>
      <c r="L826" s="4">
        <v>20</v>
      </c>
      <c r="M826" t="s">
        <v>700</v>
      </c>
      <c r="N826" t="s">
        <v>46</v>
      </c>
      <c r="O826" s="4">
        <v>5490</v>
      </c>
      <c r="P826">
        <v>0</v>
      </c>
      <c r="Q826" s="4">
        <v>5490</v>
      </c>
      <c r="R826" s="12">
        <f t="shared" si="12"/>
        <v>109800</v>
      </c>
      <c r="T826" t="s">
        <v>68</v>
      </c>
      <c r="U826" t="s">
        <v>695</v>
      </c>
      <c r="V826" s="4">
        <v>20</v>
      </c>
      <c r="W826">
        <v>0</v>
      </c>
    </row>
    <row r="827" spans="1:23" hidden="1" x14ac:dyDescent="0.25">
      <c r="A827" s="2">
        <v>45994.33326388889</v>
      </c>
      <c r="B827">
        <v>4316</v>
      </c>
      <c r="C827" t="s">
        <v>693</v>
      </c>
      <c r="D827" s="3">
        <v>45993</v>
      </c>
      <c r="E827" s="3">
        <v>46264</v>
      </c>
      <c r="F827" t="s">
        <v>112</v>
      </c>
      <c r="H827" t="s">
        <v>22</v>
      </c>
      <c r="I827" t="s">
        <v>600</v>
      </c>
      <c r="K827" t="s">
        <v>24</v>
      </c>
      <c r="L827" s="4">
        <v>98</v>
      </c>
      <c r="M827" t="s">
        <v>700</v>
      </c>
      <c r="N827" t="s">
        <v>46</v>
      </c>
      <c r="O827" s="4">
        <v>404</v>
      </c>
      <c r="P827">
        <v>0</v>
      </c>
      <c r="Q827" s="4">
        <v>404</v>
      </c>
      <c r="R827" s="12">
        <f t="shared" si="12"/>
        <v>39592</v>
      </c>
      <c r="T827" t="s">
        <v>68</v>
      </c>
      <c r="U827" t="s">
        <v>695</v>
      </c>
      <c r="V827" s="4">
        <v>98</v>
      </c>
      <c r="W827">
        <v>0</v>
      </c>
    </row>
    <row r="828" spans="1:23" hidden="1" x14ac:dyDescent="0.25">
      <c r="A828" s="2">
        <v>45994.33326388889</v>
      </c>
      <c r="B828">
        <v>4316</v>
      </c>
      <c r="C828" t="s">
        <v>693</v>
      </c>
      <c r="D828" s="3">
        <v>45993</v>
      </c>
      <c r="E828" s="3">
        <v>46264</v>
      </c>
      <c r="F828" t="s">
        <v>112</v>
      </c>
      <c r="G828" t="s">
        <v>1493</v>
      </c>
      <c r="H828" t="s">
        <v>22</v>
      </c>
      <c r="I828" t="s">
        <v>38</v>
      </c>
      <c r="J828" t="s">
        <v>1491</v>
      </c>
      <c r="K828" t="s">
        <v>24</v>
      </c>
      <c r="L828" s="4">
        <v>52</v>
      </c>
      <c r="M828" t="s">
        <v>700</v>
      </c>
      <c r="N828" t="s">
        <v>46</v>
      </c>
      <c r="O828" s="4">
        <v>213</v>
      </c>
      <c r="P828">
        <v>0</v>
      </c>
      <c r="Q828" s="4">
        <v>213</v>
      </c>
      <c r="R828" s="12">
        <f t="shared" si="12"/>
        <v>11076</v>
      </c>
      <c r="T828" t="s">
        <v>68</v>
      </c>
      <c r="U828" t="s">
        <v>695</v>
      </c>
      <c r="V828" s="4">
        <v>52</v>
      </c>
      <c r="W828">
        <v>0</v>
      </c>
    </row>
    <row r="829" spans="1:23" hidden="1" x14ac:dyDescent="0.25">
      <c r="A829" s="2">
        <v>46021.456342592595</v>
      </c>
      <c r="B829">
        <v>4394</v>
      </c>
      <c r="C829" t="s">
        <v>693</v>
      </c>
      <c r="D829" s="3">
        <v>46009</v>
      </c>
      <c r="E829" s="3">
        <v>46264</v>
      </c>
      <c r="F829" t="s">
        <v>112</v>
      </c>
      <c r="G829" t="s">
        <v>1493</v>
      </c>
      <c r="H829" t="s">
        <v>22</v>
      </c>
      <c r="I829" t="s">
        <v>63</v>
      </c>
      <c r="J829" t="s">
        <v>1491</v>
      </c>
      <c r="K829" t="s">
        <v>31</v>
      </c>
      <c r="L829" s="4">
        <v>180.5</v>
      </c>
      <c r="M829" t="s">
        <v>701</v>
      </c>
      <c r="N829" t="s">
        <v>46</v>
      </c>
      <c r="O829" s="4">
        <v>258</v>
      </c>
      <c r="P829">
        <v>0</v>
      </c>
      <c r="Q829" s="4">
        <v>258</v>
      </c>
      <c r="R829" s="12">
        <f t="shared" si="12"/>
        <v>46569</v>
      </c>
      <c r="T829" t="s">
        <v>68</v>
      </c>
      <c r="U829" t="s">
        <v>695</v>
      </c>
      <c r="V829" s="4">
        <v>180.5</v>
      </c>
      <c r="W829">
        <v>0</v>
      </c>
    </row>
    <row r="830" spans="1:23" hidden="1" x14ac:dyDescent="0.25">
      <c r="A830" s="2">
        <v>46021.456342592595</v>
      </c>
      <c r="B830">
        <v>4394</v>
      </c>
      <c r="C830" t="s">
        <v>693</v>
      </c>
      <c r="D830" s="3">
        <v>46009</v>
      </c>
      <c r="E830" s="3">
        <v>46264</v>
      </c>
      <c r="F830" t="s">
        <v>112</v>
      </c>
      <c r="H830" t="s">
        <v>22</v>
      </c>
      <c r="I830" t="s">
        <v>72</v>
      </c>
      <c r="J830" t="s">
        <v>1490</v>
      </c>
      <c r="K830" t="s">
        <v>24</v>
      </c>
      <c r="L830" s="4">
        <v>880</v>
      </c>
      <c r="M830" t="s">
        <v>701</v>
      </c>
      <c r="N830" t="s">
        <v>46</v>
      </c>
      <c r="O830" s="4">
        <v>25</v>
      </c>
      <c r="P830">
        <v>0</v>
      </c>
      <c r="Q830" s="4">
        <v>25</v>
      </c>
      <c r="R830" s="12">
        <f t="shared" si="12"/>
        <v>22000</v>
      </c>
      <c r="T830" t="s">
        <v>68</v>
      </c>
      <c r="U830" t="s">
        <v>695</v>
      </c>
      <c r="V830" s="4">
        <v>880</v>
      </c>
      <c r="W830">
        <v>0</v>
      </c>
    </row>
    <row r="831" spans="1:23" hidden="1" x14ac:dyDescent="0.25">
      <c r="A831" s="2">
        <v>46021.456342592595</v>
      </c>
      <c r="B831">
        <v>4394</v>
      </c>
      <c r="C831" t="s">
        <v>693</v>
      </c>
      <c r="D831" s="3">
        <v>46009</v>
      </c>
      <c r="E831" s="3">
        <v>46264</v>
      </c>
      <c r="F831" t="s">
        <v>112</v>
      </c>
      <c r="G831" t="s">
        <v>1493</v>
      </c>
      <c r="H831" t="s">
        <v>22</v>
      </c>
      <c r="I831" t="s">
        <v>38</v>
      </c>
      <c r="J831" t="s">
        <v>1491</v>
      </c>
      <c r="K831" t="s">
        <v>24</v>
      </c>
      <c r="L831" s="4">
        <v>52</v>
      </c>
      <c r="M831" t="s">
        <v>701</v>
      </c>
      <c r="N831" t="s">
        <v>46</v>
      </c>
      <c r="O831" s="4">
        <v>147</v>
      </c>
      <c r="P831">
        <v>0</v>
      </c>
      <c r="Q831" s="4">
        <v>147</v>
      </c>
      <c r="R831" s="12">
        <f t="shared" si="12"/>
        <v>7644</v>
      </c>
      <c r="T831" t="s">
        <v>68</v>
      </c>
      <c r="U831" t="s">
        <v>695</v>
      </c>
      <c r="V831" s="4">
        <v>52</v>
      </c>
      <c r="W831">
        <v>0</v>
      </c>
    </row>
    <row r="832" spans="1:23" hidden="1" x14ac:dyDescent="0.25">
      <c r="A832" s="2">
        <v>46021.456342592595</v>
      </c>
      <c r="B832">
        <v>4394</v>
      </c>
      <c r="C832" t="s">
        <v>693</v>
      </c>
      <c r="D832" s="3">
        <v>46009</v>
      </c>
      <c r="E832" s="3">
        <v>46264</v>
      </c>
      <c r="F832" t="s">
        <v>112</v>
      </c>
      <c r="G832" t="s">
        <v>1493</v>
      </c>
      <c r="H832" t="s">
        <v>22</v>
      </c>
      <c r="I832" t="s">
        <v>41</v>
      </c>
      <c r="J832" t="s">
        <v>1491</v>
      </c>
      <c r="K832" t="s">
        <v>24</v>
      </c>
      <c r="L832" s="4">
        <v>310</v>
      </c>
      <c r="M832" t="s">
        <v>701</v>
      </c>
      <c r="N832" t="s">
        <v>46</v>
      </c>
      <c r="O832" s="4">
        <v>73</v>
      </c>
      <c r="P832">
        <v>0</v>
      </c>
      <c r="Q832" s="4">
        <v>73</v>
      </c>
      <c r="R832" s="12">
        <f t="shared" si="12"/>
        <v>22630</v>
      </c>
      <c r="T832" t="s">
        <v>68</v>
      </c>
      <c r="U832" t="s">
        <v>695</v>
      </c>
      <c r="V832" s="4">
        <v>310</v>
      </c>
      <c r="W832">
        <v>0</v>
      </c>
    </row>
    <row r="833" spans="1:23" hidden="1" x14ac:dyDescent="0.25">
      <c r="A833" s="2">
        <v>46021.456342592595</v>
      </c>
      <c r="B833">
        <v>4394</v>
      </c>
      <c r="C833" t="s">
        <v>693</v>
      </c>
      <c r="D833" s="3">
        <v>46009</v>
      </c>
      <c r="E833" s="3">
        <v>46264</v>
      </c>
      <c r="F833" t="s">
        <v>112</v>
      </c>
      <c r="G833" t="s">
        <v>1493</v>
      </c>
      <c r="H833" t="s">
        <v>22</v>
      </c>
      <c r="I833" t="s">
        <v>40</v>
      </c>
      <c r="J833" t="s">
        <v>1491</v>
      </c>
      <c r="K833" t="s">
        <v>24</v>
      </c>
      <c r="L833" s="4">
        <v>310</v>
      </c>
      <c r="M833" t="s">
        <v>701</v>
      </c>
      <c r="N833" t="s">
        <v>46</v>
      </c>
      <c r="O833" s="4">
        <v>73</v>
      </c>
      <c r="P833">
        <v>0</v>
      </c>
      <c r="Q833" s="4">
        <v>73</v>
      </c>
      <c r="R833" s="12">
        <f t="shared" si="12"/>
        <v>22630</v>
      </c>
      <c r="T833" t="s">
        <v>68</v>
      </c>
      <c r="U833" t="s">
        <v>695</v>
      </c>
      <c r="V833" s="4">
        <v>310</v>
      </c>
      <c r="W833">
        <v>0</v>
      </c>
    </row>
    <row r="834" spans="1:23" hidden="1" x14ac:dyDescent="0.25">
      <c r="A834" s="2">
        <v>46021.456342592595</v>
      </c>
      <c r="B834">
        <v>4394</v>
      </c>
      <c r="C834" t="s">
        <v>693</v>
      </c>
      <c r="D834" s="3">
        <v>46009</v>
      </c>
      <c r="E834" s="3">
        <v>46264</v>
      </c>
      <c r="F834" t="s">
        <v>112</v>
      </c>
      <c r="G834" t="s">
        <v>1493</v>
      </c>
      <c r="H834" t="s">
        <v>22</v>
      </c>
      <c r="I834" t="s">
        <v>44</v>
      </c>
      <c r="J834" t="s">
        <v>1491</v>
      </c>
      <c r="K834" t="s">
        <v>31</v>
      </c>
      <c r="L834" s="4">
        <v>370</v>
      </c>
      <c r="M834" t="s">
        <v>701</v>
      </c>
      <c r="N834" t="s">
        <v>46</v>
      </c>
      <c r="O834" s="4">
        <v>73</v>
      </c>
      <c r="P834">
        <v>0</v>
      </c>
      <c r="Q834" s="4">
        <v>73</v>
      </c>
      <c r="R834" s="12">
        <f t="shared" si="12"/>
        <v>27010</v>
      </c>
      <c r="T834" t="s">
        <v>68</v>
      </c>
      <c r="U834" t="s">
        <v>695</v>
      </c>
      <c r="V834" s="4">
        <v>370</v>
      </c>
      <c r="W834">
        <v>0</v>
      </c>
    </row>
    <row r="835" spans="1:23" hidden="1" x14ac:dyDescent="0.25">
      <c r="A835" s="2">
        <v>46028.585011574076</v>
      </c>
      <c r="B835">
        <v>4410</v>
      </c>
      <c r="C835" t="s">
        <v>693</v>
      </c>
      <c r="D835" s="3">
        <v>46028</v>
      </c>
      <c r="E835" s="3">
        <v>46264</v>
      </c>
      <c r="F835" t="s">
        <v>112</v>
      </c>
      <c r="H835" t="s">
        <v>22</v>
      </c>
      <c r="I835" t="s">
        <v>672</v>
      </c>
      <c r="K835" t="s">
        <v>24</v>
      </c>
      <c r="L835" s="4">
        <v>110</v>
      </c>
      <c r="M835" t="s">
        <v>702</v>
      </c>
      <c r="N835" t="s">
        <v>46</v>
      </c>
      <c r="O835" s="4">
        <v>15</v>
      </c>
      <c r="P835">
        <v>0</v>
      </c>
      <c r="Q835" s="4">
        <v>15</v>
      </c>
      <c r="R835" s="12">
        <f t="shared" ref="R835:R898" si="13">Q835*L835</f>
        <v>1650</v>
      </c>
      <c r="T835" t="s">
        <v>68</v>
      </c>
      <c r="U835" t="s">
        <v>695</v>
      </c>
      <c r="V835" s="4">
        <v>110</v>
      </c>
      <c r="W835">
        <v>0</v>
      </c>
    </row>
    <row r="836" spans="1:23" hidden="1" x14ac:dyDescent="0.25">
      <c r="A836" s="2">
        <v>46028.585011574076</v>
      </c>
      <c r="B836">
        <v>4410</v>
      </c>
      <c r="C836" t="s">
        <v>693</v>
      </c>
      <c r="D836" s="3">
        <v>46028</v>
      </c>
      <c r="E836" s="3">
        <v>46264</v>
      </c>
      <c r="F836" t="s">
        <v>112</v>
      </c>
      <c r="H836" t="s">
        <v>22</v>
      </c>
      <c r="I836" t="s">
        <v>131</v>
      </c>
      <c r="J836" t="s">
        <v>1490</v>
      </c>
      <c r="K836" t="s">
        <v>24</v>
      </c>
      <c r="L836" s="4">
        <v>200</v>
      </c>
      <c r="M836" t="s">
        <v>702</v>
      </c>
      <c r="N836" t="s">
        <v>46</v>
      </c>
      <c r="O836" s="4">
        <v>24</v>
      </c>
      <c r="P836">
        <v>0</v>
      </c>
      <c r="Q836" s="4">
        <v>24</v>
      </c>
      <c r="R836" s="12">
        <f t="shared" si="13"/>
        <v>4800</v>
      </c>
      <c r="T836" t="s">
        <v>68</v>
      </c>
      <c r="U836" t="s">
        <v>695</v>
      </c>
      <c r="V836" s="4">
        <v>200</v>
      </c>
      <c r="W836">
        <v>0</v>
      </c>
    </row>
    <row r="837" spans="1:23" hidden="1" x14ac:dyDescent="0.25">
      <c r="A837" s="2">
        <v>46043.381747685184</v>
      </c>
      <c r="B837">
        <v>4473</v>
      </c>
      <c r="C837" t="s">
        <v>693</v>
      </c>
      <c r="D837" s="3">
        <v>46043</v>
      </c>
      <c r="E837" s="3">
        <v>46264</v>
      </c>
      <c r="F837" t="s">
        <v>112</v>
      </c>
      <c r="H837" t="s">
        <v>22</v>
      </c>
      <c r="I837" t="s">
        <v>672</v>
      </c>
      <c r="K837" t="s">
        <v>24</v>
      </c>
      <c r="L837" s="4">
        <v>110</v>
      </c>
      <c r="M837" t="s">
        <v>703</v>
      </c>
      <c r="N837" t="s">
        <v>46</v>
      </c>
      <c r="O837" s="4">
        <v>20</v>
      </c>
      <c r="P837">
        <v>0</v>
      </c>
      <c r="Q837" s="4">
        <v>20</v>
      </c>
      <c r="R837" s="12">
        <f t="shared" si="13"/>
        <v>2200</v>
      </c>
      <c r="T837" t="s">
        <v>68</v>
      </c>
      <c r="U837" t="s">
        <v>695</v>
      </c>
      <c r="V837" s="4">
        <v>110</v>
      </c>
      <c r="W837">
        <v>0</v>
      </c>
    </row>
    <row r="838" spans="1:23" hidden="1" x14ac:dyDescent="0.25">
      <c r="A838" s="2">
        <v>46043.381747685184</v>
      </c>
      <c r="B838">
        <v>4473</v>
      </c>
      <c r="C838" t="s">
        <v>693</v>
      </c>
      <c r="D838" s="3">
        <v>46043</v>
      </c>
      <c r="E838" s="3">
        <v>46264</v>
      </c>
      <c r="F838" t="s">
        <v>112</v>
      </c>
      <c r="H838" t="s">
        <v>22</v>
      </c>
      <c r="I838" t="s">
        <v>131</v>
      </c>
      <c r="J838" t="s">
        <v>1490</v>
      </c>
      <c r="K838" t="s">
        <v>24</v>
      </c>
      <c r="L838" s="4">
        <v>200</v>
      </c>
      <c r="M838" t="s">
        <v>703</v>
      </c>
      <c r="N838" t="s">
        <v>46</v>
      </c>
      <c r="O838" s="4">
        <v>12</v>
      </c>
      <c r="P838">
        <v>0</v>
      </c>
      <c r="Q838" s="4">
        <v>12</v>
      </c>
      <c r="R838" s="12">
        <f t="shared" si="13"/>
        <v>2400</v>
      </c>
      <c r="T838" t="s">
        <v>68</v>
      </c>
      <c r="U838" t="s">
        <v>695</v>
      </c>
      <c r="V838" s="4">
        <v>200</v>
      </c>
      <c r="W838">
        <v>0</v>
      </c>
    </row>
    <row r="839" spans="1:23" hidden="1" x14ac:dyDescent="0.25">
      <c r="A839" s="2">
        <v>46065.463958333334</v>
      </c>
      <c r="B839">
        <v>4557</v>
      </c>
      <c r="C839" t="s">
        <v>693</v>
      </c>
      <c r="D839" s="3">
        <v>46065</v>
      </c>
      <c r="E839" s="3">
        <v>46264</v>
      </c>
      <c r="F839" t="s">
        <v>112</v>
      </c>
      <c r="G839" t="s">
        <v>1493</v>
      </c>
      <c r="H839" t="s">
        <v>22</v>
      </c>
      <c r="I839" t="s">
        <v>63</v>
      </c>
      <c r="J839" t="s">
        <v>1491</v>
      </c>
      <c r="K839" t="s">
        <v>31</v>
      </c>
      <c r="L839" s="4">
        <v>180.5</v>
      </c>
      <c r="M839" t="s">
        <v>704</v>
      </c>
      <c r="N839" t="s">
        <v>46</v>
      </c>
      <c r="O839" s="4">
        <v>20</v>
      </c>
      <c r="P839">
        <v>0</v>
      </c>
      <c r="Q839" s="4">
        <v>20</v>
      </c>
      <c r="R839" s="12">
        <f t="shared" si="13"/>
        <v>3610</v>
      </c>
      <c r="T839" t="s">
        <v>68</v>
      </c>
      <c r="U839" t="s">
        <v>695</v>
      </c>
      <c r="V839" s="4">
        <v>180.5</v>
      </c>
      <c r="W839">
        <v>0</v>
      </c>
    </row>
    <row r="840" spans="1:23" hidden="1" x14ac:dyDescent="0.25">
      <c r="A840" s="2">
        <v>45796.361805555556</v>
      </c>
      <c r="B840">
        <v>3848</v>
      </c>
      <c r="C840" t="s">
        <v>705</v>
      </c>
      <c r="D840" s="3">
        <v>45786</v>
      </c>
      <c r="E840" s="3">
        <v>46142</v>
      </c>
      <c r="F840" t="s">
        <v>103</v>
      </c>
      <c r="H840" t="s">
        <v>22</v>
      </c>
      <c r="I840" t="s">
        <v>328</v>
      </c>
      <c r="K840" t="s">
        <v>24</v>
      </c>
      <c r="L840" s="4">
        <v>68</v>
      </c>
      <c r="M840" t="s">
        <v>706</v>
      </c>
      <c r="N840" t="s">
        <v>26</v>
      </c>
      <c r="O840" s="4">
        <v>500</v>
      </c>
      <c r="P840">
        <v>0</v>
      </c>
      <c r="Q840" s="4">
        <v>500</v>
      </c>
      <c r="R840" s="12">
        <f t="shared" si="13"/>
        <v>34000</v>
      </c>
      <c r="T840" t="s">
        <v>145</v>
      </c>
      <c r="U840" t="s">
        <v>707</v>
      </c>
      <c r="V840" s="4">
        <v>68</v>
      </c>
      <c r="W840">
        <v>0</v>
      </c>
    </row>
    <row r="841" spans="1:23" hidden="1" x14ac:dyDescent="0.25">
      <c r="A841" s="2">
        <v>45901.332488425927</v>
      </c>
      <c r="B841">
        <v>278</v>
      </c>
      <c r="C841" t="s">
        <v>708</v>
      </c>
      <c r="D841" s="3">
        <v>45901</v>
      </c>
      <c r="E841" s="3">
        <v>46142</v>
      </c>
      <c r="F841" t="s">
        <v>66</v>
      </c>
      <c r="G841" t="s">
        <v>1494</v>
      </c>
      <c r="H841" t="s">
        <v>484</v>
      </c>
      <c r="I841" t="s">
        <v>63</v>
      </c>
      <c r="J841" t="s">
        <v>1491</v>
      </c>
      <c r="K841" t="s">
        <v>31</v>
      </c>
      <c r="L841" s="4">
        <v>230</v>
      </c>
      <c r="M841" t="s">
        <v>709</v>
      </c>
      <c r="N841" t="s">
        <v>26</v>
      </c>
      <c r="O841" s="4">
        <v>52</v>
      </c>
      <c r="P841">
        <v>0</v>
      </c>
      <c r="Q841" s="4">
        <v>52</v>
      </c>
      <c r="R841" s="12">
        <f t="shared" si="13"/>
        <v>11960</v>
      </c>
      <c r="T841" t="s">
        <v>486</v>
      </c>
      <c r="U841" t="s">
        <v>710</v>
      </c>
      <c r="V841" s="4">
        <v>230</v>
      </c>
      <c r="W841">
        <v>0</v>
      </c>
    </row>
    <row r="842" spans="1:23" hidden="1" x14ac:dyDescent="0.25">
      <c r="A842" s="2">
        <v>46014.620717592596</v>
      </c>
      <c r="B842">
        <v>466</v>
      </c>
      <c r="C842" t="s">
        <v>708</v>
      </c>
      <c r="D842" s="3">
        <v>46014</v>
      </c>
      <c r="E842" s="3">
        <v>46264</v>
      </c>
      <c r="F842" t="s">
        <v>66</v>
      </c>
      <c r="H842" t="s">
        <v>484</v>
      </c>
      <c r="I842" t="s">
        <v>30</v>
      </c>
      <c r="J842" t="s">
        <v>1490</v>
      </c>
      <c r="K842" t="s">
        <v>31</v>
      </c>
      <c r="L842" s="4">
        <v>23</v>
      </c>
      <c r="M842" t="s">
        <v>711</v>
      </c>
      <c r="N842" t="s">
        <v>46</v>
      </c>
      <c r="O842" s="4">
        <v>200</v>
      </c>
      <c r="P842">
        <v>0</v>
      </c>
      <c r="Q842" s="4">
        <v>200</v>
      </c>
      <c r="R842" s="12">
        <f t="shared" si="13"/>
        <v>4600</v>
      </c>
      <c r="T842" t="s">
        <v>486</v>
      </c>
      <c r="U842" t="s">
        <v>710</v>
      </c>
      <c r="V842" s="4">
        <v>23</v>
      </c>
      <c r="W842">
        <v>0</v>
      </c>
    </row>
    <row r="843" spans="1:23" hidden="1" x14ac:dyDescent="0.25">
      <c r="A843" s="2">
        <v>46014.620717592596</v>
      </c>
      <c r="B843">
        <v>466</v>
      </c>
      <c r="C843" t="s">
        <v>708</v>
      </c>
      <c r="D843" s="3">
        <v>46014</v>
      </c>
      <c r="E843" s="3">
        <v>46264</v>
      </c>
      <c r="F843" t="s">
        <v>66</v>
      </c>
      <c r="G843" t="s">
        <v>1494</v>
      </c>
      <c r="H843" t="s">
        <v>484</v>
      </c>
      <c r="I843" t="s">
        <v>38</v>
      </c>
      <c r="J843" t="s">
        <v>1491</v>
      </c>
      <c r="K843" t="s">
        <v>24</v>
      </c>
      <c r="L843" s="4">
        <v>60</v>
      </c>
      <c r="M843" t="s">
        <v>711</v>
      </c>
      <c r="N843" t="s">
        <v>46</v>
      </c>
      <c r="O843" s="4">
        <v>21</v>
      </c>
      <c r="P843">
        <v>0</v>
      </c>
      <c r="Q843" s="4">
        <v>21</v>
      </c>
      <c r="R843" s="12">
        <f t="shared" si="13"/>
        <v>1260</v>
      </c>
      <c r="T843" t="s">
        <v>486</v>
      </c>
      <c r="U843" t="s">
        <v>710</v>
      </c>
      <c r="V843" s="4">
        <v>60</v>
      </c>
      <c r="W843">
        <v>0</v>
      </c>
    </row>
    <row r="844" spans="1:23" hidden="1" x14ac:dyDescent="0.25">
      <c r="A844" s="2">
        <v>46014.620717592596</v>
      </c>
      <c r="B844">
        <v>466</v>
      </c>
      <c r="C844" t="s">
        <v>708</v>
      </c>
      <c r="D844" s="3">
        <v>46014</v>
      </c>
      <c r="E844" s="3">
        <v>46264</v>
      </c>
      <c r="F844" t="s">
        <v>66</v>
      </c>
      <c r="G844" t="s">
        <v>1494</v>
      </c>
      <c r="H844" t="s">
        <v>484</v>
      </c>
      <c r="I844" t="s">
        <v>63</v>
      </c>
      <c r="J844" t="s">
        <v>1491</v>
      </c>
      <c r="K844" t="s">
        <v>31</v>
      </c>
      <c r="L844" s="4">
        <v>230</v>
      </c>
      <c r="M844" t="s">
        <v>711</v>
      </c>
      <c r="N844" t="s">
        <v>46</v>
      </c>
      <c r="O844" s="4">
        <v>32</v>
      </c>
      <c r="P844">
        <v>0</v>
      </c>
      <c r="Q844" s="4">
        <v>32</v>
      </c>
      <c r="R844" s="12">
        <f t="shared" si="13"/>
        <v>7360</v>
      </c>
      <c r="T844" t="s">
        <v>486</v>
      </c>
      <c r="U844" t="s">
        <v>710</v>
      </c>
      <c r="V844" s="4">
        <v>230</v>
      </c>
      <c r="W844">
        <v>0</v>
      </c>
    </row>
    <row r="845" spans="1:23" hidden="1" x14ac:dyDescent="0.25">
      <c r="A845" s="2">
        <v>45936.668645833335</v>
      </c>
      <c r="B845">
        <v>4127</v>
      </c>
      <c r="C845" t="s">
        <v>712</v>
      </c>
      <c r="D845" s="3">
        <v>45936</v>
      </c>
      <c r="E845" s="3">
        <v>45936</v>
      </c>
      <c r="F845" t="s">
        <v>79</v>
      </c>
      <c r="H845" t="s">
        <v>22</v>
      </c>
      <c r="I845" t="s">
        <v>80</v>
      </c>
      <c r="K845" t="s">
        <v>31</v>
      </c>
      <c r="L845" s="4">
        <v>36</v>
      </c>
      <c r="M845" t="s">
        <v>713</v>
      </c>
      <c r="N845" t="s">
        <v>26</v>
      </c>
      <c r="O845" s="4">
        <v>105</v>
      </c>
      <c r="P845">
        <v>0</v>
      </c>
      <c r="Q845" s="4">
        <v>105</v>
      </c>
      <c r="R845" s="12">
        <f t="shared" si="13"/>
        <v>3780</v>
      </c>
      <c r="T845" t="s">
        <v>714</v>
      </c>
      <c r="U845" t="s">
        <v>715</v>
      </c>
      <c r="V845" s="4">
        <v>36</v>
      </c>
      <c r="W845">
        <v>0</v>
      </c>
    </row>
    <row r="846" spans="1:23" hidden="1" x14ac:dyDescent="0.25">
      <c r="A846" s="2">
        <v>45803.570763888885</v>
      </c>
      <c r="B846">
        <v>225</v>
      </c>
      <c r="C846" t="s">
        <v>716</v>
      </c>
      <c r="D846" s="3">
        <v>45803</v>
      </c>
      <c r="E846" s="3">
        <v>46142</v>
      </c>
      <c r="F846" t="s">
        <v>66</v>
      </c>
      <c r="H846" t="s">
        <v>22</v>
      </c>
      <c r="I846" t="s">
        <v>717</v>
      </c>
      <c r="K846" t="s">
        <v>24</v>
      </c>
      <c r="L846" s="4">
        <v>184</v>
      </c>
      <c r="M846" t="s">
        <v>718</v>
      </c>
      <c r="N846" t="s">
        <v>26</v>
      </c>
      <c r="O846" s="4">
        <v>400</v>
      </c>
      <c r="P846">
        <v>0</v>
      </c>
      <c r="Q846" s="4">
        <v>400</v>
      </c>
      <c r="R846" s="12">
        <f t="shared" si="13"/>
        <v>73600</v>
      </c>
      <c r="T846" t="s">
        <v>117</v>
      </c>
      <c r="U846" t="s">
        <v>719</v>
      </c>
      <c r="V846" s="4">
        <v>184</v>
      </c>
      <c r="W846">
        <v>0</v>
      </c>
    </row>
    <row r="847" spans="1:23" hidden="1" x14ac:dyDescent="0.25">
      <c r="A847" s="2">
        <v>46029.308194444442</v>
      </c>
      <c r="B847">
        <v>479</v>
      </c>
      <c r="C847" t="s">
        <v>716</v>
      </c>
      <c r="D847" s="3">
        <v>46029</v>
      </c>
      <c r="E847" s="3">
        <v>46264</v>
      </c>
      <c r="F847" t="s">
        <v>66</v>
      </c>
      <c r="G847" t="s">
        <v>1494</v>
      </c>
      <c r="H847" t="s">
        <v>22</v>
      </c>
      <c r="I847" t="s">
        <v>41</v>
      </c>
      <c r="J847" t="s">
        <v>1491</v>
      </c>
      <c r="K847" t="s">
        <v>24</v>
      </c>
      <c r="L847" s="4">
        <v>320</v>
      </c>
      <c r="M847" t="s">
        <v>720</v>
      </c>
      <c r="N847" t="s">
        <v>46</v>
      </c>
      <c r="O847" s="4">
        <v>75</v>
      </c>
      <c r="P847">
        <v>0</v>
      </c>
      <c r="Q847" s="4">
        <v>75</v>
      </c>
      <c r="R847" s="12">
        <f t="shared" si="13"/>
        <v>24000</v>
      </c>
      <c r="T847" t="s">
        <v>117</v>
      </c>
      <c r="U847" t="s">
        <v>719</v>
      </c>
      <c r="V847" s="4">
        <v>320</v>
      </c>
      <c r="W847">
        <v>0</v>
      </c>
    </row>
    <row r="848" spans="1:23" hidden="1" x14ac:dyDescent="0.25">
      <c r="A848" s="2">
        <v>46029.308194444442</v>
      </c>
      <c r="B848">
        <v>479</v>
      </c>
      <c r="C848" t="s">
        <v>716</v>
      </c>
      <c r="D848" s="3">
        <v>46029</v>
      </c>
      <c r="E848" s="3">
        <v>46264</v>
      </c>
      <c r="F848" t="s">
        <v>66</v>
      </c>
      <c r="G848" t="s">
        <v>1494</v>
      </c>
      <c r="H848" t="s">
        <v>22</v>
      </c>
      <c r="I848" t="s">
        <v>92</v>
      </c>
      <c r="J848" t="s">
        <v>1491</v>
      </c>
      <c r="K848" t="s">
        <v>31</v>
      </c>
      <c r="L848" s="4">
        <v>346</v>
      </c>
      <c r="M848" t="s">
        <v>720</v>
      </c>
      <c r="N848" t="s">
        <v>46</v>
      </c>
      <c r="O848" s="4">
        <v>60</v>
      </c>
      <c r="P848">
        <v>0</v>
      </c>
      <c r="Q848" s="4">
        <v>60</v>
      </c>
      <c r="R848" s="12">
        <f t="shared" si="13"/>
        <v>20760</v>
      </c>
      <c r="T848" t="s">
        <v>117</v>
      </c>
      <c r="U848" t="s">
        <v>719</v>
      </c>
      <c r="V848" s="4">
        <v>346</v>
      </c>
      <c r="W848">
        <v>0</v>
      </c>
    </row>
    <row r="849" spans="1:23" hidden="1" x14ac:dyDescent="0.25">
      <c r="A849" s="2">
        <v>46029.308194444442</v>
      </c>
      <c r="B849">
        <v>479</v>
      </c>
      <c r="C849" t="s">
        <v>716</v>
      </c>
      <c r="D849" s="3">
        <v>46029</v>
      </c>
      <c r="E849" s="3">
        <v>46264</v>
      </c>
      <c r="F849" t="s">
        <v>66</v>
      </c>
      <c r="H849" t="s">
        <v>22</v>
      </c>
      <c r="I849" t="s">
        <v>207</v>
      </c>
      <c r="K849" t="s">
        <v>24</v>
      </c>
      <c r="L849" s="4">
        <v>410</v>
      </c>
      <c r="M849" t="s">
        <v>720</v>
      </c>
      <c r="N849" t="s">
        <v>46</v>
      </c>
      <c r="O849" s="4">
        <v>35</v>
      </c>
      <c r="P849">
        <v>0</v>
      </c>
      <c r="Q849" s="4">
        <v>35</v>
      </c>
      <c r="R849" s="12">
        <f t="shared" si="13"/>
        <v>14350</v>
      </c>
      <c r="T849" t="s">
        <v>117</v>
      </c>
      <c r="U849" t="s">
        <v>719</v>
      </c>
      <c r="V849" s="4">
        <v>410</v>
      </c>
      <c r="W849">
        <v>0</v>
      </c>
    </row>
    <row r="850" spans="1:23" hidden="1" x14ac:dyDescent="0.25">
      <c r="A850" s="2">
        <v>46029.308194444442</v>
      </c>
      <c r="B850">
        <v>479</v>
      </c>
      <c r="C850" t="s">
        <v>716</v>
      </c>
      <c r="D850" s="3">
        <v>46029</v>
      </c>
      <c r="E850" s="3">
        <v>46264</v>
      </c>
      <c r="F850" t="s">
        <v>66</v>
      </c>
      <c r="G850" t="s">
        <v>1494</v>
      </c>
      <c r="H850" t="s">
        <v>22</v>
      </c>
      <c r="I850" t="s">
        <v>40</v>
      </c>
      <c r="J850" t="s">
        <v>1491</v>
      </c>
      <c r="K850" t="s">
        <v>24</v>
      </c>
      <c r="L850" s="4">
        <v>320</v>
      </c>
      <c r="M850" t="s">
        <v>720</v>
      </c>
      <c r="N850" t="s">
        <v>46</v>
      </c>
      <c r="O850" s="4">
        <v>75</v>
      </c>
      <c r="P850">
        <v>0</v>
      </c>
      <c r="Q850" s="4">
        <v>75</v>
      </c>
      <c r="R850" s="12">
        <f t="shared" si="13"/>
        <v>24000</v>
      </c>
      <c r="T850" t="s">
        <v>117</v>
      </c>
      <c r="U850" t="s">
        <v>719</v>
      </c>
      <c r="V850" s="4">
        <v>320</v>
      </c>
      <c r="W850">
        <v>0</v>
      </c>
    </row>
    <row r="851" spans="1:23" hidden="1" x14ac:dyDescent="0.25">
      <c r="A851" s="2">
        <v>46032.490520833337</v>
      </c>
      <c r="B851">
        <v>492</v>
      </c>
      <c r="C851" t="s">
        <v>716</v>
      </c>
      <c r="D851" s="3">
        <v>46032</v>
      </c>
      <c r="E851" s="3">
        <v>46264</v>
      </c>
      <c r="F851" t="s">
        <v>66</v>
      </c>
      <c r="G851" t="s">
        <v>1494</v>
      </c>
      <c r="H851" t="s">
        <v>22</v>
      </c>
      <c r="I851" t="s">
        <v>92</v>
      </c>
      <c r="J851" t="s">
        <v>1491</v>
      </c>
      <c r="K851" t="s">
        <v>31</v>
      </c>
      <c r="L851" s="4">
        <v>346</v>
      </c>
      <c r="M851" t="s">
        <v>721</v>
      </c>
      <c r="N851" t="s">
        <v>46</v>
      </c>
      <c r="O851" s="4">
        <v>33</v>
      </c>
      <c r="P851">
        <v>0</v>
      </c>
      <c r="Q851" s="4">
        <v>33</v>
      </c>
      <c r="R851" s="12">
        <f t="shared" si="13"/>
        <v>11418</v>
      </c>
      <c r="T851" t="s">
        <v>117</v>
      </c>
      <c r="U851" t="s">
        <v>719</v>
      </c>
      <c r="V851" s="4">
        <v>346</v>
      </c>
      <c r="W851">
        <v>0</v>
      </c>
    </row>
    <row r="852" spans="1:23" hidden="1" x14ac:dyDescent="0.25">
      <c r="A852" s="2">
        <v>46037.364652777775</v>
      </c>
      <c r="B852">
        <v>501</v>
      </c>
      <c r="C852" t="s">
        <v>716</v>
      </c>
      <c r="D852" s="3">
        <v>46037</v>
      </c>
      <c r="E852" s="3">
        <v>46264</v>
      </c>
      <c r="F852" t="s">
        <v>66</v>
      </c>
      <c r="G852" t="s">
        <v>1494</v>
      </c>
      <c r="H852" t="s">
        <v>22</v>
      </c>
      <c r="I852" t="s">
        <v>41</v>
      </c>
      <c r="J852" t="s">
        <v>1491</v>
      </c>
      <c r="K852" t="s">
        <v>24</v>
      </c>
      <c r="L852" s="4">
        <v>320</v>
      </c>
      <c r="M852" t="s">
        <v>722</v>
      </c>
      <c r="N852" t="s">
        <v>46</v>
      </c>
      <c r="O852" s="4">
        <v>6</v>
      </c>
      <c r="P852">
        <v>0</v>
      </c>
      <c r="Q852" s="4">
        <v>6</v>
      </c>
      <c r="R852" s="12">
        <f t="shared" si="13"/>
        <v>1920</v>
      </c>
      <c r="T852" t="s">
        <v>117</v>
      </c>
      <c r="U852" t="s">
        <v>719</v>
      </c>
      <c r="V852" s="4">
        <v>320</v>
      </c>
      <c r="W852">
        <v>0</v>
      </c>
    </row>
    <row r="853" spans="1:23" hidden="1" x14ac:dyDescent="0.25">
      <c r="A853" s="2">
        <v>46037.364652777775</v>
      </c>
      <c r="B853">
        <v>501</v>
      </c>
      <c r="C853" t="s">
        <v>716</v>
      </c>
      <c r="D853" s="3">
        <v>46037</v>
      </c>
      <c r="E853" s="3">
        <v>46264</v>
      </c>
      <c r="F853" t="s">
        <v>66</v>
      </c>
      <c r="G853" t="s">
        <v>1494</v>
      </c>
      <c r="H853" t="s">
        <v>22</v>
      </c>
      <c r="I853" t="s">
        <v>40</v>
      </c>
      <c r="J853" t="s">
        <v>1491</v>
      </c>
      <c r="K853" t="s">
        <v>24</v>
      </c>
      <c r="L853" s="4">
        <v>320</v>
      </c>
      <c r="M853" t="s">
        <v>722</v>
      </c>
      <c r="N853" t="s">
        <v>46</v>
      </c>
      <c r="O853" s="4">
        <v>6</v>
      </c>
      <c r="P853">
        <v>0</v>
      </c>
      <c r="Q853" s="4">
        <v>6</v>
      </c>
      <c r="R853" s="12">
        <f t="shared" si="13"/>
        <v>1920</v>
      </c>
      <c r="T853" t="s">
        <v>117</v>
      </c>
      <c r="U853" t="s">
        <v>719</v>
      </c>
      <c r="V853" s="4">
        <v>320</v>
      </c>
      <c r="W853">
        <v>0</v>
      </c>
    </row>
    <row r="854" spans="1:23" hidden="1" x14ac:dyDescent="0.25">
      <c r="A854" s="2">
        <v>46037.364652777775</v>
      </c>
      <c r="B854">
        <v>501</v>
      </c>
      <c r="C854" t="s">
        <v>716</v>
      </c>
      <c r="D854" s="3">
        <v>46037</v>
      </c>
      <c r="E854" s="3">
        <v>46264</v>
      </c>
      <c r="F854" t="s">
        <v>66</v>
      </c>
      <c r="G854" t="s">
        <v>1494</v>
      </c>
      <c r="H854" t="s">
        <v>22</v>
      </c>
      <c r="I854" t="s">
        <v>38</v>
      </c>
      <c r="J854" t="s">
        <v>1491</v>
      </c>
      <c r="K854" t="s">
        <v>24</v>
      </c>
      <c r="L854" s="4">
        <v>50</v>
      </c>
      <c r="M854" t="s">
        <v>722</v>
      </c>
      <c r="N854" t="s">
        <v>46</v>
      </c>
      <c r="O854" s="4">
        <v>243</v>
      </c>
      <c r="P854">
        <v>0</v>
      </c>
      <c r="Q854" s="4">
        <v>243</v>
      </c>
      <c r="R854" s="12">
        <f t="shared" si="13"/>
        <v>12150</v>
      </c>
      <c r="T854" t="s">
        <v>117</v>
      </c>
      <c r="U854" t="s">
        <v>719</v>
      </c>
      <c r="V854" s="4">
        <v>50</v>
      </c>
      <c r="W854">
        <v>0</v>
      </c>
    </row>
    <row r="855" spans="1:23" hidden="1" x14ac:dyDescent="0.25">
      <c r="A855" s="2">
        <v>45905.585092592592</v>
      </c>
      <c r="B855">
        <v>284</v>
      </c>
      <c r="C855" t="s">
        <v>723</v>
      </c>
      <c r="D855" s="3">
        <v>45905</v>
      </c>
      <c r="E855" s="3">
        <v>46142</v>
      </c>
      <c r="F855" t="s">
        <v>418</v>
      </c>
      <c r="G855" t="s">
        <v>1494</v>
      </c>
      <c r="H855" t="s">
        <v>22</v>
      </c>
      <c r="I855" t="s">
        <v>44</v>
      </c>
      <c r="J855" t="s">
        <v>1491</v>
      </c>
      <c r="K855" t="s">
        <v>31</v>
      </c>
      <c r="L855" s="4">
        <v>390</v>
      </c>
      <c r="M855" t="s">
        <v>724</v>
      </c>
      <c r="N855" t="s">
        <v>26</v>
      </c>
      <c r="O855" s="4">
        <v>100</v>
      </c>
      <c r="P855">
        <v>0</v>
      </c>
      <c r="Q855" s="4">
        <v>100</v>
      </c>
      <c r="R855" s="12">
        <f t="shared" si="13"/>
        <v>39000</v>
      </c>
      <c r="T855" t="s">
        <v>55</v>
      </c>
      <c r="U855" t="s">
        <v>725</v>
      </c>
      <c r="V855" s="4">
        <v>390</v>
      </c>
      <c r="W855">
        <v>0</v>
      </c>
    </row>
    <row r="856" spans="1:23" hidden="1" x14ac:dyDescent="0.25">
      <c r="A856" s="2">
        <v>45946.607719907406</v>
      </c>
      <c r="B856">
        <v>356</v>
      </c>
      <c r="C856" t="s">
        <v>723</v>
      </c>
      <c r="D856" s="3">
        <v>45946</v>
      </c>
      <c r="E856" s="3">
        <v>46142</v>
      </c>
      <c r="F856" t="s">
        <v>418</v>
      </c>
      <c r="H856" t="s">
        <v>22</v>
      </c>
      <c r="I856" t="s">
        <v>57</v>
      </c>
      <c r="K856" t="s">
        <v>31</v>
      </c>
      <c r="L856" s="4">
        <v>80</v>
      </c>
      <c r="M856" t="s">
        <v>726</v>
      </c>
      <c r="N856" t="s">
        <v>26</v>
      </c>
      <c r="O856" s="4">
        <v>8</v>
      </c>
      <c r="P856">
        <v>0</v>
      </c>
      <c r="Q856" s="4">
        <v>8</v>
      </c>
      <c r="R856" s="12">
        <f t="shared" si="13"/>
        <v>640</v>
      </c>
      <c r="T856" t="s">
        <v>55</v>
      </c>
      <c r="U856" t="s">
        <v>725</v>
      </c>
      <c r="V856" s="4">
        <v>80</v>
      </c>
      <c r="W856">
        <v>0</v>
      </c>
    </row>
    <row r="857" spans="1:23" hidden="1" x14ac:dyDescent="0.25">
      <c r="A857" s="2">
        <v>45946.607719907406</v>
      </c>
      <c r="B857">
        <v>356</v>
      </c>
      <c r="C857" t="s">
        <v>723</v>
      </c>
      <c r="D857" s="3">
        <v>45946</v>
      </c>
      <c r="E857" s="3">
        <v>46142</v>
      </c>
      <c r="F857" t="s">
        <v>418</v>
      </c>
      <c r="H857" t="s">
        <v>22</v>
      </c>
      <c r="I857" t="s">
        <v>672</v>
      </c>
      <c r="K857" t="s">
        <v>24</v>
      </c>
      <c r="L857" s="4">
        <v>1680</v>
      </c>
      <c r="M857" t="s">
        <v>726</v>
      </c>
      <c r="N857" t="s">
        <v>26</v>
      </c>
      <c r="O857" s="4">
        <v>10</v>
      </c>
      <c r="P857">
        <v>0</v>
      </c>
      <c r="Q857" s="4">
        <v>10</v>
      </c>
      <c r="R857" s="12">
        <f t="shared" si="13"/>
        <v>16800</v>
      </c>
      <c r="T857" t="s">
        <v>55</v>
      </c>
      <c r="U857" t="s">
        <v>725</v>
      </c>
      <c r="V857" s="4">
        <v>1680</v>
      </c>
      <c r="W857">
        <v>0</v>
      </c>
    </row>
    <row r="858" spans="1:23" hidden="1" x14ac:dyDescent="0.25">
      <c r="A858" s="2">
        <v>45957.411805555559</v>
      </c>
      <c r="B858">
        <v>386</v>
      </c>
      <c r="C858" t="s">
        <v>723</v>
      </c>
      <c r="D858" s="3">
        <v>45957</v>
      </c>
      <c r="E858" s="3">
        <v>46264</v>
      </c>
      <c r="F858" t="s">
        <v>418</v>
      </c>
      <c r="H858" t="s">
        <v>22</v>
      </c>
      <c r="I858" t="s">
        <v>72</v>
      </c>
      <c r="J858" t="s">
        <v>1490</v>
      </c>
      <c r="K858" t="s">
        <v>24</v>
      </c>
      <c r="L858" s="4">
        <v>1000</v>
      </c>
      <c r="M858" t="s">
        <v>727</v>
      </c>
      <c r="N858" t="s">
        <v>46</v>
      </c>
      <c r="O858" s="4">
        <v>5</v>
      </c>
      <c r="P858">
        <v>0</v>
      </c>
      <c r="Q858" s="4">
        <v>5</v>
      </c>
      <c r="R858" s="12">
        <f t="shared" si="13"/>
        <v>5000</v>
      </c>
      <c r="T858" t="s">
        <v>55</v>
      </c>
      <c r="U858" t="s">
        <v>725</v>
      </c>
      <c r="V858" s="4">
        <v>1000</v>
      </c>
      <c r="W858">
        <v>0</v>
      </c>
    </row>
    <row r="859" spans="1:23" hidden="1" x14ac:dyDescent="0.25">
      <c r="A859" s="2">
        <v>45957.411805555559</v>
      </c>
      <c r="B859">
        <v>386</v>
      </c>
      <c r="C859" t="s">
        <v>723</v>
      </c>
      <c r="D859" s="3">
        <v>45957</v>
      </c>
      <c r="E859" s="3">
        <v>46264</v>
      </c>
      <c r="F859" t="s">
        <v>418</v>
      </c>
      <c r="G859" t="s">
        <v>1494</v>
      </c>
      <c r="H859" t="s">
        <v>22</v>
      </c>
      <c r="I859" t="s">
        <v>38</v>
      </c>
      <c r="J859" t="s">
        <v>1491</v>
      </c>
      <c r="K859" t="s">
        <v>24</v>
      </c>
      <c r="L859" s="4">
        <v>53</v>
      </c>
      <c r="M859" t="s">
        <v>727</v>
      </c>
      <c r="N859" t="s">
        <v>46</v>
      </c>
      <c r="O859" s="4">
        <v>180</v>
      </c>
      <c r="P859">
        <v>0</v>
      </c>
      <c r="Q859" s="4">
        <v>180</v>
      </c>
      <c r="R859" s="12">
        <f t="shared" si="13"/>
        <v>9540</v>
      </c>
      <c r="T859" t="s">
        <v>55</v>
      </c>
      <c r="U859" t="s">
        <v>725</v>
      </c>
      <c r="V859" s="4">
        <v>53</v>
      </c>
      <c r="W859">
        <v>0</v>
      </c>
    </row>
    <row r="860" spans="1:23" hidden="1" x14ac:dyDescent="0.25">
      <c r="A860" s="2">
        <v>45957.411805555559</v>
      </c>
      <c r="B860">
        <v>386</v>
      </c>
      <c r="C860" t="s">
        <v>723</v>
      </c>
      <c r="D860" s="3">
        <v>45957</v>
      </c>
      <c r="E860" s="3">
        <v>46264</v>
      </c>
      <c r="F860" t="s">
        <v>418</v>
      </c>
      <c r="G860" t="s">
        <v>1494</v>
      </c>
      <c r="H860" t="s">
        <v>22</v>
      </c>
      <c r="I860" t="s">
        <v>63</v>
      </c>
      <c r="J860" t="s">
        <v>1491</v>
      </c>
      <c r="K860" t="s">
        <v>31</v>
      </c>
      <c r="L860" s="4">
        <v>195</v>
      </c>
      <c r="M860" t="s">
        <v>727</v>
      </c>
      <c r="N860" t="s">
        <v>46</v>
      </c>
      <c r="O860" s="4">
        <v>140</v>
      </c>
      <c r="P860">
        <v>0</v>
      </c>
      <c r="Q860" s="4">
        <v>140</v>
      </c>
      <c r="R860" s="12">
        <f t="shared" si="13"/>
        <v>27300</v>
      </c>
      <c r="T860" t="s">
        <v>55</v>
      </c>
      <c r="U860" t="s">
        <v>725</v>
      </c>
      <c r="V860" s="4">
        <v>195</v>
      </c>
      <c r="W860">
        <v>0</v>
      </c>
    </row>
    <row r="861" spans="1:23" hidden="1" x14ac:dyDescent="0.25">
      <c r="A861" s="2">
        <v>45957.411805555559</v>
      </c>
      <c r="B861">
        <v>386</v>
      </c>
      <c r="C861" t="s">
        <v>723</v>
      </c>
      <c r="D861" s="3">
        <v>45957</v>
      </c>
      <c r="E861" s="3">
        <v>46264</v>
      </c>
      <c r="F861" t="s">
        <v>418</v>
      </c>
      <c r="G861" t="s">
        <v>1494</v>
      </c>
      <c r="H861" t="s">
        <v>22</v>
      </c>
      <c r="I861" t="s">
        <v>41</v>
      </c>
      <c r="J861" t="s">
        <v>1491</v>
      </c>
      <c r="K861" t="s">
        <v>24</v>
      </c>
      <c r="L861" s="4">
        <v>345</v>
      </c>
      <c r="M861" t="s">
        <v>727</v>
      </c>
      <c r="N861" t="s">
        <v>46</v>
      </c>
      <c r="O861" s="4">
        <v>70</v>
      </c>
      <c r="P861">
        <v>0</v>
      </c>
      <c r="Q861" s="4">
        <v>70</v>
      </c>
      <c r="R861" s="12">
        <f t="shared" si="13"/>
        <v>24150</v>
      </c>
      <c r="T861" t="s">
        <v>55</v>
      </c>
      <c r="U861" t="s">
        <v>725</v>
      </c>
      <c r="V861" s="4">
        <v>345</v>
      </c>
      <c r="W861">
        <v>0</v>
      </c>
    </row>
    <row r="862" spans="1:23" hidden="1" x14ac:dyDescent="0.25">
      <c r="A862" s="2">
        <v>45957.411805555559</v>
      </c>
      <c r="B862">
        <v>386</v>
      </c>
      <c r="C862" t="s">
        <v>723</v>
      </c>
      <c r="D862" s="3">
        <v>45957</v>
      </c>
      <c r="E862" s="3">
        <v>46264</v>
      </c>
      <c r="F862" t="s">
        <v>418</v>
      </c>
      <c r="G862" t="s">
        <v>1494</v>
      </c>
      <c r="H862" t="s">
        <v>22</v>
      </c>
      <c r="I862" t="s">
        <v>40</v>
      </c>
      <c r="J862" t="s">
        <v>1491</v>
      </c>
      <c r="K862" t="s">
        <v>24</v>
      </c>
      <c r="L862" s="4">
        <v>345</v>
      </c>
      <c r="M862" t="s">
        <v>727</v>
      </c>
      <c r="N862" t="s">
        <v>46</v>
      </c>
      <c r="O862" s="4">
        <v>35</v>
      </c>
      <c r="P862">
        <v>0</v>
      </c>
      <c r="Q862" s="4">
        <v>35</v>
      </c>
      <c r="R862" s="12">
        <f t="shared" si="13"/>
        <v>12075</v>
      </c>
      <c r="T862" t="s">
        <v>55</v>
      </c>
      <c r="U862" t="s">
        <v>725</v>
      </c>
      <c r="V862" s="4">
        <v>345</v>
      </c>
      <c r="W862">
        <v>0</v>
      </c>
    </row>
    <row r="863" spans="1:23" hidden="1" x14ac:dyDescent="0.25">
      <c r="A863" s="2">
        <v>45957.411805555559</v>
      </c>
      <c r="B863">
        <v>386</v>
      </c>
      <c r="C863" t="s">
        <v>723</v>
      </c>
      <c r="D863" s="3">
        <v>45957</v>
      </c>
      <c r="E863" s="3">
        <v>46264</v>
      </c>
      <c r="F863" t="s">
        <v>418</v>
      </c>
      <c r="H863" t="s">
        <v>22</v>
      </c>
      <c r="I863" t="s">
        <v>42</v>
      </c>
      <c r="J863" t="s">
        <v>1490</v>
      </c>
      <c r="K863" t="s">
        <v>24</v>
      </c>
      <c r="L863" s="4">
        <v>235</v>
      </c>
      <c r="M863" t="s">
        <v>727</v>
      </c>
      <c r="N863" t="s">
        <v>46</v>
      </c>
      <c r="O863" s="4">
        <v>20</v>
      </c>
      <c r="P863">
        <v>0</v>
      </c>
      <c r="Q863" s="4">
        <v>20</v>
      </c>
      <c r="R863" s="12">
        <f t="shared" si="13"/>
        <v>4700</v>
      </c>
      <c r="T863" t="s">
        <v>55</v>
      </c>
      <c r="U863" t="s">
        <v>725</v>
      </c>
      <c r="V863" s="4">
        <v>235</v>
      </c>
      <c r="W863">
        <v>0</v>
      </c>
    </row>
    <row r="864" spans="1:23" hidden="1" x14ac:dyDescent="0.25">
      <c r="A864" s="2">
        <v>46048.647488425922</v>
      </c>
      <c r="B864">
        <v>515</v>
      </c>
      <c r="C864" t="s">
        <v>723</v>
      </c>
      <c r="D864" s="3">
        <v>46048</v>
      </c>
      <c r="E864" s="3">
        <v>46264</v>
      </c>
      <c r="F864" t="s">
        <v>418</v>
      </c>
      <c r="G864" t="s">
        <v>1494</v>
      </c>
      <c r="H864" t="s">
        <v>22</v>
      </c>
      <c r="I864" t="s">
        <v>41</v>
      </c>
      <c r="J864" t="s">
        <v>1491</v>
      </c>
      <c r="K864" t="s">
        <v>24</v>
      </c>
      <c r="L864" s="4">
        <v>345</v>
      </c>
      <c r="M864" t="s">
        <v>728</v>
      </c>
      <c r="N864" t="s">
        <v>46</v>
      </c>
      <c r="O864" s="4">
        <v>12</v>
      </c>
      <c r="P864">
        <v>0</v>
      </c>
      <c r="Q864" s="4">
        <v>12</v>
      </c>
      <c r="R864" s="12">
        <f t="shared" si="13"/>
        <v>4140</v>
      </c>
      <c r="T864" t="s">
        <v>55</v>
      </c>
      <c r="U864" t="s">
        <v>725</v>
      </c>
      <c r="V864" s="4">
        <v>345</v>
      </c>
      <c r="W864">
        <v>0</v>
      </c>
    </row>
    <row r="865" spans="1:23" hidden="1" x14ac:dyDescent="0.25">
      <c r="A865" s="2">
        <v>46048.647488425922</v>
      </c>
      <c r="B865">
        <v>515</v>
      </c>
      <c r="C865" t="s">
        <v>723</v>
      </c>
      <c r="D865" s="3">
        <v>46048</v>
      </c>
      <c r="E865" s="3">
        <v>46264</v>
      </c>
      <c r="F865" t="s">
        <v>418</v>
      </c>
      <c r="G865" t="s">
        <v>1494</v>
      </c>
      <c r="H865" t="s">
        <v>22</v>
      </c>
      <c r="I865" t="s">
        <v>40</v>
      </c>
      <c r="J865" t="s">
        <v>1491</v>
      </c>
      <c r="K865" t="s">
        <v>24</v>
      </c>
      <c r="L865" s="4">
        <v>345</v>
      </c>
      <c r="M865" t="s">
        <v>728</v>
      </c>
      <c r="N865" t="s">
        <v>46</v>
      </c>
      <c r="O865" s="4">
        <v>12</v>
      </c>
      <c r="P865">
        <v>0</v>
      </c>
      <c r="Q865" s="4">
        <v>12</v>
      </c>
      <c r="R865" s="12">
        <f t="shared" si="13"/>
        <v>4140</v>
      </c>
      <c r="T865" t="s">
        <v>55</v>
      </c>
      <c r="U865" t="s">
        <v>725</v>
      </c>
      <c r="V865" s="4">
        <v>345</v>
      </c>
      <c r="W865">
        <v>0</v>
      </c>
    </row>
    <row r="866" spans="1:23" hidden="1" x14ac:dyDescent="0.25">
      <c r="A866" s="2">
        <v>46055.775092592594</v>
      </c>
      <c r="B866">
        <v>524</v>
      </c>
      <c r="C866" t="s">
        <v>723</v>
      </c>
      <c r="D866" s="3">
        <v>46055</v>
      </c>
      <c r="E866" s="3">
        <v>46264</v>
      </c>
      <c r="F866" t="s">
        <v>418</v>
      </c>
      <c r="G866" t="s">
        <v>1494</v>
      </c>
      <c r="H866" t="s">
        <v>22</v>
      </c>
      <c r="I866" t="s">
        <v>41</v>
      </c>
      <c r="J866" t="s">
        <v>1491</v>
      </c>
      <c r="K866" t="s">
        <v>24</v>
      </c>
      <c r="L866" s="4">
        <v>345</v>
      </c>
      <c r="M866" t="s">
        <v>729</v>
      </c>
      <c r="N866" t="s">
        <v>46</v>
      </c>
      <c r="O866" s="4">
        <v>12</v>
      </c>
      <c r="P866">
        <v>0</v>
      </c>
      <c r="Q866" s="4">
        <v>12</v>
      </c>
      <c r="R866" s="12">
        <f t="shared" si="13"/>
        <v>4140</v>
      </c>
      <c r="T866" t="s">
        <v>55</v>
      </c>
      <c r="U866" t="s">
        <v>725</v>
      </c>
      <c r="V866" s="4">
        <v>345</v>
      </c>
      <c r="W866">
        <v>0</v>
      </c>
    </row>
    <row r="867" spans="1:23" hidden="1" x14ac:dyDescent="0.25">
      <c r="A867" s="2">
        <v>46055.775092592594</v>
      </c>
      <c r="B867">
        <v>524</v>
      </c>
      <c r="C867" t="s">
        <v>723</v>
      </c>
      <c r="D867" s="3">
        <v>46055</v>
      </c>
      <c r="E867" s="3">
        <v>46264</v>
      </c>
      <c r="F867" t="s">
        <v>418</v>
      </c>
      <c r="G867" t="s">
        <v>1494</v>
      </c>
      <c r="H867" t="s">
        <v>22</v>
      </c>
      <c r="I867" t="s">
        <v>40</v>
      </c>
      <c r="J867" t="s">
        <v>1491</v>
      </c>
      <c r="K867" t="s">
        <v>24</v>
      </c>
      <c r="L867" s="4">
        <v>345</v>
      </c>
      <c r="M867" t="s">
        <v>729</v>
      </c>
      <c r="N867" t="s">
        <v>46</v>
      </c>
      <c r="O867" s="4">
        <v>12</v>
      </c>
      <c r="P867">
        <v>0</v>
      </c>
      <c r="Q867" s="4">
        <v>12</v>
      </c>
      <c r="R867" s="12">
        <f t="shared" si="13"/>
        <v>4140</v>
      </c>
      <c r="T867" t="s">
        <v>55</v>
      </c>
      <c r="U867" t="s">
        <v>725</v>
      </c>
      <c r="V867" s="4">
        <v>345</v>
      </c>
      <c r="W867">
        <v>0</v>
      </c>
    </row>
    <row r="868" spans="1:23" hidden="1" x14ac:dyDescent="0.25">
      <c r="A868" s="2">
        <v>45894.590266203704</v>
      </c>
      <c r="B868">
        <v>3999</v>
      </c>
      <c r="C868" t="s">
        <v>730</v>
      </c>
      <c r="D868" s="3">
        <v>45894</v>
      </c>
      <c r="E868" s="3">
        <v>46111</v>
      </c>
      <c r="F868" t="s">
        <v>112</v>
      </c>
      <c r="G868" t="s">
        <v>1493</v>
      </c>
      <c r="H868" t="s">
        <v>22</v>
      </c>
      <c r="I868" t="s">
        <v>41</v>
      </c>
      <c r="J868" t="s">
        <v>1491</v>
      </c>
      <c r="K868" t="s">
        <v>24</v>
      </c>
      <c r="L868" s="4">
        <v>350</v>
      </c>
      <c r="M868" t="s">
        <v>731</v>
      </c>
      <c r="N868" t="s">
        <v>26</v>
      </c>
      <c r="O868" s="4">
        <v>8</v>
      </c>
      <c r="P868">
        <v>0</v>
      </c>
      <c r="Q868" s="4">
        <v>8</v>
      </c>
      <c r="R868" s="12">
        <f t="shared" si="13"/>
        <v>2800</v>
      </c>
      <c r="T868" t="s">
        <v>151</v>
      </c>
      <c r="U868" t="s">
        <v>732</v>
      </c>
      <c r="V868" s="4">
        <v>350</v>
      </c>
      <c r="W868">
        <v>0</v>
      </c>
    </row>
    <row r="869" spans="1:23" hidden="1" x14ac:dyDescent="0.25">
      <c r="A869" s="2">
        <v>45894.590266203704</v>
      </c>
      <c r="B869">
        <v>3999</v>
      </c>
      <c r="C869" t="s">
        <v>730</v>
      </c>
      <c r="D869" s="3">
        <v>45894</v>
      </c>
      <c r="E869" s="3">
        <v>46111</v>
      </c>
      <c r="F869" t="s">
        <v>112</v>
      </c>
      <c r="G869" t="s">
        <v>1493</v>
      </c>
      <c r="H869" t="s">
        <v>22</v>
      </c>
      <c r="I869" t="s">
        <v>40</v>
      </c>
      <c r="J869" t="s">
        <v>1491</v>
      </c>
      <c r="K869" t="s">
        <v>24</v>
      </c>
      <c r="L869" s="4">
        <v>350</v>
      </c>
      <c r="M869" t="s">
        <v>731</v>
      </c>
      <c r="N869" t="s">
        <v>26</v>
      </c>
      <c r="O869" s="4">
        <v>8</v>
      </c>
      <c r="P869">
        <v>0</v>
      </c>
      <c r="Q869" s="4">
        <v>8</v>
      </c>
      <c r="R869" s="12">
        <f t="shared" si="13"/>
        <v>2800</v>
      </c>
      <c r="T869" t="s">
        <v>151</v>
      </c>
      <c r="U869" t="s">
        <v>732</v>
      </c>
      <c r="V869" s="4">
        <v>350</v>
      </c>
      <c r="W869">
        <v>0</v>
      </c>
    </row>
    <row r="870" spans="1:23" hidden="1" x14ac:dyDescent="0.25">
      <c r="A870" s="2">
        <v>45894.590266203704</v>
      </c>
      <c r="B870">
        <v>3999</v>
      </c>
      <c r="C870" t="s">
        <v>730</v>
      </c>
      <c r="D870" s="3">
        <v>45894</v>
      </c>
      <c r="E870" s="3">
        <v>46111</v>
      </c>
      <c r="F870" t="s">
        <v>112</v>
      </c>
      <c r="G870" t="s">
        <v>1493</v>
      </c>
      <c r="H870" t="s">
        <v>22</v>
      </c>
      <c r="I870" t="s">
        <v>38</v>
      </c>
      <c r="J870" t="s">
        <v>1491</v>
      </c>
      <c r="K870" t="s">
        <v>24</v>
      </c>
      <c r="L870" s="4">
        <v>48</v>
      </c>
      <c r="M870" t="s">
        <v>731</v>
      </c>
      <c r="N870" t="s">
        <v>26</v>
      </c>
      <c r="O870" s="4">
        <v>6</v>
      </c>
      <c r="P870">
        <v>0</v>
      </c>
      <c r="Q870" s="4">
        <v>6</v>
      </c>
      <c r="R870" s="12">
        <f t="shared" si="13"/>
        <v>288</v>
      </c>
      <c r="T870" t="s">
        <v>151</v>
      </c>
      <c r="U870" t="s">
        <v>732</v>
      </c>
      <c r="V870" s="4">
        <v>48</v>
      </c>
      <c r="W870">
        <v>0</v>
      </c>
    </row>
    <row r="871" spans="1:23" hidden="1" x14ac:dyDescent="0.25">
      <c r="A871" s="2">
        <v>45894.590266203704</v>
      </c>
      <c r="B871">
        <v>3999</v>
      </c>
      <c r="C871" t="s">
        <v>730</v>
      </c>
      <c r="D871" s="3">
        <v>45894</v>
      </c>
      <c r="E871" s="3">
        <v>46111</v>
      </c>
      <c r="F871" t="s">
        <v>112</v>
      </c>
      <c r="G871" t="s">
        <v>1493</v>
      </c>
      <c r="H871" t="s">
        <v>22</v>
      </c>
      <c r="I871" t="s">
        <v>43</v>
      </c>
      <c r="J871" t="s">
        <v>1491</v>
      </c>
      <c r="K871" t="s">
        <v>24</v>
      </c>
      <c r="L871" s="4">
        <v>50</v>
      </c>
      <c r="M871" t="s">
        <v>731</v>
      </c>
      <c r="N871" t="s">
        <v>26</v>
      </c>
      <c r="O871" s="4">
        <v>9</v>
      </c>
      <c r="P871">
        <v>0</v>
      </c>
      <c r="Q871" s="4">
        <v>9</v>
      </c>
      <c r="R871" s="12">
        <f t="shared" si="13"/>
        <v>450</v>
      </c>
      <c r="T871" t="s">
        <v>151</v>
      </c>
      <c r="U871" t="s">
        <v>732</v>
      </c>
      <c r="V871" s="4">
        <v>50</v>
      </c>
      <c r="W871">
        <v>0</v>
      </c>
    </row>
    <row r="872" spans="1:23" hidden="1" x14ac:dyDescent="0.25">
      <c r="A872" s="2">
        <v>45894.590266203704</v>
      </c>
      <c r="B872">
        <v>3999</v>
      </c>
      <c r="C872" t="s">
        <v>730</v>
      </c>
      <c r="D872" s="3">
        <v>45894</v>
      </c>
      <c r="E872" s="3">
        <v>46111</v>
      </c>
      <c r="F872" t="s">
        <v>112</v>
      </c>
      <c r="G872" t="s">
        <v>1493</v>
      </c>
      <c r="H872" t="s">
        <v>22</v>
      </c>
      <c r="I872" t="s">
        <v>63</v>
      </c>
      <c r="J872" t="s">
        <v>1491</v>
      </c>
      <c r="K872" t="s">
        <v>31</v>
      </c>
      <c r="L872" s="4">
        <v>200</v>
      </c>
      <c r="M872" t="s">
        <v>731</v>
      </c>
      <c r="N872" t="s">
        <v>26</v>
      </c>
      <c r="O872" s="4">
        <v>15</v>
      </c>
      <c r="P872">
        <v>0</v>
      </c>
      <c r="Q872" s="4">
        <v>15</v>
      </c>
      <c r="R872" s="12">
        <f t="shared" si="13"/>
        <v>3000</v>
      </c>
      <c r="T872" t="s">
        <v>151</v>
      </c>
      <c r="U872" t="s">
        <v>732</v>
      </c>
      <c r="V872" s="4">
        <v>200</v>
      </c>
      <c r="W872">
        <v>0</v>
      </c>
    </row>
    <row r="873" spans="1:23" hidden="1" x14ac:dyDescent="0.25">
      <c r="A873" s="2">
        <v>45929.316828703704</v>
      </c>
      <c r="B873">
        <v>4100</v>
      </c>
      <c r="C873" t="s">
        <v>730</v>
      </c>
      <c r="D873" s="3">
        <v>45926</v>
      </c>
      <c r="E873" s="3">
        <v>46111</v>
      </c>
      <c r="F873" t="s">
        <v>112</v>
      </c>
      <c r="G873" t="s">
        <v>1493</v>
      </c>
      <c r="H873" t="s">
        <v>22</v>
      </c>
      <c r="I873" t="s">
        <v>43</v>
      </c>
      <c r="J873" t="s">
        <v>1491</v>
      </c>
      <c r="K873" t="s">
        <v>24</v>
      </c>
      <c r="L873" s="4">
        <v>50</v>
      </c>
      <c r="M873" t="s">
        <v>733</v>
      </c>
      <c r="N873" t="s">
        <v>26</v>
      </c>
      <c r="O873" s="4">
        <v>3</v>
      </c>
      <c r="P873">
        <v>0</v>
      </c>
      <c r="Q873" s="4">
        <v>3</v>
      </c>
      <c r="R873" s="12">
        <f t="shared" si="13"/>
        <v>150</v>
      </c>
      <c r="T873" t="s">
        <v>151</v>
      </c>
      <c r="U873" t="s">
        <v>732</v>
      </c>
      <c r="V873" s="4">
        <v>50</v>
      </c>
      <c r="W873">
        <v>0</v>
      </c>
    </row>
    <row r="874" spans="1:23" hidden="1" x14ac:dyDescent="0.25">
      <c r="A874" s="2">
        <v>45929.316828703704</v>
      </c>
      <c r="B874">
        <v>4100</v>
      </c>
      <c r="C874" t="s">
        <v>730</v>
      </c>
      <c r="D874" s="3">
        <v>45926</v>
      </c>
      <c r="E874" s="3">
        <v>46111</v>
      </c>
      <c r="F874" t="s">
        <v>112</v>
      </c>
      <c r="G874" t="s">
        <v>1493</v>
      </c>
      <c r="H874" t="s">
        <v>22</v>
      </c>
      <c r="I874" t="s">
        <v>63</v>
      </c>
      <c r="J874" t="s">
        <v>1491</v>
      </c>
      <c r="K874" t="s">
        <v>31</v>
      </c>
      <c r="L874" s="4">
        <v>200</v>
      </c>
      <c r="M874" t="s">
        <v>733</v>
      </c>
      <c r="N874" t="s">
        <v>26</v>
      </c>
      <c r="O874" s="4">
        <v>3</v>
      </c>
      <c r="P874">
        <v>0</v>
      </c>
      <c r="Q874" s="4">
        <v>3</v>
      </c>
      <c r="R874" s="12">
        <f t="shared" si="13"/>
        <v>600</v>
      </c>
      <c r="T874" t="s">
        <v>151</v>
      </c>
      <c r="U874" t="s">
        <v>732</v>
      </c>
      <c r="V874" s="4">
        <v>200</v>
      </c>
      <c r="W874">
        <v>0</v>
      </c>
    </row>
    <row r="875" spans="1:23" hidden="1" x14ac:dyDescent="0.25">
      <c r="A875" s="2">
        <v>45929.316828703704</v>
      </c>
      <c r="B875">
        <v>4100</v>
      </c>
      <c r="C875" t="s">
        <v>730</v>
      </c>
      <c r="D875" s="3">
        <v>45926</v>
      </c>
      <c r="E875" s="3">
        <v>46111</v>
      </c>
      <c r="F875" t="s">
        <v>112</v>
      </c>
      <c r="G875" t="s">
        <v>1493</v>
      </c>
      <c r="H875" t="s">
        <v>22</v>
      </c>
      <c r="I875" t="s">
        <v>41</v>
      </c>
      <c r="J875" t="s">
        <v>1491</v>
      </c>
      <c r="K875" t="s">
        <v>24</v>
      </c>
      <c r="L875" s="4">
        <v>350</v>
      </c>
      <c r="M875" t="s">
        <v>733</v>
      </c>
      <c r="N875" t="s">
        <v>26</v>
      </c>
      <c r="O875" s="4">
        <v>1</v>
      </c>
      <c r="P875">
        <v>0</v>
      </c>
      <c r="Q875" s="4">
        <v>1</v>
      </c>
      <c r="R875" s="12">
        <f t="shared" si="13"/>
        <v>350</v>
      </c>
      <c r="T875" t="s">
        <v>151</v>
      </c>
      <c r="U875" t="s">
        <v>732</v>
      </c>
      <c r="V875" s="4">
        <v>350</v>
      </c>
      <c r="W875">
        <v>0</v>
      </c>
    </row>
    <row r="876" spans="1:23" hidden="1" x14ac:dyDescent="0.25">
      <c r="A876" s="2">
        <v>45940.627835648149</v>
      </c>
      <c r="B876">
        <v>339</v>
      </c>
      <c r="C876" t="s">
        <v>734</v>
      </c>
      <c r="D876" s="3">
        <v>45940</v>
      </c>
      <c r="E876" s="3">
        <v>46111</v>
      </c>
      <c r="F876" t="s">
        <v>66</v>
      </c>
      <c r="G876" t="s">
        <v>1494</v>
      </c>
      <c r="H876" t="s">
        <v>22</v>
      </c>
      <c r="I876" t="s">
        <v>63</v>
      </c>
      <c r="J876" t="s">
        <v>1491</v>
      </c>
      <c r="K876" t="s">
        <v>31</v>
      </c>
      <c r="L876" s="4">
        <v>175</v>
      </c>
      <c r="M876" t="s">
        <v>735</v>
      </c>
      <c r="N876" t="s">
        <v>26</v>
      </c>
      <c r="O876" s="4">
        <v>35</v>
      </c>
      <c r="P876">
        <v>0</v>
      </c>
      <c r="Q876" s="4">
        <v>35</v>
      </c>
      <c r="R876" s="12">
        <f t="shared" si="13"/>
        <v>6125</v>
      </c>
      <c r="T876" t="s">
        <v>68</v>
      </c>
      <c r="U876" t="s">
        <v>736</v>
      </c>
      <c r="V876" s="4">
        <v>175</v>
      </c>
      <c r="W876">
        <v>0</v>
      </c>
    </row>
    <row r="877" spans="1:23" hidden="1" x14ac:dyDescent="0.25">
      <c r="A877" s="2">
        <v>46045.496631944443</v>
      </c>
      <c r="B877">
        <v>4484</v>
      </c>
      <c r="C877" t="s">
        <v>737</v>
      </c>
      <c r="D877" s="3">
        <v>46045</v>
      </c>
      <c r="E877" s="3">
        <v>46076</v>
      </c>
      <c r="F877" t="s">
        <v>79</v>
      </c>
      <c r="H877" t="s">
        <v>22</v>
      </c>
      <c r="I877" t="s">
        <v>738</v>
      </c>
      <c r="K877" t="s">
        <v>24</v>
      </c>
      <c r="L877" s="4">
        <v>70</v>
      </c>
      <c r="M877" t="s">
        <v>739</v>
      </c>
      <c r="N877" t="s">
        <v>46</v>
      </c>
      <c r="O877" s="4">
        <v>10</v>
      </c>
      <c r="P877">
        <v>0</v>
      </c>
      <c r="Q877" s="4">
        <v>10</v>
      </c>
      <c r="R877" s="12">
        <f t="shared" si="13"/>
        <v>700</v>
      </c>
      <c r="U877" t="s">
        <v>740</v>
      </c>
      <c r="V877" s="4">
        <v>70</v>
      </c>
      <c r="W877">
        <v>0</v>
      </c>
    </row>
    <row r="878" spans="1:23" hidden="1" x14ac:dyDescent="0.25">
      <c r="A878" s="2">
        <v>46049.646064814813</v>
      </c>
      <c r="B878">
        <v>4497</v>
      </c>
      <c r="C878" t="s">
        <v>737</v>
      </c>
      <c r="D878" s="3">
        <v>46049</v>
      </c>
      <c r="E878" s="3">
        <v>46081</v>
      </c>
      <c r="F878" t="s">
        <v>79</v>
      </c>
      <c r="G878" t="s">
        <v>1493</v>
      </c>
      <c r="H878" t="s">
        <v>22</v>
      </c>
      <c r="I878" t="s">
        <v>41</v>
      </c>
      <c r="J878" t="s">
        <v>1491</v>
      </c>
      <c r="K878" t="s">
        <v>24</v>
      </c>
      <c r="L878" s="4">
        <v>400</v>
      </c>
      <c r="M878" t="s">
        <v>741</v>
      </c>
      <c r="N878" t="s">
        <v>46</v>
      </c>
      <c r="O878" s="4">
        <v>2</v>
      </c>
      <c r="P878">
        <v>0</v>
      </c>
      <c r="Q878" s="4">
        <v>2</v>
      </c>
      <c r="R878" s="12">
        <f t="shared" si="13"/>
        <v>800</v>
      </c>
      <c r="U878" t="s">
        <v>740</v>
      </c>
      <c r="V878" s="4">
        <v>400</v>
      </c>
      <c r="W878">
        <v>0</v>
      </c>
    </row>
    <row r="879" spans="1:23" hidden="1" x14ac:dyDescent="0.25">
      <c r="A879" s="2">
        <v>46049.646064814813</v>
      </c>
      <c r="B879">
        <v>4497</v>
      </c>
      <c r="C879" t="s">
        <v>737</v>
      </c>
      <c r="D879" s="3">
        <v>46049</v>
      </c>
      <c r="E879" s="3">
        <v>46081</v>
      </c>
      <c r="F879" t="s">
        <v>79</v>
      </c>
      <c r="G879" t="s">
        <v>1493</v>
      </c>
      <c r="H879" t="s">
        <v>22</v>
      </c>
      <c r="I879" t="s">
        <v>40</v>
      </c>
      <c r="J879" t="s">
        <v>1491</v>
      </c>
      <c r="K879" t="s">
        <v>24</v>
      </c>
      <c r="L879" s="4">
        <v>400</v>
      </c>
      <c r="M879" t="s">
        <v>741</v>
      </c>
      <c r="N879" t="s">
        <v>46</v>
      </c>
      <c r="O879" s="4">
        <v>2</v>
      </c>
      <c r="P879">
        <v>0</v>
      </c>
      <c r="Q879" s="4">
        <v>2</v>
      </c>
      <c r="R879" s="12">
        <f t="shared" si="13"/>
        <v>800</v>
      </c>
      <c r="U879" t="s">
        <v>740</v>
      </c>
      <c r="V879" s="4">
        <v>400</v>
      </c>
      <c r="W879">
        <v>0</v>
      </c>
    </row>
    <row r="880" spans="1:23" hidden="1" x14ac:dyDescent="0.25">
      <c r="A880" s="2">
        <v>46066.410949074074</v>
      </c>
      <c r="B880">
        <v>4559</v>
      </c>
      <c r="C880" t="s">
        <v>737</v>
      </c>
      <c r="D880" s="3">
        <v>46066</v>
      </c>
      <c r="E880" s="3">
        <v>46094</v>
      </c>
      <c r="F880" t="s">
        <v>79</v>
      </c>
      <c r="H880" t="s">
        <v>22</v>
      </c>
      <c r="I880" t="s">
        <v>738</v>
      </c>
      <c r="K880" t="s">
        <v>24</v>
      </c>
      <c r="L880" s="4">
        <v>70</v>
      </c>
      <c r="M880" t="s">
        <v>742</v>
      </c>
      <c r="N880" t="s">
        <v>46</v>
      </c>
      <c r="O880" s="4">
        <v>15</v>
      </c>
      <c r="P880">
        <v>0</v>
      </c>
      <c r="Q880" s="4">
        <v>15</v>
      </c>
      <c r="R880" s="12">
        <f t="shared" si="13"/>
        <v>1050</v>
      </c>
      <c r="U880" t="s">
        <v>740</v>
      </c>
      <c r="V880" s="4">
        <v>70</v>
      </c>
      <c r="W880">
        <v>0</v>
      </c>
    </row>
    <row r="881" spans="1:23" hidden="1" x14ac:dyDescent="0.25">
      <c r="A881" s="2">
        <v>45985.464895833335</v>
      </c>
      <c r="B881">
        <v>421</v>
      </c>
      <c r="C881" t="s">
        <v>743</v>
      </c>
      <c r="D881" s="3">
        <v>45985</v>
      </c>
      <c r="E881" s="3">
        <v>45986</v>
      </c>
      <c r="F881" t="s">
        <v>324</v>
      </c>
      <c r="H881" t="s">
        <v>22</v>
      </c>
      <c r="I881" t="s">
        <v>80</v>
      </c>
      <c r="K881" t="s">
        <v>31</v>
      </c>
      <c r="L881" s="4">
        <v>46</v>
      </c>
      <c r="M881" t="s">
        <v>744</v>
      </c>
      <c r="N881" t="s">
        <v>26</v>
      </c>
      <c r="O881" s="4">
        <v>150</v>
      </c>
      <c r="P881">
        <v>0</v>
      </c>
      <c r="Q881" s="4">
        <v>150</v>
      </c>
      <c r="R881" s="12">
        <f t="shared" si="13"/>
        <v>6900</v>
      </c>
      <c r="T881" t="s">
        <v>714</v>
      </c>
      <c r="U881" t="s">
        <v>745</v>
      </c>
      <c r="V881" s="4">
        <v>46</v>
      </c>
      <c r="W881">
        <v>0</v>
      </c>
    </row>
    <row r="882" spans="1:23" hidden="1" x14ac:dyDescent="0.25">
      <c r="A882" s="2">
        <v>46028.59107638889</v>
      </c>
      <c r="B882">
        <v>477</v>
      </c>
      <c r="C882" t="s">
        <v>743</v>
      </c>
      <c r="D882" s="3">
        <v>46028</v>
      </c>
      <c r="E882" s="3">
        <v>46029</v>
      </c>
      <c r="F882" t="s">
        <v>324</v>
      </c>
      <c r="H882" t="s">
        <v>22</v>
      </c>
      <c r="I882" t="s">
        <v>80</v>
      </c>
      <c r="K882" t="s">
        <v>31</v>
      </c>
      <c r="L882" s="4">
        <v>46</v>
      </c>
      <c r="M882" t="s">
        <v>746</v>
      </c>
      <c r="N882" t="s">
        <v>46</v>
      </c>
      <c r="O882" s="4">
        <v>150</v>
      </c>
      <c r="P882">
        <v>0</v>
      </c>
      <c r="Q882" s="4">
        <v>150</v>
      </c>
      <c r="R882" s="12">
        <f t="shared" si="13"/>
        <v>6900</v>
      </c>
      <c r="T882" t="s">
        <v>714</v>
      </c>
      <c r="U882" t="s">
        <v>745</v>
      </c>
      <c r="V882" s="4">
        <v>46</v>
      </c>
      <c r="W882">
        <v>0</v>
      </c>
    </row>
    <row r="883" spans="1:23" hidden="1" x14ac:dyDescent="0.25">
      <c r="A883" s="2">
        <v>45932.396134259259</v>
      </c>
      <c r="B883">
        <v>4117</v>
      </c>
      <c r="C883" t="s">
        <v>747</v>
      </c>
      <c r="D883" s="3">
        <v>45931</v>
      </c>
      <c r="E883" s="3">
        <v>46111</v>
      </c>
      <c r="F883" t="s">
        <v>143</v>
      </c>
      <c r="G883" t="s">
        <v>1493</v>
      </c>
      <c r="H883" t="s">
        <v>22</v>
      </c>
      <c r="I883" t="s">
        <v>44</v>
      </c>
      <c r="J883" t="s">
        <v>1491</v>
      </c>
      <c r="K883" t="s">
        <v>31</v>
      </c>
      <c r="L883" s="4">
        <v>360</v>
      </c>
      <c r="M883" t="s">
        <v>748</v>
      </c>
      <c r="N883" t="s">
        <v>26</v>
      </c>
      <c r="O883" s="4">
        <v>180</v>
      </c>
      <c r="P883">
        <v>0</v>
      </c>
      <c r="Q883" s="4">
        <v>180</v>
      </c>
      <c r="R883" s="12">
        <f t="shared" si="13"/>
        <v>64800</v>
      </c>
      <c r="T883" t="s">
        <v>151</v>
      </c>
      <c r="U883" t="s">
        <v>749</v>
      </c>
      <c r="V883" s="4">
        <v>360</v>
      </c>
      <c r="W883">
        <v>0</v>
      </c>
    </row>
    <row r="884" spans="1:23" hidden="1" x14ac:dyDescent="0.25">
      <c r="A884" s="2">
        <v>45932.396134259259</v>
      </c>
      <c r="B884">
        <v>4117</v>
      </c>
      <c r="C884" t="s">
        <v>747</v>
      </c>
      <c r="D884" s="3">
        <v>45931</v>
      </c>
      <c r="E884" s="3">
        <v>46111</v>
      </c>
      <c r="F884" t="s">
        <v>143</v>
      </c>
      <c r="G884" t="s">
        <v>1493</v>
      </c>
      <c r="H884" t="s">
        <v>22</v>
      </c>
      <c r="I884" t="s">
        <v>38</v>
      </c>
      <c r="J884" t="s">
        <v>1491</v>
      </c>
      <c r="K884" t="s">
        <v>24</v>
      </c>
      <c r="L884" s="4">
        <v>38</v>
      </c>
      <c r="M884" t="s">
        <v>748</v>
      </c>
      <c r="N884" t="s">
        <v>26</v>
      </c>
      <c r="O884" s="4">
        <v>180</v>
      </c>
      <c r="P884">
        <v>0</v>
      </c>
      <c r="Q884" s="4">
        <v>180</v>
      </c>
      <c r="R884" s="12">
        <f t="shared" si="13"/>
        <v>6840</v>
      </c>
      <c r="T884" t="s">
        <v>151</v>
      </c>
      <c r="U884" t="s">
        <v>749</v>
      </c>
      <c r="V884" s="4">
        <v>38</v>
      </c>
      <c r="W884">
        <v>0</v>
      </c>
    </row>
    <row r="885" spans="1:23" hidden="1" x14ac:dyDescent="0.25">
      <c r="A885" s="2">
        <v>45932.396134259259</v>
      </c>
      <c r="B885">
        <v>4117</v>
      </c>
      <c r="C885" t="s">
        <v>747</v>
      </c>
      <c r="D885" s="3">
        <v>45931</v>
      </c>
      <c r="E885" s="3">
        <v>46111</v>
      </c>
      <c r="F885" t="s">
        <v>143</v>
      </c>
      <c r="G885" t="s">
        <v>1493</v>
      </c>
      <c r="H885" t="s">
        <v>22</v>
      </c>
      <c r="I885" t="s">
        <v>41</v>
      </c>
      <c r="J885" t="s">
        <v>1491</v>
      </c>
      <c r="K885" t="s">
        <v>24</v>
      </c>
      <c r="L885" s="4">
        <v>260</v>
      </c>
      <c r="M885" t="s">
        <v>748</v>
      </c>
      <c r="N885" t="s">
        <v>26</v>
      </c>
      <c r="O885" s="4">
        <v>90</v>
      </c>
      <c r="P885">
        <v>0</v>
      </c>
      <c r="Q885" s="4">
        <v>90</v>
      </c>
      <c r="R885" s="12">
        <f t="shared" si="13"/>
        <v>23400</v>
      </c>
      <c r="T885" t="s">
        <v>151</v>
      </c>
      <c r="U885" t="s">
        <v>749</v>
      </c>
      <c r="V885" s="4">
        <v>260</v>
      </c>
      <c r="W885">
        <v>0</v>
      </c>
    </row>
    <row r="886" spans="1:23" hidden="1" x14ac:dyDescent="0.25">
      <c r="A886" s="2">
        <v>45932.396134259259</v>
      </c>
      <c r="B886">
        <v>4117</v>
      </c>
      <c r="C886" t="s">
        <v>747</v>
      </c>
      <c r="D886" s="3">
        <v>45931</v>
      </c>
      <c r="E886" s="3">
        <v>46111</v>
      </c>
      <c r="F886" t="s">
        <v>143</v>
      </c>
      <c r="G886" t="s">
        <v>1493</v>
      </c>
      <c r="H886" t="s">
        <v>22</v>
      </c>
      <c r="I886" t="s">
        <v>40</v>
      </c>
      <c r="J886" t="s">
        <v>1491</v>
      </c>
      <c r="K886" t="s">
        <v>24</v>
      </c>
      <c r="L886" s="4">
        <v>260</v>
      </c>
      <c r="M886" t="s">
        <v>748</v>
      </c>
      <c r="N886" t="s">
        <v>26</v>
      </c>
      <c r="O886" s="4">
        <v>90</v>
      </c>
      <c r="P886">
        <v>0</v>
      </c>
      <c r="Q886" s="4">
        <v>90</v>
      </c>
      <c r="R886" s="12">
        <f t="shared" si="13"/>
        <v>23400</v>
      </c>
      <c r="T886" t="s">
        <v>151</v>
      </c>
      <c r="U886" t="s">
        <v>749</v>
      </c>
      <c r="V886" s="4">
        <v>260</v>
      </c>
      <c r="W886">
        <v>0</v>
      </c>
    </row>
    <row r="887" spans="1:23" hidden="1" x14ac:dyDescent="0.25">
      <c r="A887" s="2">
        <v>45932.399131944447</v>
      </c>
      <c r="B887">
        <v>4119</v>
      </c>
      <c r="C887" t="s">
        <v>747</v>
      </c>
      <c r="D887" s="3">
        <v>45931</v>
      </c>
      <c r="E887" s="3">
        <v>46111</v>
      </c>
      <c r="F887" t="s">
        <v>143</v>
      </c>
      <c r="G887" t="s">
        <v>1493</v>
      </c>
      <c r="H887" t="s">
        <v>22</v>
      </c>
      <c r="I887" t="s">
        <v>40</v>
      </c>
      <c r="J887" t="s">
        <v>1491</v>
      </c>
      <c r="K887" t="s">
        <v>24</v>
      </c>
      <c r="L887" s="4">
        <v>260</v>
      </c>
      <c r="M887" t="s">
        <v>750</v>
      </c>
      <c r="N887" t="s">
        <v>26</v>
      </c>
      <c r="O887" s="4">
        <v>90</v>
      </c>
      <c r="P887">
        <v>0</v>
      </c>
      <c r="Q887" s="4">
        <v>90</v>
      </c>
      <c r="R887" s="12">
        <f t="shared" si="13"/>
        <v>23400</v>
      </c>
      <c r="T887" t="s">
        <v>751</v>
      </c>
      <c r="U887" t="s">
        <v>749</v>
      </c>
      <c r="V887" s="4">
        <v>260</v>
      </c>
      <c r="W887">
        <v>0</v>
      </c>
    </row>
    <row r="888" spans="1:23" hidden="1" x14ac:dyDescent="0.25">
      <c r="A888" s="2">
        <v>45932.399131944447</v>
      </c>
      <c r="B888">
        <v>4119</v>
      </c>
      <c r="C888" t="s">
        <v>747</v>
      </c>
      <c r="D888" s="3">
        <v>45931</v>
      </c>
      <c r="E888" s="3">
        <v>46111</v>
      </c>
      <c r="F888" t="s">
        <v>143</v>
      </c>
      <c r="G888" t="s">
        <v>1493</v>
      </c>
      <c r="H888" t="s">
        <v>22</v>
      </c>
      <c r="I888" t="s">
        <v>41</v>
      </c>
      <c r="J888" t="s">
        <v>1491</v>
      </c>
      <c r="K888" t="s">
        <v>24</v>
      </c>
      <c r="L888" s="4">
        <v>260</v>
      </c>
      <c r="M888" t="s">
        <v>750</v>
      </c>
      <c r="N888" t="s">
        <v>26</v>
      </c>
      <c r="O888" s="4">
        <v>90</v>
      </c>
      <c r="P888">
        <v>0</v>
      </c>
      <c r="Q888" s="4">
        <v>90</v>
      </c>
      <c r="R888" s="12">
        <f t="shared" si="13"/>
        <v>23400</v>
      </c>
      <c r="T888" t="s">
        <v>751</v>
      </c>
      <c r="U888" t="s">
        <v>749</v>
      </c>
      <c r="V888" s="4">
        <v>260</v>
      </c>
      <c r="W888">
        <v>0</v>
      </c>
    </row>
    <row r="889" spans="1:23" hidden="1" x14ac:dyDescent="0.25">
      <c r="A889" s="2">
        <v>45932.399131944447</v>
      </c>
      <c r="B889">
        <v>4119</v>
      </c>
      <c r="C889" t="s">
        <v>747</v>
      </c>
      <c r="D889" s="3">
        <v>45931</v>
      </c>
      <c r="E889" s="3">
        <v>46111</v>
      </c>
      <c r="F889" t="s">
        <v>143</v>
      </c>
      <c r="G889" t="s">
        <v>1493</v>
      </c>
      <c r="H889" t="s">
        <v>22</v>
      </c>
      <c r="I889" t="s">
        <v>63</v>
      </c>
      <c r="J889" t="s">
        <v>1491</v>
      </c>
      <c r="K889" t="s">
        <v>31</v>
      </c>
      <c r="L889" s="4">
        <v>180</v>
      </c>
      <c r="M889" t="s">
        <v>750</v>
      </c>
      <c r="N889" t="s">
        <v>26</v>
      </c>
      <c r="O889" s="4">
        <v>270</v>
      </c>
      <c r="P889">
        <v>0</v>
      </c>
      <c r="Q889" s="4">
        <v>270</v>
      </c>
      <c r="R889" s="12">
        <f t="shared" si="13"/>
        <v>48600</v>
      </c>
      <c r="T889" t="s">
        <v>751</v>
      </c>
      <c r="U889" t="s">
        <v>749</v>
      </c>
      <c r="V889" s="4">
        <v>180</v>
      </c>
      <c r="W889">
        <v>0</v>
      </c>
    </row>
    <row r="890" spans="1:23" hidden="1" x14ac:dyDescent="0.25">
      <c r="A890" s="2">
        <v>45932.399131944447</v>
      </c>
      <c r="B890">
        <v>4119</v>
      </c>
      <c r="C890" t="s">
        <v>747</v>
      </c>
      <c r="D890" s="3">
        <v>45931</v>
      </c>
      <c r="E890" s="3">
        <v>46111</v>
      </c>
      <c r="F890" t="s">
        <v>143</v>
      </c>
      <c r="G890" t="s">
        <v>1493</v>
      </c>
      <c r="H890" t="s">
        <v>22</v>
      </c>
      <c r="I890" t="s">
        <v>38</v>
      </c>
      <c r="J890" t="s">
        <v>1491</v>
      </c>
      <c r="K890" t="s">
        <v>24</v>
      </c>
      <c r="L890" s="4">
        <v>38</v>
      </c>
      <c r="M890" t="s">
        <v>750</v>
      </c>
      <c r="N890" t="s">
        <v>26</v>
      </c>
      <c r="O890" s="4">
        <v>93</v>
      </c>
      <c r="P890">
        <v>0</v>
      </c>
      <c r="Q890" s="4">
        <v>93</v>
      </c>
      <c r="R890" s="12">
        <f t="shared" si="13"/>
        <v>3534</v>
      </c>
      <c r="T890" t="s">
        <v>751</v>
      </c>
      <c r="U890" t="s">
        <v>749</v>
      </c>
      <c r="V890" s="4">
        <v>38</v>
      </c>
      <c r="W890">
        <v>0</v>
      </c>
    </row>
    <row r="891" spans="1:23" hidden="1" x14ac:dyDescent="0.25">
      <c r="A891" s="2">
        <v>46042.382719907408</v>
      </c>
      <c r="B891">
        <v>4465</v>
      </c>
      <c r="C891" t="s">
        <v>752</v>
      </c>
      <c r="D891" s="3">
        <v>46042</v>
      </c>
      <c r="E891" s="3">
        <v>46055</v>
      </c>
      <c r="F891" t="s">
        <v>98</v>
      </c>
      <c r="H891" t="s">
        <v>22</v>
      </c>
      <c r="I891" t="s">
        <v>80</v>
      </c>
      <c r="K891" t="s">
        <v>31</v>
      </c>
      <c r="L891" s="4">
        <v>45</v>
      </c>
      <c r="M891" t="s">
        <v>753</v>
      </c>
      <c r="N891" t="s">
        <v>46</v>
      </c>
      <c r="O891" s="4">
        <v>15</v>
      </c>
      <c r="P891">
        <v>0</v>
      </c>
      <c r="Q891" s="4">
        <v>15</v>
      </c>
      <c r="R891" s="12">
        <f t="shared" si="13"/>
        <v>675</v>
      </c>
      <c r="T891" t="s">
        <v>151</v>
      </c>
      <c r="U891" t="s">
        <v>754</v>
      </c>
      <c r="V891" s="4">
        <v>45</v>
      </c>
      <c r="W891">
        <v>0</v>
      </c>
    </row>
    <row r="892" spans="1:23" x14ac:dyDescent="0.25">
      <c r="A892" s="2">
        <v>45810.329710648148</v>
      </c>
      <c r="B892">
        <v>3870</v>
      </c>
      <c r="C892" t="s">
        <v>755</v>
      </c>
      <c r="D892" s="3">
        <v>45779</v>
      </c>
      <c r="E892" s="3">
        <v>46142</v>
      </c>
      <c r="F892" t="s">
        <v>98</v>
      </c>
      <c r="H892" t="s">
        <v>22</v>
      </c>
      <c r="I892" t="s">
        <v>104</v>
      </c>
      <c r="K892" t="s">
        <v>105</v>
      </c>
      <c r="L892" s="4">
        <v>1900</v>
      </c>
      <c r="M892" t="s">
        <v>756</v>
      </c>
      <c r="N892" t="s">
        <v>26</v>
      </c>
      <c r="O892" s="4">
        <v>10</v>
      </c>
      <c r="P892">
        <v>0</v>
      </c>
      <c r="Q892" s="4">
        <v>10</v>
      </c>
      <c r="R892" s="12">
        <f t="shared" si="13"/>
        <v>19000</v>
      </c>
      <c r="T892" t="s">
        <v>27</v>
      </c>
      <c r="U892" t="s">
        <v>757</v>
      </c>
      <c r="V892" s="4">
        <v>1900</v>
      </c>
      <c r="W892">
        <v>0</v>
      </c>
    </row>
    <row r="893" spans="1:23" x14ac:dyDescent="0.25">
      <c r="A893" s="2">
        <v>45870.594641203701</v>
      </c>
      <c r="B893">
        <v>3955</v>
      </c>
      <c r="C893" t="s">
        <v>755</v>
      </c>
      <c r="D893" s="3">
        <v>45870</v>
      </c>
      <c r="E893" s="3">
        <v>46142</v>
      </c>
      <c r="F893" t="s">
        <v>98</v>
      </c>
      <c r="H893" t="s">
        <v>22</v>
      </c>
      <c r="I893" t="s">
        <v>104</v>
      </c>
      <c r="K893" t="s">
        <v>105</v>
      </c>
      <c r="L893" s="4">
        <v>1900</v>
      </c>
      <c r="M893" t="s">
        <v>758</v>
      </c>
      <c r="N893" t="s">
        <v>26</v>
      </c>
      <c r="O893" s="4">
        <v>3</v>
      </c>
      <c r="P893">
        <v>0</v>
      </c>
      <c r="Q893" s="4">
        <v>3</v>
      </c>
      <c r="R893" s="12">
        <f t="shared" si="13"/>
        <v>5700</v>
      </c>
      <c r="T893" t="s">
        <v>27</v>
      </c>
      <c r="U893" t="s">
        <v>757</v>
      </c>
      <c r="V893" s="4">
        <v>1900</v>
      </c>
      <c r="W893">
        <v>0</v>
      </c>
    </row>
    <row r="894" spans="1:23" hidden="1" x14ac:dyDescent="0.25">
      <c r="A894" s="2">
        <v>46003.326481481483</v>
      </c>
      <c r="B894">
        <v>4347</v>
      </c>
      <c r="C894" t="s">
        <v>755</v>
      </c>
      <c r="D894" s="3">
        <v>46003</v>
      </c>
      <c r="E894" s="3">
        <v>46295</v>
      </c>
      <c r="F894" t="s">
        <v>98</v>
      </c>
      <c r="H894" t="s">
        <v>22</v>
      </c>
      <c r="I894" t="s">
        <v>42</v>
      </c>
      <c r="J894" t="s">
        <v>1490</v>
      </c>
      <c r="K894" t="s">
        <v>24</v>
      </c>
      <c r="L894" s="4">
        <v>240</v>
      </c>
      <c r="M894" t="s">
        <v>759</v>
      </c>
      <c r="N894" t="s">
        <v>46</v>
      </c>
      <c r="O894" s="4">
        <v>5</v>
      </c>
      <c r="P894">
        <v>0</v>
      </c>
      <c r="Q894" s="4">
        <v>5</v>
      </c>
      <c r="R894" s="12">
        <f t="shared" si="13"/>
        <v>1200</v>
      </c>
      <c r="T894" t="s">
        <v>27</v>
      </c>
      <c r="U894" t="s">
        <v>757</v>
      </c>
      <c r="V894" s="4">
        <v>240</v>
      </c>
      <c r="W894">
        <v>0</v>
      </c>
    </row>
    <row r="895" spans="1:23" hidden="1" x14ac:dyDescent="0.25">
      <c r="A895" s="2">
        <v>46003.326481481483</v>
      </c>
      <c r="B895">
        <v>4347</v>
      </c>
      <c r="C895" t="s">
        <v>755</v>
      </c>
      <c r="D895" s="3">
        <v>46003</v>
      </c>
      <c r="E895" s="3">
        <v>46295</v>
      </c>
      <c r="F895" t="s">
        <v>98</v>
      </c>
      <c r="G895" t="s">
        <v>1493</v>
      </c>
      <c r="H895" t="s">
        <v>22</v>
      </c>
      <c r="I895" t="s">
        <v>40</v>
      </c>
      <c r="J895" t="s">
        <v>1491</v>
      </c>
      <c r="K895" t="s">
        <v>24</v>
      </c>
      <c r="L895" s="4">
        <v>342</v>
      </c>
      <c r="M895" t="s">
        <v>759</v>
      </c>
      <c r="N895" t="s">
        <v>46</v>
      </c>
      <c r="O895" s="4">
        <v>4</v>
      </c>
      <c r="P895">
        <v>0</v>
      </c>
      <c r="Q895" s="4">
        <v>4</v>
      </c>
      <c r="R895" s="12">
        <f t="shared" si="13"/>
        <v>1368</v>
      </c>
      <c r="T895" t="s">
        <v>27</v>
      </c>
      <c r="U895" t="s">
        <v>757</v>
      </c>
      <c r="V895" s="4">
        <v>342</v>
      </c>
      <c r="W895">
        <v>0</v>
      </c>
    </row>
    <row r="896" spans="1:23" hidden="1" x14ac:dyDescent="0.25">
      <c r="A896" s="2">
        <v>46003.326481481483</v>
      </c>
      <c r="B896">
        <v>4347</v>
      </c>
      <c r="C896" t="s">
        <v>755</v>
      </c>
      <c r="D896" s="3">
        <v>46003</v>
      </c>
      <c r="E896" s="3">
        <v>46295</v>
      </c>
      <c r="F896" t="s">
        <v>98</v>
      </c>
      <c r="G896" t="s">
        <v>1493</v>
      </c>
      <c r="H896" t="s">
        <v>22</v>
      </c>
      <c r="I896" t="s">
        <v>38</v>
      </c>
      <c r="J896" t="s">
        <v>1491</v>
      </c>
      <c r="K896" t="s">
        <v>24</v>
      </c>
      <c r="L896" s="4">
        <v>48</v>
      </c>
      <c r="M896" t="s">
        <v>759</v>
      </c>
      <c r="N896" t="s">
        <v>46</v>
      </c>
      <c r="O896" s="4">
        <v>18</v>
      </c>
      <c r="P896">
        <v>0</v>
      </c>
      <c r="Q896" s="4">
        <v>18</v>
      </c>
      <c r="R896" s="12">
        <f t="shared" si="13"/>
        <v>864</v>
      </c>
      <c r="T896" t="s">
        <v>27</v>
      </c>
      <c r="U896" t="s">
        <v>757</v>
      </c>
      <c r="V896" s="4">
        <v>48</v>
      </c>
      <c r="W896">
        <v>0</v>
      </c>
    </row>
    <row r="897" spans="1:23" hidden="1" x14ac:dyDescent="0.25">
      <c r="A897" s="2">
        <v>46003.326481481483</v>
      </c>
      <c r="B897">
        <v>4347</v>
      </c>
      <c r="C897" t="s">
        <v>755</v>
      </c>
      <c r="D897" s="3">
        <v>46003</v>
      </c>
      <c r="E897" s="3">
        <v>46295</v>
      </c>
      <c r="F897" t="s">
        <v>98</v>
      </c>
      <c r="H897" t="s">
        <v>22</v>
      </c>
      <c r="I897" t="s">
        <v>131</v>
      </c>
      <c r="J897" t="s">
        <v>1490</v>
      </c>
      <c r="K897" t="s">
        <v>24</v>
      </c>
      <c r="L897" s="4">
        <v>215</v>
      </c>
      <c r="M897" t="s">
        <v>759</v>
      </c>
      <c r="N897" t="s">
        <v>46</v>
      </c>
      <c r="O897" s="4">
        <v>1</v>
      </c>
      <c r="P897">
        <v>0</v>
      </c>
      <c r="Q897" s="4">
        <v>1</v>
      </c>
      <c r="R897" s="12">
        <f t="shared" si="13"/>
        <v>215</v>
      </c>
      <c r="T897" t="s">
        <v>27</v>
      </c>
      <c r="U897" t="s">
        <v>757</v>
      </c>
      <c r="V897" s="4">
        <v>215</v>
      </c>
      <c r="W897">
        <v>0</v>
      </c>
    </row>
    <row r="898" spans="1:23" hidden="1" x14ac:dyDescent="0.25">
      <c r="A898" s="2">
        <v>46003.326481481483</v>
      </c>
      <c r="B898">
        <v>4347</v>
      </c>
      <c r="C898" t="s">
        <v>755</v>
      </c>
      <c r="D898" s="3">
        <v>46003</v>
      </c>
      <c r="E898" s="3">
        <v>46295</v>
      </c>
      <c r="F898" t="s">
        <v>98</v>
      </c>
      <c r="G898" t="s">
        <v>1493</v>
      </c>
      <c r="H898" t="s">
        <v>22</v>
      </c>
      <c r="I898" t="s">
        <v>44</v>
      </c>
      <c r="J898" t="s">
        <v>1491</v>
      </c>
      <c r="K898" t="s">
        <v>31</v>
      </c>
      <c r="L898" s="4">
        <v>400</v>
      </c>
      <c r="M898" t="s">
        <v>759</v>
      </c>
      <c r="N898" t="s">
        <v>46</v>
      </c>
      <c r="O898" s="4">
        <v>5</v>
      </c>
      <c r="P898">
        <v>0</v>
      </c>
      <c r="Q898" s="4">
        <v>5</v>
      </c>
      <c r="R898" s="12">
        <f t="shared" si="13"/>
        <v>2000</v>
      </c>
      <c r="T898" t="s">
        <v>27</v>
      </c>
      <c r="U898" t="s">
        <v>757</v>
      </c>
      <c r="V898" s="4">
        <v>400</v>
      </c>
      <c r="W898">
        <v>0</v>
      </c>
    </row>
    <row r="899" spans="1:23" hidden="1" x14ac:dyDescent="0.25">
      <c r="A899" s="2">
        <v>46003.326481481483</v>
      </c>
      <c r="B899">
        <v>4347</v>
      </c>
      <c r="C899" t="s">
        <v>755</v>
      </c>
      <c r="D899" s="3">
        <v>46003</v>
      </c>
      <c r="E899" s="3">
        <v>46295</v>
      </c>
      <c r="F899" t="s">
        <v>98</v>
      </c>
      <c r="H899" t="s">
        <v>22</v>
      </c>
      <c r="I899" t="s">
        <v>760</v>
      </c>
      <c r="K899" t="s">
        <v>546</v>
      </c>
      <c r="L899" s="4">
        <v>790</v>
      </c>
      <c r="M899" t="s">
        <v>759</v>
      </c>
      <c r="N899" t="s">
        <v>46</v>
      </c>
      <c r="O899" s="4">
        <v>5</v>
      </c>
      <c r="P899">
        <v>0</v>
      </c>
      <c r="Q899" s="4">
        <v>5</v>
      </c>
      <c r="R899" s="12">
        <f t="shared" ref="R899:R962" si="14">Q899*L899</f>
        <v>3950</v>
      </c>
      <c r="T899" t="s">
        <v>27</v>
      </c>
      <c r="U899" t="s">
        <v>757</v>
      </c>
      <c r="V899" s="4">
        <v>790</v>
      </c>
      <c r="W899">
        <v>0</v>
      </c>
    </row>
    <row r="900" spans="1:23" hidden="1" x14ac:dyDescent="0.25">
      <c r="A900" s="2">
        <v>46003.326481481483</v>
      </c>
      <c r="B900">
        <v>4347</v>
      </c>
      <c r="C900" t="s">
        <v>755</v>
      </c>
      <c r="D900" s="3">
        <v>46003</v>
      </c>
      <c r="E900" s="3">
        <v>46295</v>
      </c>
      <c r="F900" t="s">
        <v>98</v>
      </c>
      <c r="G900" t="s">
        <v>1493</v>
      </c>
      <c r="H900" t="s">
        <v>22</v>
      </c>
      <c r="I900" t="s">
        <v>41</v>
      </c>
      <c r="J900" t="s">
        <v>1491</v>
      </c>
      <c r="K900" t="s">
        <v>24</v>
      </c>
      <c r="L900" s="4">
        <v>342</v>
      </c>
      <c r="M900" t="s">
        <v>759</v>
      </c>
      <c r="N900" t="s">
        <v>46</v>
      </c>
      <c r="O900" s="4">
        <v>4</v>
      </c>
      <c r="P900">
        <v>0</v>
      </c>
      <c r="Q900" s="4">
        <v>4</v>
      </c>
      <c r="R900" s="12">
        <f t="shared" si="14"/>
        <v>1368</v>
      </c>
      <c r="T900" t="s">
        <v>27</v>
      </c>
      <c r="U900" t="s">
        <v>757</v>
      </c>
      <c r="V900" s="4">
        <v>342</v>
      </c>
      <c r="W900">
        <v>0</v>
      </c>
    </row>
    <row r="901" spans="1:23" hidden="1" x14ac:dyDescent="0.25">
      <c r="A901" s="2">
        <v>46007.33457175926</v>
      </c>
      <c r="B901">
        <v>4359</v>
      </c>
      <c r="C901" t="s">
        <v>755</v>
      </c>
      <c r="D901" s="3">
        <v>46006</v>
      </c>
      <c r="E901" s="3">
        <v>46295</v>
      </c>
      <c r="F901" t="s">
        <v>98</v>
      </c>
      <c r="H901" t="s">
        <v>22</v>
      </c>
      <c r="I901" t="s">
        <v>35</v>
      </c>
      <c r="J901" t="s">
        <v>1490</v>
      </c>
      <c r="K901" t="s">
        <v>24</v>
      </c>
      <c r="L901" s="4">
        <v>73</v>
      </c>
      <c r="M901" t="s">
        <v>761</v>
      </c>
      <c r="N901" t="s">
        <v>46</v>
      </c>
      <c r="O901" s="4">
        <v>5</v>
      </c>
      <c r="P901">
        <v>0</v>
      </c>
      <c r="Q901" s="4">
        <v>5</v>
      </c>
      <c r="R901" s="12">
        <f t="shared" si="14"/>
        <v>365</v>
      </c>
      <c r="T901" t="s">
        <v>27</v>
      </c>
      <c r="U901" t="s">
        <v>757</v>
      </c>
      <c r="V901" s="4">
        <v>73</v>
      </c>
      <c r="W901">
        <v>0</v>
      </c>
    </row>
    <row r="902" spans="1:23" hidden="1" x14ac:dyDescent="0.25">
      <c r="A902" s="2">
        <v>46064.572025462963</v>
      </c>
      <c r="B902">
        <v>4554</v>
      </c>
      <c r="C902" t="s">
        <v>755</v>
      </c>
      <c r="D902" s="3">
        <v>46064</v>
      </c>
      <c r="E902" s="3">
        <v>46295</v>
      </c>
      <c r="F902" t="s">
        <v>98</v>
      </c>
      <c r="H902" t="s">
        <v>22</v>
      </c>
      <c r="I902" t="s">
        <v>30</v>
      </c>
      <c r="J902" t="s">
        <v>1490</v>
      </c>
      <c r="K902" t="s">
        <v>31</v>
      </c>
      <c r="L902" s="4">
        <v>22.5</v>
      </c>
      <c r="M902" t="s">
        <v>762</v>
      </c>
      <c r="N902" t="s">
        <v>46</v>
      </c>
      <c r="O902" s="4">
        <v>260</v>
      </c>
      <c r="P902">
        <v>0</v>
      </c>
      <c r="Q902" s="4">
        <v>260</v>
      </c>
      <c r="R902" s="12">
        <f t="shared" si="14"/>
        <v>5850</v>
      </c>
      <c r="T902" t="s">
        <v>27</v>
      </c>
      <c r="U902" t="s">
        <v>757</v>
      </c>
      <c r="V902" s="4">
        <v>22.5</v>
      </c>
      <c r="W902">
        <v>0</v>
      </c>
    </row>
    <row r="903" spans="1:23" hidden="1" x14ac:dyDescent="0.25">
      <c r="A903" s="2">
        <v>45854.58902777778</v>
      </c>
      <c r="B903">
        <v>3932</v>
      </c>
      <c r="C903" t="s">
        <v>763</v>
      </c>
      <c r="D903" s="3">
        <v>45854</v>
      </c>
      <c r="E903" s="3">
        <v>46142</v>
      </c>
      <c r="F903" t="s">
        <v>79</v>
      </c>
      <c r="G903" t="s">
        <v>1493</v>
      </c>
      <c r="H903" t="s">
        <v>22</v>
      </c>
      <c r="I903" t="s">
        <v>44</v>
      </c>
      <c r="J903" t="s">
        <v>1491</v>
      </c>
      <c r="K903" t="s">
        <v>31</v>
      </c>
      <c r="L903" s="4">
        <v>310</v>
      </c>
      <c r="M903" t="s">
        <v>764</v>
      </c>
      <c r="N903" t="s">
        <v>26</v>
      </c>
      <c r="O903" s="4">
        <v>40</v>
      </c>
      <c r="P903">
        <v>0</v>
      </c>
      <c r="Q903" s="4">
        <v>40</v>
      </c>
      <c r="R903" s="12">
        <f t="shared" si="14"/>
        <v>12400</v>
      </c>
      <c r="T903" t="s">
        <v>765</v>
      </c>
      <c r="U903" t="s">
        <v>766</v>
      </c>
      <c r="V903" s="4">
        <v>310</v>
      </c>
      <c r="W903">
        <v>0</v>
      </c>
    </row>
    <row r="904" spans="1:23" hidden="1" x14ac:dyDescent="0.25">
      <c r="A904" s="2">
        <v>45854.58902777778</v>
      </c>
      <c r="B904">
        <v>3932</v>
      </c>
      <c r="C904" t="s">
        <v>763</v>
      </c>
      <c r="D904" s="3">
        <v>45854</v>
      </c>
      <c r="E904" s="3">
        <v>46142</v>
      </c>
      <c r="F904" t="s">
        <v>79</v>
      </c>
      <c r="G904" t="s">
        <v>1493</v>
      </c>
      <c r="H904" t="s">
        <v>22</v>
      </c>
      <c r="I904" t="s">
        <v>59</v>
      </c>
      <c r="J904" t="s">
        <v>1491</v>
      </c>
      <c r="K904" t="s">
        <v>24</v>
      </c>
      <c r="L904" s="4">
        <v>39</v>
      </c>
      <c r="M904" t="s">
        <v>764</v>
      </c>
      <c r="N904" t="s">
        <v>26</v>
      </c>
      <c r="O904" s="4">
        <v>204</v>
      </c>
      <c r="P904">
        <v>0</v>
      </c>
      <c r="Q904" s="4">
        <v>204</v>
      </c>
      <c r="R904" s="12">
        <f t="shared" si="14"/>
        <v>7956</v>
      </c>
      <c r="T904" t="s">
        <v>765</v>
      </c>
      <c r="U904" t="s">
        <v>766</v>
      </c>
      <c r="V904" s="4">
        <v>39</v>
      </c>
      <c r="W904">
        <v>0</v>
      </c>
    </row>
    <row r="905" spans="1:23" hidden="1" x14ac:dyDescent="0.25">
      <c r="A905" s="2">
        <v>45854.58902777778</v>
      </c>
      <c r="B905">
        <v>3932</v>
      </c>
      <c r="C905" t="s">
        <v>763</v>
      </c>
      <c r="D905" s="3">
        <v>45854</v>
      </c>
      <c r="E905" s="3">
        <v>46142</v>
      </c>
      <c r="F905" t="s">
        <v>79</v>
      </c>
      <c r="G905" t="s">
        <v>1493</v>
      </c>
      <c r="H905" t="s">
        <v>22</v>
      </c>
      <c r="I905" t="s">
        <v>43</v>
      </c>
      <c r="J905" t="s">
        <v>1491</v>
      </c>
      <c r="K905" t="s">
        <v>24</v>
      </c>
      <c r="L905" s="4">
        <v>29</v>
      </c>
      <c r="M905" t="s">
        <v>764</v>
      </c>
      <c r="N905" t="s">
        <v>26</v>
      </c>
      <c r="O905" s="4">
        <v>300</v>
      </c>
      <c r="P905">
        <v>0</v>
      </c>
      <c r="Q905" s="4">
        <v>300</v>
      </c>
      <c r="R905" s="12">
        <f t="shared" si="14"/>
        <v>8700</v>
      </c>
      <c r="T905" t="s">
        <v>765</v>
      </c>
      <c r="U905" t="s">
        <v>766</v>
      </c>
      <c r="V905" s="4">
        <v>29</v>
      </c>
      <c r="W905">
        <v>0</v>
      </c>
    </row>
    <row r="906" spans="1:23" hidden="1" x14ac:dyDescent="0.25">
      <c r="A906" s="2">
        <v>45923.675358796296</v>
      </c>
      <c r="B906">
        <v>4079</v>
      </c>
      <c r="C906" t="s">
        <v>763</v>
      </c>
      <c r="D906" s="3">
        <v>45923</v>
      </c>
      <c r="E906" s="3">
        <v>46142</v>
      </c>
      <c r="F906" t="s">
        <v>79</v>
      </c>
      <c r="G906" t="s">
        <v>1493</v>
      </c>
      <c r="H906" t="s">
        <v>496</v>
      </c>
      <c r="I906" t="s">
        <v>43</v>
      </c>
      <c r="J906" t="s">
        <v>1491</v>
      </c>
      <c r="K906" t="s">
        <v>24</v>
      </c>
      <c r="L906" s="4">
        <v>29</v>
      </c>
      <c r="M906" t="s">
        <v>764</v>
      </c>
      <c r="N906" t="s">
        <v>26</v>
      </c>
      <c r="O906" s="4">
        <v>3564</v>
      </c>
      <c r="P906">
        <v>0</v>
      </c>
      <c r="Q906" s="4">
        <v>3564</v>
      </c>
      <c r="R906" s="12">
        <f t="shared" si="14"/>
        <v>103356</v>
      </c>
      <c r="T906" t="s">
        <v>765</v>
      </c>
      <c r="U906" t="s">
        <v>766</v>
      </c>
      <c r="V906" s="4">
        <v>29</v>
      </c>
      <c r="W906">
        <v>0</v>
      </c>
    </row>
    <row r="907" spans="1:23" hidden="1" x14ac:dyDescent="0.25">
      <c r="A907" s="2">
        <v>45923.675358796296</v>
      </c>
      <c r="B907">
        <v>4079</v>
      </c>
      <c r="C907" t="s">
        <v>763</v>
      </c>
      <c r="D907" s="3">
        <v>45923</v>
      </c>
      <c r="E907" s="3">
        <v>46142</v>
      </c>
      <c r="F907" t="s">
        <v>79</v>
      </c>
      <c r="G907" t="s">
        <v>1493</v>
      </c>
      <c r="H907" t="s">
        <v>496</v>
      </c>
      <c r="I907" t="s">
        <v>40</v>
      </c>
      <c r="J907" t="s">
        <v>1491</v>
      </c>
      <c r="K907" t="s">
        <v>24</v>
      </c>
      <c r="L907" s="4">
        <v>248</v>
      </c>
      <c r="M907" t="s">
        <v>764</v>
      </c>
      <c r="N907" t="s">
        <v>26</v>
      </c>
      <c r="O907" s="4">
        <v>24</v>
      </c>
      <c r="P907">
        <v>0</v>
      </c>
      <c r="Q907" s="4">
        <v>24</v>
      </c>
      <c r="R907" s="12">
        <f t="shared" si="14"/>
        <v>5952</v>
      </c>
      <c r="T907" t="s">
        <v>765</v>
      </c>
      <c r="U907" t="s">
        <v>766</v>
      </c>
      <c r="V907" s="4">
        <v>248</v>
      </c>
      <c r="W907">
        <v>0</v>
      </c>
    </row>
    <row r="908" spans="1:23" hidden="1" x14ac:dyDescent="0.25">
      <c r="A908" s="2">
        <v>45923.675358796296</v>
      </c>
      <c r="B908">
        <v>4079</v>
      </c>
      <c r="C908" t="s">
        <v>763</v>
      </c>
      <c r="D908" s="3">
        <v>45923</v>
      </c>
      <c r="E908" s="3">
        <v>46142</v>
      </c>
      <c r="F908" t="s">
        <v>79</v>
      </c>
      <c r="G908" t="s">
        <v>1493</v>
      </c>
      <c r="H908" t="s">
        <v>496</v>
      </c>
      <c r="I908" t="s">
        <v>41</v>
      </c>
      <c r="J908" t="s">
        <v>1491</v>
      </c>
      <c r="K908" t="s">
        <v>24</v>
      </c>
      <c r="L908" s="4">
        <v>248</v>
      </c>
      <c r="M908" t="s">
        <v>764</v>
      </c>
      <c r="N908" t="s">
        <v>26</v>
      </c>
      <c r="O908" s="4">
        <v>24</v>
      </c>
      <c r="P908">
        <v>0</v>
      </c>
      <c r="Q908" s="4">
        <v>24</v>
      </c>
      <c r="R908" s="12">
        <f t="shared" si="14"/>
        <v>5952</v>
      </c>
      <c r="T908" t="s">
        <v>765</v>
      </c>
      <c r="U908" t="s">
        <v>766</v>
      </c>
      <c r="V908" s="4">
        <v>248</v>
      </c>
      <c r="W908">
        <v>0</v>
      </c>
    </row>
    <row r="909" spans="1:23" hidden="1" x14ac:dyDescent="0.25">
      <c r="A909" s="2">
        <v>45923.675358796296</v>
      </c>
      <c r="B909">
        <v>4079</v>
      </c>
      <c r="C909" t="s">
        <v>763</v>
      </c>
      <c r="D909" s="3">
        <v>45923</v>
      </c>
      <c r="E909" s="3">
        <v>46142</v>
      </c>
      <c r="F909" t="s">
        <v>79</v>
      </c>
      <c r="G909" t="s">
        <v>1493</v>
      </c>
      <c r="H909" t="s">
        <v>496</v>
      </c>
      <c r="I909" t="s">
        <v>38</v>
      </c>
      <c r="J909" t="s">
        <v>1491</v>
      </c>
      <c r="K909" t="s">
        <v>24</v>
      </c>
      <c r="L909" s="4">
        <v>34</v>
      </c>
      <c r="M909" t="s">
        <v>764</v>
      </c>
      <c r="N909" t="s">
        <v>26</v>
      </c>
      <c r="O909" s="4">
        <v>1092</v>
      </c>
      <c r="P909">
        <v>0</v>
      </c>
      <c r="Q909" s="4">
        <v>1092</v>
      </c>
      <c r="R909" s="12">
        <f t="shared" si="14"/>
        <v>37128</v>
      </c>
      <c r="T909" t="s">
        <v>765</v>
      </c>
      <c r="U909" t="s">
        <v>766</v>
      </c>
      <c r="V909" s="4">
        <v>34</v>
      </c>
      <c r="W909">
        <v>0</v>
      </c>
    </row>
    <row r="910" spans="1:23" hidden="1" x14ac:dyDescent="0.25">
      <c r="A910" s="2">
        <v>45923.675358796296</v>
      </c>
      <c r="B910">
        <v>4079</v>
      </c>
      <c r="C910" t="s">
        <v>763</v>
      </c>
      <c r="D910" s="3">
        <v>45923</v>
      </c>
      <c r="E910" s="3">
        <v>46142</v>
      </c>
      <c r="F910" t="s">
        <v>79</v>
      </c>
      <c r="G910" t="s">
        <v>1493</v>
      </c>
      <c r="H910" t="s">
        <v>496</v>
      </c>
      <c r="I910" t="s">
        <v>92</v>
      </c>
      <c r="J910" t="s">
        <v>1491</v>
      </c>
      <c r="K910" t="s">
        <v>31</v>
      </c>
      <c r="L910" s="4">
        <v>240</v>
      </c>
      <c r="M910" t="s">
        <v>764</v>
      </c>
      <c r="N910" t="s">
        <v>26</v>
      </c>
      <c r="O910" s="4">
        <v>555</v>
      </c>
      <c r="P910">
        <v>0</v>
      </c>
      <c r="Q910" s="4">
        <v>555</v>
      </c>
      <c r="R910" s="12">
        <f t="shared" si="14"/>
        <v>133200</v>
      </c>
      <c r="T910" t="s">
        <v>765</v>
      </c>
      <c r="U910" t="s">
        <v>766</v>
      </c>
      <c r="V910" s="4">
        <v>240</v>
      </c>
      <c r="W910">
        <v>0</v>
      </c>
    </row>
    <row r="911" spans="1:23" hidden="1" x14ac:dyDescent="0.25">
      <c r="A911" s="2">
        <v>45923.675358796296</v>
      </c>
      <c r="B911">
        <v>4079</v>
      </c>
      <c r="C911" t="s">
        <v>763</v>
      </c>
      <c r="D911" s="3">
        <v>45923</v>
      </c>
      <c r="E911" s="3">
        <v>46142</v>
      </c>
      <c r="F911" t="s">
        <v>79</v>
      </c>
      <c r="G911" t="s">
        <v>1493</v>
      </c>
      <c r="H911" t="s">
        <v>496</v>
      </c>
      <c r="I911" t="s">
        <v>497</v>
      </c>
      <c r="J911" t="s">
        <v>1491</v>
      </c>
      <c r="K911" t="s">
        <v>24</v>
      </c>
      <c r="L911" s="4">
        <v>48</v>
      </c>
      <c r="M911" t="s">
        <v>764</v>
      </c>
      <c r="N911" t="s">
        <v>26</v>
      </c>
      <c r="O911" s="4">
        <v>300</v>
      </c>
      <c r="P911">
        <v>0</v>
      </c>
      <c r="Q911" s="4">
        <v>300</v>
      </c>
      <c r="R911" s="12">
        <f t="shared" si="14"/>
        <v>14400</v>
      </c>
      <c r="T911" t="s">
        <v>765</v>
      </c>
      <c r="U911" t="s">
        <v>766</v>
      </c>
      <c r="V911" s="4">
        <v>48</v>
      </c>
      <c r="W911">
        <v>0</v>
      </c>
    </row>
    <row r="912" spans="1:23" hidden="1" x14ac:dyDescent="0.25">
      <c r="A912" s="2">
        <v>45923.675358796296</v>
      </c>
      <c r="B912">
        <v>4079</v>
      </c>
      <c r="C912" t="s">
        <v>763</v>
      </c>
      <c r="D912" s="3">
        <v>45923</v>
      </c>
      <c r="E912" s="3">
        <v>46142</v>
      </c>
      <c r="F912" t="s">
        <v>79</v>
      </c>
      <c r="G912" t="s">
        <v>1493</v>
      </c>
      <c r="H912" t="s">
        <v>496</v>
      </c>
      <c r="I912" t="s">
        <v>44</v>
      </c>
      <c r="J912" t="s">
        <v>1491</v>
      </c>
      <c r="K912" t="s">
        <v>31</v>
      </c>
      <c r="L912" s="4">
        <v>310</v>
      </c>
      <c r="M912" t="s">
        <v>764</v>
      </c>
      <c r="N912" t="s">
        <v>26</v>
      </c>
      <c r="O912" s="4">
        <v>805</v>
      </c>
      <c r="P912">
        <v>0</v>
      </c>
      <c r="Q912" s="4">
        <v>805</v>
      </c>
      <c r="R912" s="12">
        <f t="shared" si="14"/>
        <v>249550</v>
      </c>
      <c r="T912" t="s">
        <v>765</v>
      </c>
      <c r="U912" t="s">
        <v>766</v>
      </c>
      <c r="V912" s="4">
        <v>310</v>
      </c>
      <c r="W912">
        <v>0</v>
      </c>
    </row>
    <row r="913" spans="1:23" hidden="1" x14ac:dyDescent="0.25">
      <c r="A913" s="2">
        <v>45882.586076388892</v>
      </c>
      <c r="B913">
        <v>264</v>
      </c>
      <c r="C913" t="s">
        <v>767</v>
      </c>
      <c r="D913" s="3">
        <v>45882</v>
      </c>
      <c r="E913" s="3">
        <v>45894</v>
      </c>
      <c r="F913" t="s">
        <v>66</v>
      </c>
      <c r="H913" t="s">
        <v>484</v>
      </c>
      <c r="I913" t="s">
        <v>134</v>
      </c>
      <c r="K913" t="s">
        <v>105</v>
      </c>
      <c r="L913" s="4">
        <v>1150</v>
      </c>
      <c r="M913" t="s">
        <v>768</v>
      </c>
      <c r="N913" t="s">
        <v>26</v>
      </c>
      <c r="O913" s="4">
        <v>50</v>
      </c>
      <c r="P913">
        <v>0</v>
      </c>
      <c r="Q913" s="4">
        <v>50</v>
      </c>
      <c r="R913" s="12">
        <f t="shared" si="14"/>
        <v>57500</v>
      </c>
      <c r="T913" t="s">
        <v>486</v>
      </c>
      <c r="U913" t="s">
        <v>769</v>
      </c>
      <c r="V913" s="4">
        <v>1150</v>
      </c>
      <c r="W913">
        <v>0</v>
      </c>
    </row>
    <row r="914" spans="1:23" hidden="1" x14ac:dyDescent="0.25">
      <c r="A914" s="2">
        <v>45901.334247685183</v>
      </c>
      <c r="B914">
        <v>279</v>
      </c>
      <c r="C914" t="s">
        <v>767</v>
      </c>
      <c r="D914" s="3">
        <v>45901</v>
      </c>
      <c r="E914" s="3">
        <v>46142</v>
      </c>
      <c r="F914" t="s">
        <v>66</v>
      </c>
      <c r="G914" t="s">
        <v>1494</v>
      </c>
      <c r="H914" t="s">
        <v>484</v>
      </c>
      <c r="I914" t="s">
        <v>63</v>
      </c>
      <c r="J914" t="s">
        <v>1491</v>
      </c>
      <c r="K914" t="s">
        <v>31</v>
      </c>
      <c r="L914" s="4">
        <v>179</v>
      </c>
      <c r="M914" t="s">
        <v>770</v>
      </c>
      <c r="N914" t="s">
        <v>26</v>
      </c>
      <c r="O914" s="4">
        <v>195</v>
      </c>
      <c r="P914">
        <v>0</v>
      </c>
      <c r="Q914" s="4">
        <v>195</v>
      </c>
      <c r="R914" s="12">
        <f t="shared" si="14"/>
        <v>34905</v>
      </c>
      <c r="T914" t="s">
        <v>486</v>
      </c>
      <c r="U914" t="s">
        <v>769</v>
      </c>
      <c r="V914" s="4">
        <v>179</v>
      </c>
      <c r="W914">
        <v>0</v>
      </c>
    </row>
    <row r="915" spans="1:23" hidden="1" x14ac:dyDescent="0.25">
      <c r="A915" s="2">
        <v>45894.587210648147</v>
      </c>
      <c r="B915">
        <v>3998</v>
      </c>
      <c r="C915" t="s">
        <v>771</v>
      </c>
      <c r="D915" s="3">
        <v>45891</v>
      </c>
      <c r="E915" s="3">
        <v>46142</v>
      </c>
      <c r="F915" t="s">
        <v>112</v>
      </c>
      <c r="G915" t="s">
        <v>1493</v>
      </c>
      <c r="H915" t="s">
        <v>22</v>
      </c>
      <c r="I915" t="s">
        <v>43</v>
      </c>
      <c r="J915" t="s">
        <v>1491</v>
      </c>
      <c r="K915" t="s">
        <v>24</v>
      </c>
      <c r="L915" s="4">
        <v>49</v>
      </c>
      <c r="M915" t="s">
        <v>772</v>
      </c>
      <c r="N915" t="s">
        <v>26</v>
      </c>
      <c r="O915" s="4">
        <v>12</v>
      </c>
      <c r="P915">
        <v>0</v>
      </c>
      <c r="Q915" s="4">
        <v>12</v>
      </c>
      <c r="R915" s="12">
        <f t="shared" si="14"/>
        <v>588</v>
      </c>
      <c r="T915" t="s">
        <v>151</v>
      </c>
      <c r="U915" t="s">
        <v>773</v>
      </c>
      <c r="V915" s="4">
        <v>49</v>
      </c>
      <c r="W915">
        <v>0</v>
      </c>
    </row>
    <row r="916" spans="1:23" hidden="1" x14ac:dyDescent="0.25">
      <c r="A916" s="2">
        <v>45894.587210648147</v>
      </c>
      <c r="B916">
        <v>3998</v>
      </c>
      <c r="C916" t="s">
        <v>771</v>
      </c>
      <c r="D916" s="3">
        <v>45891</v>
      </c>
      <c r="E916" s="3">
        <v>46142</v>
      </c>
      <c r="F916" t="s">
        <v>112</v>
      </c>
      <c r="H916" t="s">
        <v>22</v>
      </c>
      <c r="I916" t="s">
        <v>42</v>
      </c>
      <c r="J916" t="s">
        <v>1490</v>
      </c>
      <c r="K916" t="s">
        <v>24</v>
      </c>
      <c r="L916" s="4">
        <v>240</v>
      </c>
      <c r="M916" t="s">
        <v>772</v>
      </c>
      <c r="N916" t="s">
        <v>26</v>
      </c>
      <c r="O916" s="4">
        <v>5</v>
      </c>
      <c r="P916">
        <v>0</v>
      </c>
      <c r="Q916" s="4">
        <v>5</v>
      </c>
      <c r="R916" s="12">
        <f t="shared" si="14"/>
        <v>1200</v>
      </c>
      <c r="T916" t="s">
        <v>151</v>
      </c>
      <c r="U916" t="s">
        <v>773</v>
      </c>
      <c r="V916" s="4">
        <v>240</v>
      </c>
      <c r="W916">
        <v>0</v>
      </c>
    </row>
    <row r="917" spans="1:23" hidden="1" x14ac:dyDescent="0.25">
      <c r="A917" s="2">
        <v>45894.587210648147</v>
      </c>
      <c r="B917">
        <v>3998</v>
      </c>
      <c r="C917" t="s">
        <v>771</v>
      </c>
      <c r="D917" s="3">
        <v>45891</v>
      </c>
      <c r="E917" s="3">
        <v>46142</v>
      </c>
      <c r="F917" t="s">
        <v>112</v>
      </c>
      <c r="G917" t="s">
        <v>1493</v>
      </c>
      <c r="H917" t="s">
        <v>22</v>
      </c>
      <c r="I917" t="s">
        <v>40</v>
      </c>
      <c r="J917" t="s">
        <v>1491</v>
      </c>
      <c r="K917" t="s">
        <v>24</v>
      </c>
      <c r="L917" s="4">
        <v>365</v>
      </c>
      <c r="M917" t="s">
        <v>772</v>
      </c>
      <c r="N917" t="s">
        <v>26</v>
      </c>
      <c r="O917" s="4">
        <v>13</v>
      </c>
      <c r="P917">
        <v>0</v>
      </c>
      <c r="Q917" s="4">
        <v>13</v>
      </c>
      <c r="R917" s="12">
        <f t="shared" si="14"/>
        <v>4745</v>
      </c>
      <c r="T917" t="s">
        <v>151</v>
      </c>
      <c r="U917" t="s">
        <v>773</v>
      </c>
      <c r="V917" s="4">
        <v>365</v>
      </c>
      <c r="W917">
        <v>0</v>
      </c>
    </row>
    <row r="918" spans="1:23" hidden="1" x14ac:dyDescent="0.25">
      <c r="A918" s="2">
        <v>45894.587210648147</v>
      </c>
      <c r="B918">
        <v>3998</v>
      </c>
      <c r="C918" t="s">
        <v>771</v>
      </c>
      <c r="D918" s="3">
        <v>45891</v>
      </c>
      <c r="E918" s="3">
        <v>46142</v>
      </c>
      <c r="F918" t="s">
        <v>112</v>
      </c>
      <c r="G918" t="s">
        <v>1493</v>
      </c>
      <c r="H918" t="s">
        <v>22</v>
      </c>
      <c r="I918" t="s">
        <v>38</v>
      </c>
      <c r="J918" t="s">
        <v>1491</v>
      </c>
      <c r="K918" t="s">
        <v>24</v>
      </c>
      <c r="L918" s="4">
        <v>48</v>
      </c>
      <c r="M918" t="s">
        <v>772</v>
      </c>
      <c r="N918" t="s">
        <v>26</v>
      </c>
      <c r="O918" s="4">
        <v>12</v>
      </c>
      <c r="P918">
        <v>0</v>
      </c>
      <c r="Q918" s="4">
        <v>12</v>
      </c>
      <c r="R918" s="12">
        <f t="shared" si="14"/>
        <v>576</v>
      </c>
      <c r="T918" t="s">
        <v>151</v>
      </c>
      <c r="U918" t="s">
        <v>773</v>
      </c>
      <c r="V918" s="4">
        <v>48</v>
      </c>
      <c r="W918">
        <v>0</v>
      </c>
    </row>
    <row r="919" spans="1:23" hidden="1" x14ac:dyDescent="0.25">
      <c r="A919" s="2">
        <v>45894.587210648147</v>
      </c>
      <c r="B919">
        <v>3998</v>
      </c>
      <c r="C919" t="s">
        <v>771</v>
      </c>
      <c r="D919" s="3">
        <v>45891</v>
      </c>
      <c r="E919" s="3">
        <v>46142</v>
      </c>
      <c r="F919" t="s">
        <v>112</v>
      </c>
      <c r="G919" t="s">
        <v>1493</v>
      </c>
      <c r="H919" t="s">
        <v>22</v>
      </c>
      <c r="I919" t="s">
        <v>63</v>
      </c>
      <c r="J919" t="s">
        <v>1491</v>
      </c>
      <c r="K919" t="s">
        <v>31</v>
      </c>
      <c r="L919" s="4">
        <v>200</v>
      </c>
      <c r="M919" t="s">
        <v>772</v>
      </c>
      <c r="N919" t="s">
        <v>26</v>
      </c>
      <c r="O919" s="4">
        <v>39</v>
      </c>
      <c r="P919">
        <v>0</v>
      </c>
      <c r="Q919" s="4">
        <v>39</v>
      </c>
      <c r="R919" s="12">
        <f t="shared" si="14"/>
        <v>7800</v>
      </c>
      <c r="T919" t="s">
        <v>151</v>
      </c>
      <c r="U919" t="s">
        <v>773</v>
      </c>
      <c r="V919" s="4">
        <v>200</v>
      </c>
      <c r="W919">
        <v>0</v>
      </c>
    </row>
    <row r="920" spans="1:23" hidden="1" x14ac:dyDescent="0.25">
      <c r="A920" s="2">
        <v>45894.587210648147</v>
      </c>
      <c r="B920">
        <v>3998</v>
      </c>
      <c r="C920" t="s">
        <v>771</v>
      </c>
      <c r="D920" s="3">
        <v>45891</v>
      </c>
      <c r="E920" s="3">
        <v>46142</v>
      </c>
      <c r="F920" t="s">
        <v>112</v>
      </c>
      <c r="G920" t="s">
        <v>1493</v>
      </c>
      <c r="H920" t="s">
        <v>22</v>
      </c>
      <c r="I920" t="s">
        <v>41</v>
      </c>
      <c r="J920" t="s">
        <v>1491</v>
      </c>
      <c r="K920" t="s">
        <v>24</v>
      </c>
      <c r="L920" s="4">
        <v>380</v>
      </c>
      <c r="M920" t="s">
        <v>772</v>
      </c>
      <c r="N920" t="s">
        <v>26</v>
      </c>
      <c r="O920" s="4">
        <v>13</v>
      </c>
      <c r="P920">
        <v>0</v>
      </c>
      <c r="Q920" s="4">
        <v>13</v>
      </c>
      <c r="R920" s="12">
        <f t="shared" si="14"/>
        <v>4940</v>
      </c>
      <c r="T920" t="s">
        <v>151</v>
      </c>
      <c r="U920" t="s">
        <v>773</v>
      </c>
      <c r="V920" s="4">
        <v>380</v>
      </c>
      <c r="W920">
        <v>0</v>
      </c>
    </row>
    <row r="921" spans="1:23" hidden="1" x14ac:dyDescent="0.25">
      <c r="A921" s="2">
        <v>45923.622766203705</v>
      </c>
      <c r="B921">
        <v>4077</v>
      </c>
      <c r="C921" t="s">
        <v>771</v>
      </c>
      <c r="D921" s="3">
        <v>45923</v>
      </c>
      <c r="E921" s="3">
        <v>46111</v>
      </c>
      <c r="F921" t="s">
        <v>112</v>
      </c>
      <c r="H921" t="s">
        <v>22</v>
      </c>
      <c r="I921" t="s">
        <v>148</v>
      </c>
      <c r="J921" t="s">
        <v>1490</v>
      </c>
      <c r="K921" t="s">
        <v>24</v>
      </c>
      <c r="L921" s="4">
        <v>90</v>
      </c>
      <c r="M921" t="s">
        <v>774</v>
      </c>
      <c r="N921" t="s">
        <v>26</v>
      </c>
      <c r="O921" s="4">
        <v>10</v>
      </c>
      <c r="P921">
        <v>0</v>
      </c>
      <c r="Q921" s="4">
        <v>10</v>
      </c>
      <c r="R921" s="12">
        <f t="shared" si="14"/>
        <v>900</v>
      </c>
      <c r="T921" t="s">
        <v>151</v>
      </c>
      <c r="U921" t="s">
        <v>773</v>
      </c>
      <c r="V921" s="4">
        <v>90</v>
      </c>
      <c r="W921">
        <v>0</v>
      </c>
    </row>
    <row r="922" spans="1:23" hidden="1" x14ac:dyDescent="0.25">
      <c r="A922" s="2">
        <v>45923.622766203705</v>
      </c>
      <c r="B922">
        <v>4077</v>
      </c>
      <c r="C922" t="s">
        <v>771</v>
      </c>
      <c r="D922" s="3">
        <v>45923</v>
      </c>
      <c r="E922" s="3">
        <v>46111</v>
      </c>
      <c r="F922" t="s">
        <v>112</v>
      </c>
      <c r="H922" t="s">
        <v>22</v>
      </c>
      <c r="I922" t="s">
        <v>35</v>
      </c>
      <c r="J922" t="s">
        <v>1490</v>
      </c>
      <c r="K922" t="s">
        <v>24</v>
      </c>
      <c r="L922" s="4">
        <v>75</v>
      </c>
      <c r="M922" t="s">
        <v>774</v>
      </c>
      <c r="N922" t="s">
        <v>26</v>
      </c>
      <c r="O922" s="4">
        <v>10</v>
      </c>
      <c r="P922">
        <v>0</v>
      </c>
      <c r="Q922" s="4">
        <v>10</v>
      </c>
      <c r="R922" s="12">
        <f t="shared" si="14"/>
        <v>750</v>
      </c>
      <c r="T922" t="s">
        <v>151</v>
      </c>
      <c r="U922" t="s">
        <v>773</v>
      </c>
      <c r="V922" s="4">
        <v>75</v>
      </c>
      <c r="W922">
        <v>0</v>
      </c>
    </row>
    <row r="923" spans="1:23" hidden="1" x14ac:dyDescent="0.25">
      <c r="A923" s="2">
        <v>45923.622766203705</v>
      </c>
      <c r="B923">
        <v>4077</v>
      </c>
      <c r="C923" t="s">
        <v>771</v>
      </c>
      <c r="D923" s="3">
        <v>45923</v>
      </c>
      <c r="E923" s="3">
        <v>46111</v>
      </c>
      <c r="F923" t="s">
        <v>112</v>
      </c>
      <c r="H923" t="s">
        <v>22</v>
      </c>
      <c r="I923" t="s">
        <v>36</v>
      </c>
      <c r="J923" t="s">
        <v>1490</v>
      </c>
      <c r="K923" t="s">
        <v>24</v>
      </c>
      <c r="L923" s="4">
        <v>75</v>
      </c>
      <c r="M923" t="s">
        <v>774</v>
      </c>
      <c r="N923" t="s">
        <v>26</v>
      </c>
      <c r="O923" s="4">
        <v>10</v>
      </c>
      <c r="P923">
        <v>0</v>
      </c>
      <c r="Q923" s="4">
        <v>10</v>
      </c>
      <c r="R923" s="12">
        <f t="shared" si="14"/>
        <v>750</v>
      </c>
      <c r="T923" t="s">
        <v>151</v>
      </c>
      <c r="U923" t="s">
        <v>773</v>
      </c>
      <c r="V923" s="4">
        <v>75</v>
      </c>
      <c r="W923">
        <v>0</v>
      </c>
    </row>
    <row r="924" spans="1:23" hidden="1" x14ac:dyDescent="0.25">
      <c r="A924" s="2">
        <v>45950.587222222224</v>
      </c>
      <c r="B924">
        <v>4184</v>
      </c>
      <c r="C924" t="s">
        <v>771</v>
      </c>
      <c r="D924" s="3">
        <v>45950</v>
      </c>
      <c r="E924" s="3">
        <v>46111</v>
      </c>
      <c r="F924" t="s">
        <v>112</v>
      </c>
      <c r="H924" t="s">
        <v>22</v>
      </c>
      <c r="I924" t="s">
        <v>672</v>
      </c>
      <c r="K924" t="s">
        <v>24</v>
      </c>
      <c r="L924" s="4">
        <v>95</v>
      </c>
      <c r="M924" t="s">
        <v>775</v>
      </c>
      <c r="N924" t="s">
        <v>26</v>
      </c>
      <c r="O924" s="4">
        <v>5</v>
      </c>
      <c r="P924">
        <v>0</v>
      </c>
      <c r="Q924" s="4">
        <v>5</v>
      </c>
      <c r="R924" s="12">
        <f t="shared" si="14"/>
        <v>475</v>
      </c>
      <c r="T924" t="s">
        <v>151</v>
      </c>
      <c r="U924" t="s">
        <v>773</v>
      </c>
      <c r="V924" s="4">
        <v>95</v>
      </c>
      <c r="W924">
        <v>0</v>
      </c>
    </row>
    <row r="925" spans="1:23" hidden="1" x14ac:dyDescent="0.25">
      <c r="A925" s="2">
        <v>45950.587222222224</v>
      </c>
      <c r="B925">
        <v>4184</v>
      </c>
      <c r="C925" t="s">
        <v>771</v>
      </c>
      <c r="D925" s="3">
        <v>45950</v>
      </c>
      <c r="E925" s="3">
        <v>46111</v>
      </c>
      <c r="F925" t="s">
        <v>112</v>
      </c>
      <c r="H925" t="s">
        <v>22</v>
      </c>
      <c r="I925" t="s">
        <v>57</v>
      </c>
      <c r="K925" t="s">
        <v>31</v>
      </c>
      <c r="L925" s="4">
        <v>95</v>
      </c>
      <c r="M925" t="s">
        <v>775</v>
      </c>
      <c r="N925" t="s">
        <v>26</v>
      </c>
      <c r="O925" s="4">
        <v>5</v>
      </c>
      <c r="P925">
        <v>0</v>
      </c>
      <c r="Q925" s="4">
        <v>5</v>
      </c>
      <c r="R925" s="12">
        <f t="shared" si="14"/>
        <v>475</v>
      </c>
      <c r="T925" t="s">
        <v>151</v>
      </c>
      <c r="U925" t="s">
        <v>773</v>
      </c>
      <c r="V925" s="4">
        <v>95</v>
      </c>
      <c r="W925">
        <v>0</v>
      </c>
    </row>
    <row r="926" spans="1:23" hidden="1" x14ac:dyDescent="0.25">
      <c r="A926" s="2">
        <v>45978.712453703702</v>
      </c>
      <c r="B926">
        <v>4277</v>
      </c>
      <c r="C926" t="s">
        <v>771</v>
      </c>
      <c r="D926" s="3">
        <v>45978</v>
      </c>
      <c r="E926" s="3">
        <v>46111</v>
      </c>
      <c r="F926" t="s">
        <v>112</v>
      </c>
      <c r="H926" t="s">
        <v>22</v>
      </c>
      <c r="I926" t="s">
        <v>148</v>
      </c>
      <c r="J926" t="s">
        <v>1490</v>
      </c>
      <c r="K926" t="s">
        <v>24</v>
      </c>
      <c r="L926" s="4">
        <v>90</v>
      </c>
      <c r="M926" t="s">
        <v>776</v>
      </c>
      <c r="N926" t="s">
        <v>26</v>
      </c>
      <c r="O926" s="4">
        <v>15</v>
      </c>
      <c r="P926">
        <v>0</v>
      </c>
      <c r="Q926" s="4">
        <v>15</v>
      </c>
      <c r="R926" s="12">
        <f t="shared" si="14"/>
        <v>1350</v>
      </c>
      <c r="T926" t="s">
        <v>151</v>
      </c>
      <c r="U926" t="s">
        <v>773</v>
      </c>
      <c r="V926" s="4">
        <v>90</v>
      </c>
      <c r="W926">
        <v>0</v>
      </c>
    </row>
    <row r="927" spans="1:23" hidden="1" x14ac:dyDescent="0.25">
      <c r="A927" s="2">
        <v>46006.458298611113</v>
      </c>
      <c r="B927">
        <v>4356</v>
      </c>
      <c r="C927" t="s">
        <v>771</v>
      </c>
      <c r="D927" s="3">
        <v>46006</v>
      </c>
      <c r="E927" s="3">
        <v>46111</v>
      </c>
      <c r="F927" t="s">
        <v>112</v>
      </c>
      <c r="H927" t="s">
        <v>22</v>
      </c>
      <c r="I927" t="s">
        <v>148</v>
      </c>
      <c r="J927" t="s">
        <v>1490</v>
      </c>
      <c r="K927" t="s">
        <v>24</v>
      </c>
      <c r="L927" s="4">
        <v>90</v>
      </c>
      <c r="M927" t="s">
        <v>777</v>
      </c>
      <c r="N927" t="s">
        <v>26</v>
      </c>
      <c r="O927" s="4">
        <v>10</v>
      </c>
      <c r="P927">
        <v>0</v>
      </c>
      <c r="Q927" s="4">
        <v>10</v>
      </c>
      <c r="R927" s="12">
        <f t="shared" si="14"/>
        <v>900</v>
      </c>
      <c r="T927" t="s">
        <v>151</v>
      </c>
      <c r="U927" t="s">
        <v>773</v>
      </c>
      <c r="V927" s="4">
        <v>90</v>
      </c>
      <c r="W927">
        <v>0</v>
      </c>
    </row>
    <row r="928" spans="1:23" hidden="1" x14ac:dyDescent="0.25">
      <c r="A928" s="2">
        <v>46031.777592592596</v>
      </c>
      <c r="B928">
        <v>4425</v>
      </c>
      <c r="C928" t="s">
        <v>771</v>
      </c>
      <c r="D928" s="3">
        <v>46031</v>
      </c>
      <c r="E928" s="3">
        <v>46111</v>
      </c>
      <c r="F928" t="s">
        <v>112</v>
      </c>
      <c r="H928" t="s">
        <v>22</v>
      </c>
      <c r="I928" t="s">
        <v>35</v>
      </c>
      <c r="J928" t="s">
        <v>1490</v>
      </c>
      <c r="K928" t="s">
        <v>24</v>
      </c>
      <c r="L928" s="4">
        <v>75</v>
      </c>
      <c r="M928" t="s">
        <v>778</v>
      </c>
      <c r="N928" t="s">
        <v>26</v>
      </c>
      <c r="O928" s="4">
        <v>5</v>
      </c>
      <c r="P928">
        <v>0</v>
      </c>
      <c r="Q928" s="4">
        <v>5</v>
      </c>
      <c r="R928" s="12">
        <f t="shared" si="14"/>
        <v>375</v>
      </c>
      <c r="T928" t="s">
        <v>151</v>
      </c>
      <c r="U928" t="s">
        <v>773</v>
      </c>
      <c r="V928" s="4">
        <v>75</v>
      </c>
      <c r="W928">
        <v>0</v>
      </c>
    </row>
    <row r="929" spans="1:23" hidden="1" x14ac:dyDescent="0.25">
      <c r="A929" s="2">
        <v>46031.777592592596</v>
      </c>
      <c r="B929">
        <v>4425</v>
      </c>
      <c r="C929" t="s">
        <v>771</v>
      </c>
      <c r="D929" s="3">
        <v>46031</v>
      </c>
      <c r="E929" s="3">
        <v>46111</v>
      </c>
      <c r="F929" t="s">
        <v>112</v>
      </c>
      <c r="H929" t="s">
        <v>22</v>
      </c>
      <c r="I929" t="s">
        <v>148</v>
      </c>
      <c r="J929" t="s">
        <v>1490</v>
      </c>
      <c r="K929" t="s">
        <v>24</v>
      </c>
      <c r="L929" s="4">
        <v>90</v>
      </c>
      <c r="M929" t="s">
        <v>778</v>
      </c>
      <c r="N929" t="s">
        <v>26</v>
      </c>
      <c r="O929" s="4">
        <v>5</v>
      </c>
      <c r="P929">
        <v>0</v>
      </c>
      <c r="Q929" s="4">
        <v>5</v>
      </c>
      <c r="R929" s="12">
        <f t="shared" si="14"/>
        <v>450</v>
      </c>
      <c r="T929" t="s">
        <v>151</v>
      </c>
      <c r="U929" t="s">
        <v>773</v>
      </c>
      <c r="V929" s="4">
        <v>90</v>
      </c>
      <c r="W929">
        <v>0</v>
      </c>
    </row>
    <row r="930" spans="1:23" hidden="1" x14ac:dyDescent="0.25">
      <c r="A930" s="2">
        <v>46038.618611111109</v>
      </c>
      <c r="B930">
        <v>4452</v>
      </c>
      <c r="C930" t="s">
        <v>771</v>
      </c>
      <c r="D930" s="3">
        <v>46035</v>
      </c>
      <c r="E930" s="3">
        <v>46264</v>
      </c>
      <c r="F930" t="s">
        <v>112</v>
      </c>
      <c r="G930" t="s">
        <v>1493</v>
      </c>
      <c r="H930" t="s">
        <v>22</v>
      </c>
      <c r="I930" t="s">
        <v>63</v>
      </c>
      <c r="J930" t="s">
        <v>1491</v>
      </c>
      <c r="K930" t="s">
        <v>31</v>
      </c>
      <c r="L930" s="4">
        <v>200</v>
      </c>
      <c r="M930" t="s">
        <v>779</v>
      </c>
      <c r="N930" t="s">
        <v>46</v>
      </c>
      <c r="O930" s="4">
        <v>10</v>
      </c>
      <c r="P930">
        <v>0</v>
      </c>
      <c r="Q930" s="4">
        <v>10</v>
      </c>
      <c r="R930" s="12">
        <f t="shared" si="14"/>
        <v>2000</v>
      </c>
      <c r="T930" t="s">
        <v>151</v>
      </c>
      <c r="U930" t="s">
        <v>773</v>
      </c>
      <c r="V930" s="4">
        <v>200</v>
      </c>
      <c r="W930">
        <v>0</v>
      </c>
    </row>
    <row r="931" spans="1:23" hidden="1" x14ac:dyDescent="0.25">
      <c r="A931" s="2">
        <v>46038.618611111109</v>
      </c>
      <c r="B931">
        <v>4452</v>
      </c>
      <c r="C931" t="s">
        <v>771</v>
      </c>
      <c r="D931" s="3">
        <v>46035</v>
      </c>
      <c r="E931" s="3">
        <v>46264</v>
      </c>
      <c r="F931" t="s">
        <v>112</v>
      </c>
      <c r="H931" t="s">
        <v>22</v>
      </c>
      <c r="I931" t="s">
        <v>148</v>
      </c>
      <c r="J931" t="s">
        <v>1490</v>
      </c>
      <c r="K931" t="s">
        <v>24</v>
      </c>
      <c r="L931" s="4">
        <v>90</v>
      </c>
      <c r="M931" t="s">
        <v>779</v>
      </c>
      <c r="N931" t="s">
        <v>46</v>
      </c>
      <c r="O931" s="4">
        <v>20</v>
      </c>
      <c r="P931">
        <v>0</v>
      </c>
      <c r="Q931" s="4">
        <v>20</v>
      </c>
      <c r="R931" s="12">
        <f t="shared" si="14"/>
        <v>1800</v>
      </c>
      <c r="T931" t="s">
        <v>151</v>
      </c>
      <c r="U931" t="s">
        <v>773</v>
      </c>
      <c r="V931" s="4">
        <v>90</v>
      </c>
      <c r="W931">
        <v>0</v>
      </c>
    </row>
    <row r="932" spans="1:23" hidden="1" x14ac:dyDescent="0.25">
      <c r="A932" s="2">
        <v>46038.618611111109</v>
      </c>
      <c r="B932">
        <v>4452</v>
      </c>
      <c r="C932" t="s">
        <v>771</v>
      </c>
      <c r="D932" s="3">
        <v>46035</v>
      </c>
      <c r="E932" s="3">
        <v>46264</v>
      </c>
      <c r="F932" t="s">
        <v>112</v>
      </c>
      <c r="H932" t="s">
        <v>22</v>
      </c>
      <c r="I932" t="s">
        <v>35</v>
      </c>
      <c r="J932" t="s">
        <v>1490</v>
      </c>
      <c r="K932" t="s">
        <v>24</v>
      </c>
      <c r="L932" s="4">
        <v>75</v>
      </c>
      <c r="M932" t="s">
        <v>779</v>
      </c>
      <c r="N932" t="s">
        <v>46</v>
      </c>
      <c r="O932" s="4">
        <v>20</v>
      </c>
      <c r="P932">
        <v>0</v>
      </c>
      <c r="Q932" s="4">
        <v>20</v>
      </c>
      <c r="R932" s="12">
        <f t="shared" si="14"/>
        <v>1500</v>
      </c>
      <c r="T932" t="s">
        <v>151</v>
      </c>
      <c r="U932" t="s">
        <v>773</v>
      </c>
      <c r="V932" s="4">
        <v>75</v>
      </c>
      <c r="W932">
        <v>0</v>
      </c>
    </row>
    <row r="933" spans="1:23" hidden="1" x14ac:dyDescent="0.25">
      <c r="A933" s="2">
        <v>46038.618611111109</v>
      </c>
      <c r="B933">
        <v>4452</v>
      </c>
      <c r="C933" t="s">
        <v>771</v>
      </c>
      <c r="D933" s="3">
        <v>46035</v>
      </c>
      <c r="E933" s="3">
        <v>46264</v>
      </c>
      <c r="F933" t="s">
        <v>112</v>
      </c>
      <c r="H933" t="s">
        <v>22</v>
      </c>
      <c r="I933" t="s">
        <v>519</v>
      </c>
      <c r="J933" t="s">
        <v>1490</v>
      </c>
      <c r="K933" t="s">
        <v>31</v>
      </c>
      <c r="L933" s="4">
        <v>32</v>
      </c>
      <c r="M933" t="s">
        <v>779</v>
      </c>
      <c r="N933" t="s">
        <v>46</v>
      </c>
      <c r="O933" s="4">
        <v>30</v>
      </c>
      <c r="P933">
        <v>0</v>
      </c>
      <c r="Q933" s="4">
        <v>30</v>
      </c>
      <c r="R933" s="12">
        <f t="shared" si="14"/>
        <v>960</v>
      </c>
      <c r="T933" t="s">
        <v>151</v>
      </c>
      <c r="U933" t="s">
        <v>773</v>
      </c>
      <c r="V933" s="4">
        <v>32</v>
      </c>
      <c r="W933">
        <v>0</v>
      </c>
    </row>
    <row r="934" spans="1:23" hidden="1" x14ac:dyDescent="0.25">
      <c r="A934" s="2">
        <v>46038.618611111109</v>
      </c>
      <c r="B934">
        <v>4452</v>
      </c>
      <c r="C934" t="s">
        <v>771</v>
      </c>
      <c r="D934" s="3">
        <v>46035</v>
      </c>
      <c r="E934" s="3">
        <v>46264</v>
      </c>
      <c r="F934" t="s">
        <v>112</v>
      </c>
      <c r="H934" t="s">
        <v>22</v>
      </c>
      <c r="I934" t="s">
        <v>30</v>
      </c>
      <c r="J934" t="s">
        <v>1490</v>
      </c>
      <c r="K934" t="s">
        <v>31</v>
      </c>
      <c r="L934" s="4">
        <v>24</v>
      </c>
      <c r="M934" t="s">
        <v>779</v>
      </c>
      <c r="N934" t="s">
        <v>46</v>
      </c>
      <c r="O934" s="4">
        <v>60</v>
      </c>
      <c r="P934">
        <v>0</v>
      </c>
      <c r="Q934" s="4">
        <v>60</v>
      </c>
      <c r="R934" s="12">
        <f t="shared" si="14"/>
        <v>1440</v>
      </c>
      <c r="T934" t="s">
        <v>151</v>
      </c>
      <c r="U934" t="s">
        <v>773</v>
      </c>
      <c r="V934" s="4">
        <v>24</v>
      </c>
      <c r="W934">
        <v>0</v>
      </c>
    </row>
    <row r="935" spans="1:23" hidden="1" x14ac:dyDescent="0.25">
      <c r="A935" s="2">
        <v>46087.309548611112</v>
      </c>
      <c r="B935">
        <v>4629</v>
      </c>
      <c r="C935" t="s">
        <v>771</v>
      </c>
      <c r="D935" s="3">
        <v>46087</v>
      </c>
      <c r="E935" s="3">
        <v>46295</v>
      </c>
      <c r="F935" t="s">
        <v>112</v>
      </c>
      <c r="H935" t="s">
        <v>22</v>
      </c>
      <c r="I935" t="s">
        <v>780</v>
      </c>
      <c r="K935" t="s">
        <v>24</v>
      </c>
      <c r="L935" s="4">
        <v>97</v>
      </c>
      <c r="M935" t="s">
        <v>781</v>
      </c>
      <c r="N935" t="s">
        <v>46</v>
      </c>
      <c r="O935" s="4">
        <v>60</v>
      </c>
      <c r="P935">
        <v>0</v>
      </c>
      <c r="Q935" s="4">
        <v>60</v>
      </c>
      <c r="R935" s="12">
        <f t="shared" si="14"/>
        <v>5820</v>
      </c>
      <c r="T935" t="s">
        <v>151</v>
      </c>
      <c r="U935" t="s">
        <v>773</v>
      </c>
      <c r="V935" s="4">
        <v>97</v>
      </c>
      <c r="W935">
        <v>0</v>
      </c>
    </row>
    <row r="936" spans="1:23" hidden="1" x14ac:dyDescent="0.25">
      <c r="A936" s="2">
        <v>46087.312858796293</v>
      </c>
      <c r="B936">
        <v>4630</v>
      </c>
      <c r="C936" t="s">
        <v>771</v>
      </c>
      <c r="D936" s="3">
        <v>46087</v>
      </c>
      <c r="E936" s="3">
        <v>46295</v>
      </c>
      <c r="F936" t="s">
        <v>112</v>
      </c>
      <c r="G936" t="s">
        <v>1493</v>
      </c>
      <c r="H936" t="s">
        <v>22</v>
      </c>
      <c r="I936" t="s">
        <v>40</v>
      </c>
      <c r="J936" t="s">
        <v>1491</v>
      </c>
      <c r="K936" t="s">
        <v>24</v>
      </c>
      <c r="L936" s="4">
        <v>365</v>
      </c>
      <c r="M936" t="s">
        <v>782</v>
      </c>
      <c r="N936" t="s">
        <v>46</v>
      </c>
      <c r="O936" s="4">
        <v>2</v>
      </c>
      <c r="P936">
        <v>0</v>
      </c>
      <c r="Q936" s="4">
        <v>2</v>
      </c>
      <c r="R936" s="12">
        <f t="shared" si="14"/>
        <v>730</v>
      </c>
      <c r="T936" t="s">
        <v>151</v>
      </c>
      <c r="U936" t="s">
        <v>773</v>
      </c>
      <c r="V936" s="4">
        <v>365</v>
      </c>
      <c r="W936">
        <v>0</v>
      </c>
    </row>
    <row r="937" spans="1:23" hidden="1" x14ac:dyDescent="0.25">
      <c r="A937" s="2">
        <v>46087.312858796293</v>
      </c>
      <c r="B937">
        <v>4630</v>
      </c>
      <c r="C937" t="s">
        <v>771</v>
      </c>
      <c r="D937" s="3">
        <v>46087</v>
      </c>
      <c r="E937" s="3">
        <v>46295</v>
      </c>
      <c r="F937" t="s">
        <v>112</v>
      </c>
      <c r="G937" t="s">
        <v>1493</v>
      </c>
      <c r="H937" t="s">
        <v>22</v>
      </c>
      <c r="I937" t="s">
        <v>63</v>
      </c>
      <c r="J937" t="s">
        <v>1491</v>
      </c>
      <c r="K937" t="s">
        <v>31</v>
      </c>
      <c r="L937" s="4">
        <v>200</v>
      </c>
      <c r="M937" t="s">
        <v>782</v>
      </c>
      <c r="N937" t="s">
        <v>46</v>
      </c>
      <c r="O937" s="4">
        <v>1</v>
      </c>
      <c r="P937">
        <v>0</v>
      </c>
      <c r="Q937" s="4">
        <v>1</v>
      </c>
      <c r="R937" s="12">
        <f t="shared" si="14"/>
        <v>200</v>
      </c>
      <c r="T937" t="s">
        <v>151</v>
      </c>
      <c r="U937" t="s">
        <v>773</v>
      </c>
      <c r="V937" s="4">
        <v>200</v>
      </c>
      <c r="W937">
        <v>0</v>
      </c>
    </row>
    <row r="938" spans="1:23" hidden="1" x14ac:dyDescent="0.25">
      <c r="A938" s="2">
        <v>46087.312858796293</v>
      </c>
      <c r="B938">
        <v>4630</v>
      </c>
      <c r="C938" t="s">
        <v>771</v>
      </c>
      <c r="D938" s="3">
        <v>46087</v>
      </c>
      <c r="E938" s="3">
        <v>46295</v>
      </c>
      <c r="F938" t="s">
        <v>112</v>
      </c>
      <c r="G938" t="s">
        <v>1493</v>
      </c>
      <c r="H938" t="s">
        <v>22</v>
      </c>
      <c r="I938" t="s">
        <v>41</v>
      </c>
      <c r="J938" t="s">
        <v>1491</v>
      </c>
      <c r="K938" t="s">
        <v>24</v>
      </c>
      <c r="L938" s="4">
        <v>380</v>
      </c>
      <c r="M938" t="s">
        <v>782</v>
      </c>
      <c r="N938" t="s">
        <v>46</v>
      </c>
      <c r="O938" s="4">
        <v>2</v>
      </c>
      <c r="P938">
        <v>0</v>
      </c>
      <c r="Q938" s="4">
        <v>2</v>
      </c>
      <c r="R938" s="12">
        <f t="shared" si="14"/>
        <v>760</v>
      </c>
      <c r="T938" t="s">
        <v>151</v>
      </c>
      <c r="U938" t="s">
        <v>773</v>
      </c>
      <c r="V938" s="4">
        <v>380</v>
      </c>
      <c r="W938">
        <v>0</v>
      </c>
    </row>
    <row r="939" spans="1:23" hidden="1" x14ac:dyDescent="0.25">
      <c r="A939" s="2">
        <v>45939.460393518515</v>
      </c>
      <c r="B939">
        <v>4139</v>
      </c>
      <c r="C939" t="s">
        <v>783</v>
      </c>
      <c r="D939" s="3">
        <v>45939</v>
      </c>
      <c r="E939" s="3">
        <v>45939</v>
      </c>
      <c r="F939" t="s">
        <v>79</v>
      </c>
      <c r="H939" t="s">
        <v>22</v>
      </c>
      <c r="I939" t="s">
        <v>80</v>
      </c>
      <c r="K939" t="s">
        <v>31</v>
      </c>
      <c r="L939" s="4">
        <v>36</v>
      </c>
      <c r="M939" t="s">
        <v>784</v>
      </c>
      <c r="N939" t="s">
        <v>26</v>
      </c>
      <c r="O939" s="4">
        <v>60</v>
      </c>
      <c r="P939">
        <v>0</v>
      </c>
      <c r="Q939" s="4">
        <v>60</v>
      </c>
      <c r="R939" s="12">
        <f t="shared" si="14"/>
        <v>2160</v>
      </c>
      <c r="T939" t="s">
        <v>145</v>
      </c>
      <c r="U939" t="s">
        <v>785</v>
      </c>
      <c r="V939" s="4">
        <v>36</v>
      </c>
      <c r="W939">
        <v>0</v>
      </c>
    </row>
    <row r="940" spans="1:23" hidden="1" x14ac:dyDescent="0.25">
      <c r="A940" s="2">
        <v>45952.619699074072</v>
      </c>
      <c r="B940">
        <v>4198</v>
      </c>
      <c r="C940" t="s">
        <v>783</v>
      </c>
      <c r="D940" s="3">
        <v>45952</v>
      </c>
      <c r="E940" s="3">
        <v>45952</v>
      </c>
      <c r="F940" t="s">
        <v>79</v>
      </c>
      <c r="H940" t="s">
        <v>22</v>
      </c>
      <c r="I940" t="s">
        <v>80</v>
      </c>
      <c r="K940" t="s">
        <v>31</v>
      </c>
      <c r="L940" s="4">
        <v>33.333329999999997</v>
      </c>
      <c r="M940" t="s">
        <v>786</v>
      </c>
      <c r="N940" t="s">
        <v>26</v>
      </c>
      <c r="O940" s="4">
        <v>30</v>
      </c>
      <c r="P940">
        <v>0</v>
      </c>
      <c r="Q940" s="4">
        <v>30</v>
      </c>
      <c r="R940" s="12">
        <f t="shared" si="14"/>
        <v>999.99989999999991</v>
      </c>
      <c r="T940" t="s">
        <v>27</v>
      </c>
      <c r="U940" t="s">
        <v>785</v>
      </c>
      <c r="V940" s="4">
        <v>33.333329999999997</v>
      </c>
      <c r="W940">
        <v>0</v>
      </c>
    </row>
    <row r="941" spans="1:23" hidden="1" x14ac:dyDescent="0.25">
      <c r="A941" s="2">
        <v>45971.607129629629</v>
      </c>
      <c r="B941">
        <v>4253</v>
      </c>
      <c r="C941" t="s">
        <v>783</v>
      </c>
      <c r="D941" s="3">
        <v>45971</v>
      </c>
      <c r="E941" s="3">
        <v>45971</v>
      </c>
      <c r="F941" t="s">
        <v>79</v>
      </c>
      <c r="H941" t="s">
        <v>22</v>
      </c>
      <c r="I941" t="s">
        <v>80</v>
      </c>
      <c r="K941" t="s">
        <v>31</v>
      </c>
      <c r="L941" s="4">
        <v>43.333333000000003</v>
      </c>
      <c r="M941" t="s">
        <v>787</v>
      </c>
      <c r="N941" t="s">
        <v>26</v>
      </c>
      <c r="O941" s="4">
        <v>30</v>
      </c>
      <c r="P941">
        <v>0</v>
      </c>
      <c r="Q941" s="4">
        <v>30</v>
      </c>
      <c r="R941" s="12">
        <f t="shared" si="14"/>
        <v>1299.99999</v>
      </c>
      <c r="T941" t="s">
        <v>27</v>
      </c>
      <c r="U941" t="s">
        <v>785</v>
      </c>
      <c r="V941" s="4">
        <v>43.333333000000003</v>
      </c>
      <c r="W941">
        <v>0</v>
      </c>
    </row>
    <row r="942" spans="1:23" hidden="1" x14ac:dyDescent="0.25">
      <c r="A942" s="2">
        <v>46031.35800925926</v>
      </c>
      <c r="B942">
        <v>4417</v>
      </c>
      <c r="C942" t="s">
        <v>783</v>
      </c>
      <c r="D942" s="3">
        <v>46031</v>
      </c>
      <c r="E942" s="3">
        <v>46032</v>
      </c>
      <c r="F942" t="s">
        <v>79</v>
      </c>
      <c r="H942" t="s">
        <v>22</v>
      </c>
      <c r="I942" t="s">
        <v>80</v>
      </c>
      <c r="K942" t="s">
        <v>31</v>
      </c>
      <c r="L942" s="4">
        <v>45</v>
      </c>
      <c r="M942" t="s">
        <v>788</v>
      </c>
      <c r="N942" t="s">
        <v>46</v>
      </c>
      <c r="O942" s="4">
        <v>30</v>
      </c>
      <c r="P942">
        <v>0</v>
      </c>
      <c r="Q942" s="4">
        <v>30</v>
      </c>
      <c r="R942" s="12">
        <f t="shared" si="14"/>
        <v>1350</v>
      </c>
      <c r="T942" t="s">
        <v>27</v>
      </c>
      <c r="U942" t="s">
        <v>785</v>
      </c>
      <c r="V942" s="4">
        <v>45</v>
      </c>
      <c r="W942">
        <v>0</v>
      </c>
    </row>
    <row r="943" spans="1:23" hidden="1" x14ac:dyDescent="0.25">
      <c r="A943" s="2">
        <v>46043.681793981479</v>
      </c>
      <c r="B943">
        <v>4478</v>
      </c>
      <c r="C943" t="s">
        <v>783</v>
      </c>
      <c r="D943" s="3">
        <v>46043</v>
      </c>
      <c r="E943" s="3">
        <v>46044</v>
      </c>
      <c r="F943" t="s">
        <v>79</v>
      </c>
      <c r="H943" t="s">
        <v>22</v>
      </c>
      <c r="I943" t="s">
        <v>80</v>
      </c>
      <c r="K943" t="s">
        <v>31</v>
      </c>
      <c r="L943" s="4">
        <v>45</v>
      </c>
      <c r="M943" t="s">
        <v>789</v>
      </c>
      <c r="N943" t="s">
        <v>46</v>
      </c>
      <c r="O943" s="4">
        <v>105</v>
      </c>
      <c r="P943">
        <v>0</v>
      </c>
      <c r="Q943" s="4">
        <v>105</v>
      </c>
      <c r="R943" s="12">
        <f t="shared" si="14"/>
        <v>4725</v>
      </c>
      <c r="T943" t="s">
        <v>27</v>
      </c>
      <c r="U943" t="s">
        <v>785</v>
      </c>
      <c r="V943" s="4">
        <v>45</v>
      </c>
      <c r="W943">
        <v>0</v>
      </c>
    </row>
    <row r="944" spans="1:23" hidden="1" x14ac:dyDescent="0.25">
      <c r="A944" s="2">
        <v>46062.44</v>
      </c>
      <c r="B944">
        <v>4548</v>
      </c>
      <c r="C944" t="s">
        <v>783</v>
      </c>
      <c r="D944" s="3">
        <v>46062</v>
      </c>
      <c r="E944" s="3">
        <v>46063</v>
      </c>
      <c r="F944" t="s">
        <v>79</v>
      </c>
      <c r="H944" t="s">
        <v>22</v>
      </c>
      <c r="I944" t="s">
        <v>80</v>
      </c>
      <c r="K944" t="s">
        <v>31</v>
      </c>
      <c r="L944" s="4">
        <v>45</v>
      </c>
      <c r="M944" t="s">
        <v>790</v>
      </c>
      <c r="N944" t="s">
        <v>46</v>
      </c>
      <c r="O944" s="4">
        <v>45</v>
      </c>
      <c r="P944">
        <v>0</v>
      </c>
      <c r="Q944" s="4">
        <v>45</v>
      </c>
      <c r="R944" s="12">
        <f t="shared" si="14"/>
        <v>2025</v>
      </c>
      <c r="T944" t="s">
        <v>27</v>
      </c>
      <c r="U944" t="s">
        <v>785</v>
      </c>
      <c r="V944" s="4">
        <v>45</v>
      </c>
      <c r="W944">
        <v>0</v>
      </c>
    </row>
    <row r="945" spans="1:23" hidden="1" x14ac:dyDescent="0.25">
      <c r="A945" s="2">
        <v>46076.595833333333</v>
      </c>
      <c r="B945">
        <v>4601</v>
      </c>
      <c r="C945" t="s">
        <v>783</v>
      </c>
      <c r="D945" s="3">
        <v>46076</v>
      </c>
      <c r="E945" s="3">
        <v>46077</v>
      </c>
      <c r="F945" t="s">
        <v>79</v>
      </c>
      <c r="H945" t="s">
        <v>22</v>
      </c>
      <c r="I945" t="s">
        <v>80</v>
      </c>
      <c r="K945" t="s">
        <v>31</v>
      </c>
      <c r="L945" s="4">
        <v>45</v>
      </c>
      <c r="M945" t="s">
        <v>791</v>
      </c>
      <c r="N945" t="s">
        <v>46</v>
      </c>
      <c r="O945" s="4">
        <v>75</v>
      </c>
      <c r="P945">
        <v>0</v>
      </c>
      <c r="Q945" s="4">
        <v>75</v>
      </c>
      <c r="R945" s="12">
        <f t="shared" si="14"/>
        <v>3375</v>
      </c>
      <c r="T945" t="s">
        <v>27</v>
      </c>
      <c r="U945" t="s">
        <v>785</v>
      </c>
      <c r="V945" s="4">
        <v>45</v>
      </c>
      <c r="W945">
        <v>0</v>
      </c>
    </row>
    <row r="946" spans="1:23" hidden="1" x14ac:dyDescent="0.25">
      <c r="A946" s="2">
        <v>45750.661365740743</v>
      </c>
      <c r="B946">
        <v>3792</v>
      </c>
      <c r="C946" t="s">
        <v>792</v>
      </c>
      <c r="D946" s="3">
        <v>45750</v>
      </c>
      <c r="E946" s="3">
        <v>45807</v>
      </c>
      <c r="F946" t="s">
        <v>79</v>
      </c>
      <c r="G946" t="s">
        <v>1493</v>
      </c>
      <c r="H946" t="s">
        <v>22</v>
      </c>
      <c r="I946" t="s">
        <v>43</v>
      </c>
      <c r="J946" t="s">
        <v>1491</v>
      </c>
      <c r="K946" t="s">
        <v>24</v>
      </c>
      <c r="L946" s="4">
        <v>38</v>
      </c>
      <c r="M946" t="s">
        <v>793</v>
      </c>
      <c r="N946" t="s">
        <v>26</v>
      </c>
      <c r="O946" s="4">
        <v>600</v>
      </c>
      <c r="P946">
        <v>0</v>
      </c>
      <c r="Q946" s="4">
        <v>600</v>
      </c>
      <c r="R946" s="12">
        <f t="shared" si="14"/>
        <v>22800</v>
      </c>
      <c r="T946" t="s">
        <v>27</v>
      </c>
      <c r="U946" t="s">
        <v>794</v>
      </c>
      <c r="V946" s="4">
        <v>38</v>
      </c>
      <c r="W946">
        <v>0</v>
      </c>
    </row>
    <row r="947" spans="1:23" hidden="1" x14ac:dyDescent="0.25">
      <c r="A947" s="2">
        <v>45918.427731481483</v>
      </c>
      <c r="B947">
        <v>4054</v>
      </c>
      <c r="C947" t="s">
        <v>792</v>
      </c>
      <c r="D947" s="3">
        <v>45918</v>
      </c>
      <c r="E947" s="3">
        <v>45991</v>
      </c>
      <c r="F947" t="s">
        <v>79</v>
      </c>
      <c r="G947" t="s">
        <v>1493</v>
      </c>
      <c r="H947" t="s">
        <v>22</v>
      </c>
      <c r="I947" t="s">
        <v>43</v>
      </c>
      <c r="J947" t="s">
        <v>1491</v>
      </c>
      <c r="K947" t="s">
        <v>24</v>
      </c>
      <c r="L947" s="4">
        <v>38</v>
      </c>
      <c r="M947" t="s">
        <v>795</v>
      </c>
      <c r="N947" t="s">
        <v>26</v>
      </c>
      <c r="O947" s="4">
        <v>108</v>
      </c>
      <c r="P947">
        <v>0</v>
      </c>
      <c r="Q947" s="4">
        <v>108</v>
      </c>
      <c r="R947" s="12">
        <f t="shared" si="14"/>
        <v>4104</v>
      </c>
      <c r="T947" t="s">
        <v>27</v>
      </c>
      <c r="U947" t="s">
        <v>794</v>
      </c>
      <c r="V947" s="4">
        <v>38</v>
      </c>
      <c r="W947">
        <v>0</v>
      </c>
    </row>
    <row r="948" spans="1:23" hidden="1" x14ac:dyDescent="0.25">
      <c r="A948" s="2">
        <v>46069.37400462963</v>
      </c>
      <c r="B948">
        <v>4572</v>
      </c>
      <c r="C948" t="s">
        <v>792</v>
      </c>
      <c r="D948" s="3">
        <v>46069</v>
      </c>
      <c r="E948" s="3">
        <v>46142</v>
      </c>
      <c r="F948" t="s">
        <v>21</v>
      </c>
      <c r="H948" t="s">
        <v>22</v>
      </c>
      <c r="I948" t="s">
        <v>796</v>
      </c>
      <c r="K948" t="s">
        <v>24</v>
      </c>
      <c r="L948" s="4">
        <v>160</v>
      </c>
      <c r="M948" t="s">
        <v>797</v>
      </c>
      <c r="N948" t="s">
        <v>46</v>
      </c>
      <c r="O948" s="4">
        <v>10</v>
      </c>
      <c r="P948">
        <v>0</v>
      </c>
      <c r="Q948" s="4">
        <v>10</v>
      </c>
      <c r="R948" s="12">
        <f t="shared" si="14"/>
        <v>1600</v>
      </c>
      <c r="T948" t="s">
        <v>27</v>
      </c>
      <c r="U948" t="s">
        <v>794</v>
      </c>
      <c r="V948" s="4">
        <v>160</v>
      </c>
      <c r="W948">
        <v>0</v>
      </c>
    </row>
    <row r="949" spans="1:23" hidden="1" x14ac:dyDescent="0.25">
      <c r="A949" s="2">
        <v>45761.470081018517</v>
      </c>
      <c r="B949">
        <v>183</v>
      </c>
      <c r="C949" t="s">
        <v>798</v>
      </c>
      <c r="D949" s="3">
        <v>45761</v>
      </c>
      <c r="E949" s="3">
        <v>46142</v>
      </c>
      <c r="F949" t="s">
        <v>66</v>
      </c>
      <c r="G949" t="s">
        <v>1494</v>
      </c>
      <c r="H949" t="s">
        <v>484</v>
      </c>
      <c r="I949" t="s">
        <v>40</v>
      </c>
      <c r="J949" t="s">
        <v>1491</v>
      </c>
      <c r="K949" t="s">
        <v>24</v>
      </c>
      <c r="L949" s="4">
        <v>340</v>
      </c>
      <c r="M949" t="s">
        <v>799</v>
      </c>
      <c r="N949" t="s">
        <v>26</v>
      </c>
      <c r="O949" s="4">
        <v>52</v>
      </c>
      <c r="P949">
        <v>0</v>
      </c>
      <c r="Q949" s="4">
        <v>52</v>
      </c>
      <c r="R949" s="12">
        <f t="shared" si="14"/>
        <v>17680</v>
      </c>
      <c r="T949" t="s">
        <v>800</v>
      </c>
      <c r="U949" t="s">
        <v>801</v>
      </c>
      <c r="V949" s="4">
        <v>340</v>
      </c>
      <c r="W949">
        <v>0</v>
      </c>
    </row>
    <row r="950" spans="1:23" hidden="1" x14ac:dyDescent="0.25">
      <c r="A950" s="2">
        <v>45761.470081018517</v>
      </c>
      <c r="B950">
        <v>183</v>
      </c>
      <c r="C950" t="s">
        <v>798</v>
      </c>
      <c r="D950" s="3">
        <v>45761</v>
      </c>
      <c r="E950" s="3">
        <v>46142</v>
      </c>
      <c r="F950" t="s">
        <v>66</v>
      </c>
      <c r="G950" t="s">
        <v>1494</v>
      </c>
      <c r="H950" t="s">
        <v>484</v>
      </c>
      <c r="I950" t="s">
        <v>43</v>
      </c>
      <c r="J950" t="s">
        <v>1491</v>
      </c>
      <c r="K950" t="s">
        <v>24</v>
      </c>
      <c r="L950" s="4">
        <v>50</v>
      </c>
      <c r="M950" t="s">
        <v>799</v>
      </c>
      <c r="N950" t="s">
        <v>26</v>
      </c>
      <c r="O950" s="4">
        <v>207</v>
      </c>
      <c r="P950">
        <v>0</v>
      </c>
      <c r="Q950" s="4">
        <v>207</v>
      </c>
      <c r="R950" s="12">
        <f t="shared" si="14"/>
        <v>10350</v>
      </c>
      <c r="T950" t="s">
        <v>800</v>
      </c>
      <c r="U950" t="s">
        <v>801</v>
      </c>
      <c r="V950" s="4">
        <v>50</v>
      </c>
      <c r="W950">
        <v>0</v>
      </c>
    </row>
    <row r="951" spans="1:23" hidden="1" x14ac:dyDescent="0.25">
      <c r="A951" s="2">
        <v>45761.470081018517</v>
      </c>
      <c r="B951">
        <v>183</v>
      </c>
      <c r="C951" t="s">
        <v>798</v>
      </c>
      <c r="D951" s="3">
        <v>45761</v>
      </c>
      <c r="E951" s="3">
        <v>46142</v>
      </c>
      <c r="F951" t="s">
        <v>66</v>
      </c>
      <c r="G951" t="s">
        <v>1494</v>
      </c>
      <c r="H951" t="s">
        <v>484</v>
      </c>
      <c r="I951" t="s">
        <v>41</v>
      </c>
      <c r="J951" t="s">
        <v>1491</v>
      </c>
      <c r="K951" t="s">
        <v>24</v>
      </c>
      <c r="L951" s="4">
        <v>340</v>
      </c>
      <c r="M951" t="s">
        <v>799</v>
      </c>
      <c r="N951" t="s">
        <v>26</v>
      </c>
      <c r="O951" s="4">
        <v>52</v>
      </c>
      <c r="P951">
        <v>0</v>
      </c>
      <c r="Q951" s="4">
        <v>52</v>
      </c>
      <c r="R951" s="12">
        <f t="shared" si="14"/>
        <v>17680</v>
      </c>
      <c r="T951" t="s">
        <v>800</v>
      </c>
      <c r="U951" t="s">
        <v>801</v>
      </c>
      <c r="V951" s="4">
        <v>340</v>
      </c>
      <c r="W951">
        <v>0</v>
      </c>
    </row>
    <row r="952" spans="1:23" hidden="1" x14ac:dyDescent="0.25">
      <c r="A952" s="2">
        <v>45761.470081018517</v>
      </c>
      <c r="B952">
        <v>183</v>
      </c>
      <c r="C952" t="s">
        <v>798</v>
      </c>
      <c r="D952" s="3">
        <v>45761</v>
      </c>
      <c r="E952" s="3">
        <v>46142</v>
      </c>
      <c r="F952" t="s">
        <v>66</v>
      </c>
      <c r="G952" t="s">
        <v>1494</v>
      </c>
      <c r="H952" t="s">
        <v>484</v>
      </c>
      <c r="I952" t="s">
        <v>38</v>
      </c>
      <c r="J952" t="s">
        <v>1491</v>
      </c>
      <c r="K952" t="s">
        <v>24</v>
      </c>
      <c r="L952" s="4">
        <v>50</v>
      </c>
      <c r="M952" t="s">
        <v>799</v>
      </c>
      <c r="N952" t="s">
        <v>26</v>
      </c>
      <c r="O952" s="4">
        <v>105</v>
      </c>
      <c r="P952">
        <v>0</v>
      </c>
      <c r="Q952" s="4">
        <v>105</v>
      </c>
      <c r="R952" s="12">
        <f t="shared" si="14"/>
        <v>5250</v>
      </c>
      <c r="T952" t="s">
        <v>800</v>
      </c>
      <c r="U952" t="s">
        <v>801</v>
      </c>
      <c r="V952" s="4">
        <v>50</v>
      </c>
      <c r="W952">
        <v>0</v>
      </c>
    </row>
    <row r="953" spans="1:23" hidden="1" x14ac:dyDescent="0.25">
      <c r="A953" s="2">
        <v>45761.470081018517</v>
      </c>
      <c r="B953">
        <v>183</v>
      </c>
      <c r="C953" t="s">
        <v>798</v>
      </c>
      <c r="D953" s="3">
        <v>45761</v>
      </c>
      <c r="E953" s="3">
        <v>46142</v>
      </c>
      <c r="F953" t="s">
        <v>66</v>
      </c>
      <c r="H953" t="s">
        <v>484</v>
      </c>
      <c r="I953" t="s">
        <v>42</v>
      </c>
      <c r="J953" t="s">
        <v>1490</v>
      </c>
      <c r="K953" t="s">
        <v>24</v>
      </c>
      <c r="L953" s="4">
        <v>200</v>
      </c>
      <c r="M953" t="s">
        <v>799</v>
      </c>
      <c r="N953" t="s">
        <v>26</v>
      </c>
      <c r="O953" s="4">
        <v>105</v>
      </c>
      <c r="P953">
        <v>0</v>
      </c>
      <c r="Q953" s="4">
        <v>105</v>
      </c>
      <c r="R953" s="12">
        <f t="shared" si="14"/>
        <v>21000</v>
      </c>
      <c r="T953" t="s">
        <v>800</v>
      </c>
      <c r="U953" t="s">
        <v>801</v>
      </c>
      <c r="V953" s="4">
        <v>200</v>
      </c>
      <c r="W953">
        <v>0</v>
      </c>
    </row>
    <row r="954" spans="1:23" hidden="1" x14ac:dyDescent="0.25">
      <c r="A954" s="2">
        <v>45761.470081018517</v>
      </c>
      <c r="B954">
        <v>183</v>
      </c>
      <c r="C954" t="s">
        <v>798</v>
      </c>
      <c r="D954" s="3">
        <v>45761</v>
      </c>
      <c r="E954" s="3">
        <v>46142</v>
      </c>
      <c r="F954" t="s">
        <v>66</v>
      </c>
      <c r="G954" t="s">
        <v>1494</v>
      </c>
      <c r="H954" t="s">
        <v>484</v>
      </c>
      <c r="I954" t="s">
        <v>63</v>
      </c>
      <c r="J954" t="s">
        <v>1491</v>
      </c>
      <c r="K954" t="s">
        <v>31</v>
      </c>
      <c r="L954" s="4">
        <v>198</v>
      </c>
      <c r="M954" t="s">
        <v>799</v>
      </c>
      <c r="N954" t="s">
        <v>26</v>
      </c>
      <c r="O954" s="4">
        <v>103</v>
      </c>
      <c r="P954">
        <v>0</v>
      </c>
      <c r="Q954" s="4">
        <v>103</v>
      </c>
      <c r="R954" s="12">
        <f t="shared" si="14"/>
        <v>20394</v>
      </c>
      <c r="T954" t="s">
        <v>800</v>
      </c>
      <c r="U954" t="s">
        <v>801</v>
      </c>
      <c r="V954" s="4">
        <v>198</v>
      </c>
      <c r="W954">
        <v>0</v>
      </c>
    </row>
    <row r="955" spans="1:23" hidden="1" x14ac:dyDescent="0.25">
      <c r="A955" s="2">
        <v>45919.661041666666</v>
      </c>
      <c r="B955">
        <v>308</v>
      </c>
      <c r="C955" t="s">
        <v>798</v>
      </c>
      <c r="D955" s="3">
        <v>45919</v>
      </c>
      <c r="E955" s="3">
        <v>46142</v>
      </c>
      <c r="F955" t="s">
        <v>66</v>
      </c>
      <c r="H955" t="s">
        <v>484</v>
      </c>
      <c r="I955" t="s">
        <v>328</v>
      </c>
      <c r="K955" t="s">
        <v>24</v>
      </c>
      <c r="L955" s="4">
        <v>60</v>
      </c>
      <c r="M955" t="s">
        <v>802</v>
      </c>
      <c r="N955" t="s">
        <v>26</v>
      </c>
      <c r="O955" s="4">
        <v>300</v>
      </c>
      <c r="P955">
        <v>0</v>
      </c>
      <c r="Q955" s="4">
        <v>300</v>
      </c>
      <c r="R955" s="12">
        <f t="shared" si="14"/>
        <v>18000</v>
      </c>
      <c r="T955" t="s">
        <v>800</v>
      </c>
      <c r="U955" t="s">
        <v>801</v>
      </c>
      <c r="V955" s="4">
        <v>60</v>
      </c>
      <c r="W955">
        <v>0</v>
      </c>
    </row>
    <row r="956" spans="1:23" hidden="1" x14ac:dyDescent="0.25">
      <c r="A956" s="2">
        <v>45974.4221875</v>
      </c>
      <c r="B956">
        <v>4263</v>
      </c>
      <c r="C956" t="s">
        <v>803</v>
      </c>
      <c r="D956" s="3">
        <v>45974</v>
      </c>
      <c r="E956" s="3">
        <v>45975</v>
      </c>
      <c r="F956" t="s">
        <v>112</v>
      </c>
      <c r="H956" t="s">
        <v>22</v>
      </c>
      <c r="I956" t="s">
        <v>804</v>
      </c>
      <c r="K956" t="s">
        <v>24</v>
      </c>
      <c r="L956" s="4">
        <v>30</v>
      </c>
      <c r="M956" t="s">
        <v>805</v>
      </c>
      <c r="N956" t="s">
        <v>26</v>
      </c>
      <c r="O956" s="4">
        <v>60</v>
      </c>
      <c r="P956">
        <v>0</v>
      </c>
      <c r="Q956" s="4">
        <v>60</v>
      </c>
      <c r="R956" s="12">
        <f t="shared" si="14"/>
        <v>1800</v>
      </c>
      <c r="T956" t="s">
        <v>117</v>
      </c>
      <c r="U956" t="s">
        <v>806</v>
      </c>
      <c r="V956" s="4">
        <v>30</v>
      </c>
      <c r="W956">
        <v>0</v>
      </c>
    </row>
    <row r="957" spans="1:23" hidden="1" x14ac:dyDescent="0.25">
      <c r="A957" s="2">
        <v>46073.399189814816</v>
      </c>
      <c r="B957">
        <v>4589</v>
      </c>
      <c r="C957" t="s">
        <v>803</v>
      </c>
      <c r="D957" s="3">
        <v>46067</v>
      </c>
      <c r="E957" s="3">
        <v>46076</v>
      </c>
      <c r="F957" t="s">
        <v>112</v>
      </c>
      <c r="G957" t="s">
        <v>1493</v>
      </c>
      <c r="H957" t="s">
        <v>22</v>
      </c>
      <c r="I957" t="s">
        <v>44</v>
      </c>
      <c r="J957" t="s">
        <v>1491</v>
      </c>
      <c r="K957" t="s">
        <v>31</v>
      </c>
      <c r="L957" s="4">
        <v>400</v>
      </c>
      <c r="M957" t="s">
        <v>807</v>
      </c>
      <c r="N957" t="s">
        <v>46</v>
      </c>
      <c r="O957" s="4">
        <v>21</v>
      </c>
      <c r="P957">
        <v>0</v>
      </c>
      <c r="Q957" s="4">
        <v>21</v>
      </c>
      <c r="R957" s="12">
        <f t="shared" si="14"/>
        <v>8400</v>
      </c>
      <c r="T957" t="s">
        <v>117</v>
      </c>
      <c r="U957" t="s">
        <v>806</v>
      </c>
      <c r="V957" s="4">
        <v>400</v>
      </c>
      <c r="W957">
        <v>0</v>
      </c>
    </row>
    <row r="958" spans="1:23" hidden="1" x14ac:dyDescent="0.25">
      <c r="A958" s="2">
        <v>46073.399189814816</v>
      </c>
      <c r="B958">
        <v>4589</v>
      </c>
      <c r="C958" t="s">
        <v>803</v>
      </c>
      <c r="D958" s="3">
        <v>46067</v>
      </c>
      <c r="E958" s="3">
        <v>46076</v>
      </c>
      <c r="F958" t="s">
        <v>112</v>
      </c>
      <c r="G958" t="s">
        <v>1493</v>
      </c>
      <c r="H958" t="s">
        <v>22</v>
      </c>
      <c r="I958" t="s">
        <v>38</v>
      </c>
      <c r="J958" t="s">
        <v>1491</v>
      </c>
      <c r="K958" t="s">
        <v>24</v>
      </c>
      <c r="L958" s="4">
        <v>58</v>
      </c>
      <c r="M958" t="s">
        <v>807</v>
      </c>
      <c r="N958" t="s">
        <v>46</v>
      </c>
      <c r="O958" s="4">
        <v>63</v>
      </c>
      <c r="P958">
        <v>0</v>
      </c>
      <c r="Q958" s="4">
        <v>63</v>
      </c>
      <c r="R958" s="12">
        <f t="shared" si="14"/>
        <v>3654</v>
      </c>
      <c r="T958" t="s">
        <v>117</v>
      </c>
      <c r="U958" t="s">
        <v>806</v>
      </c>
      <c r="V958" s="4">
        <v>58</v>
      </c>
      <c r="W958">
        <v>0</v>
      </c>
    </row>
    <row r="959" spans="1:23" hidden="1" x14ac:dyDescent="0.25">
      <c r="A959" s="2">
        <v>45996.438796296294</v>
      </c>
      <c r="B959">
        <v>4331</v>
      </c>
      <c r="C959" t="s">
        <v>808</v>
      </c>
      <c r="D959" s="3">
        <v>45996</v>
      </c>
      <c r="E959" s="3">
        <v>46142</v>
      </c>
      <c r="F959" t="s">
        <v>79</v>
      </c>
      <c r="G959" t="s">
        <v>1493</v>
      </c>
      <c r="H959" t="s">
        <v>22</v>
      </c>
      <c r="I959" t="s">
        <v>40</v>
      </c>
      <c r="J959" t="s">
        <v>1491</v>
      </c>
      <c r="K959" t="s">
        <v>24</v>
      </c>
      <c r="L959" s="4">
        <v>300</v>
      </c>
      <c r="M959" t="s">
        <v>809</v>
      </c>
      <c r="N959" t="s">
        <v>26</v>
      </c>
      <c r="O959" s="4">
        <v>5</v>
      </c>
      <c r="P959">
        <v>0</v>
      </c>
      <c r="Q959" s="4">
        <v>5</v>
      </c>
      <c r="R959" s="12">
        <f t="shared" si="14"/>
        <v>1500</v>
      </c>
      <c r="U959" t="s">
        <v>810</v>
      </c>
      <c r="V959" s="4">
        <v>300</v>
      </c>
      <c r="W959">
        <v>0</v>
      </c>
    </row>
    <row r="960" spans="1:23" hidden="1" x14ac:dyDescent="0.25">
      <c r="A960" s="2">
        <v>45996.438796296294</v>
      </c>
      <c r="B960">
        <v>4331</v>
      </c>
      <c r="C960" t="s">
        <v>808</v>
      </c>
      <c r="D960" s="3">
        <v>45996</v>
      </c>
      <c r="E960" s="3">
        <v>46142</v>
      </c>
      <c r="F960" t="s">
        <v>79</v>
      </c>
      <c r="G960" t="s">
        <v>1493</v>
      </c>
      <c r="H960" t="s">
        <v>22</v>
      </c>
      <c r="I960" t="s">
        <v>38</v>
      </c>
      <c r="J960" t="s">
        <v>1491</v>
      </c>
      <c r="K960" t="s">
        <v>24</v>
      </c>
      <c r="L960" s="4">
        <v>42</v>
      </c>
      <c r="M960" t="s">
        <v>809</v>
      </c>
      <c r="N960" t="s">
        <v>26</v>
      </c>
      <c r="O960" s="4">
        <v>12</v>
      </c>
      <c r="P960">
        <v>0</v>
      </c>
      <c r="Q960" s="4">
        <v>12</v>
      </c>
      <c r="R960" s="12">
        <f t="shared" si="14"/>
        <v>504</v>
      </c>
      <c r="U960" t="s">
        <v>810</v>
      </c>
      <c r="V960" s="4">
        <v>42</v>
      </c>
      <c r="W960">
        <v>0</v>
      </c>
    </row>
    <row r="961" spans="1:23" hidden="1" x14ac:dyDescent="0.25">
      <c r="A961" s="2">
        <v>46035.411469907405</v>
      </c>
      <c r="B961">
        <v>4435</v>
      </c>
      <c r="C961" t="s">
        <v>808</v>
      </c>
      <c r="D961" s="3">
        <v>46035</v>
      </c>
      <c r="E961" s="3">
        <v>46264</v>
      </c>
      <c r="F961" t="s">
        <v>79</v>
      </c>
      <c r="G961" t="s">
        <v>1493</v>
      </c>
      <c r="H961" t="s">
        <v>22</v>
      </c>
      <c r="I961" t="s">
        <v>40</v>
      </c>
      <c r="J961" t="s">
        <v>1491</v>
      </c>
      <c r="K961" t="s">
        <v>24</v>
      </c>
      <c r="L961" s="4">
        <v>200</v>
      </c>
      <c r="M961" t="s">
        <v>811</v>
      </c>
      <c r="N961" t="s">
        <v>46</v>
      </c>
      <c r="O961" s="4">
        <v>40</v>
      </c>
      <c r="P961">
        <v>0</v>
      </c>
      <c r="Q961" s="4">
        <v>40</v>
      </c>
      <c r="R961" s="12">
        <f t="shared" si="14"/>
        <v>8000</v>
      </c>
      <c r="U961" t="s">
        <v>810</v>
      </c>
      <c r="V961" s="4">
        <v>200</v>
      </c>
      <c r="W961">
        <v>0</v>
      </c>
    </row>
    <row r="962" spans="1:23" hidden="1" x14ac:dyDescent="0.25">
      <c r="A962" s="2">
        <v>46035.411469907405</v>
      </c>
      <c r="B962">
        <v>4435</v>
      </c>
      <c r="C962" t="s">
        <v>808</v>
      </c>
      <c r="D962" s="3">
        <v>46035</v>
      </c>
      <c r="E962" s="3">
        <v>46264</v>
      </c>
      <c r="F962" t="s">
        <v>79</v>
      </c>
      <c r="G962" t="s">
        <v>1493</v>
      </c>
      <c r="H962" t="s">
        <v>22</v>
      </c>
      <c r="I962" t="s">
        <v>44</v>
      </c>
      <c r="J962" t="s">
        <v>1491</v>
      </c>
      <c r="K962" t="s">
        <v>31</v>
      </c>
      <c r="L962" s="4">
        <v>305</v>
      </c>
      <c r="M962" t="s">
        <v>811</v>
      </c>
      <c r="N962" t="s">
        <v>46</v>
      </c>
      <c r="O962" s="4">
        <v>40</v>
      </c>
      <c r="P962">
        <v>0</v>
      </c>
      <c r="Q962" s="4">
        <v>40</v>
      </c>
      <c r="R962" s="12">
        <f t="shared" si="14"/>
        <v>12200</v>
      </c>
      <c r="U962" t="s">
        <v>810</v>
      </c>
      <c r="V962" s="4">
        <v>305</v>
      </c>
      <c r="W962">
        <v>0</v>
      </c>
    </row>
    <row r="963" spans="1:23" hidden="1" x14ac:dyDescent="0.25">
      <c r="A963" s="2">
        <v>46043.401875000003</v>
      </c>
      <c r="B963">
        <v>4474</v>
      </c>
      <c r="C963" t="s">
        <v>808</v>
      </c>
      <c r="D963" s="3">
        <v>46043</v>
      </c>
      <c r="E963" s="3">
        <v>46264</v>
      </c>
      <c r="F963" t="s">
        <v>79</v>
      </c>
      <c r="G963" t="s">
        <v>1493</v>
      </c>
      <c r="H963" t="s">
        <v>22</v>
      </c>
      <c r="I963" t="s">
        <v>44</v>
      </c>
      <c r="J963" t="s">
        <v>1491</v>
      </c>
      <c r="K963" t="s">
        <v>31</v>
      </c>
      <c r="L963" s="4">
        <v>305</v>
      </c>
      <c r="M963" t="s">
        <v>812</v>
      </c>
      <c r="N963" t="s">
        <v>46</v>
      </c>
      <c r="O963" s="4">
        <v>30</v>
      </c>
      <c r="P963">
        <v>0</v>
      </c>
      <c r="Q963" s="4">
        <v>30</v>
      </c>
      <c r="R963" s="12">
        <f t="shared" ref="R963:R1026" si="15">Q963*L963</f>
        <v>9150</v>
      </c>
      <c r="U963" t="s">
        <v>810</v>
      </c>
      <c r="V963" s="4">
        <v>305</v>
      </c>
      <c r="W963">
        <v>0</v>
      </c>
    </row>
    <row r="964" spans="1:23" hidden="1" x14ac:dyDescent="0.25">
      <c r="A964" s="2">
        <v>46043.401875000003</v>
      </c>
      <c r="B964">
        <v>4474</v>
      </c>
      <c r="C964" t="s">
        <v>808</v>
      </c>
      <c r="D964" s="3">
        <v>46043</v>
      </c>
      <c r="E964" s="3">
        <v>46264</v>
      </c>
      <c r="F964" t="s">
        <v>79</v>
      </c>
      <c r="G964" t="s">
        <v>1493</v>
      </c>
      <c r="H964" t="s">
        <v>22</v>
      </c>
      <c r="I964" t="s">
        <v>41</v>
      </c>
      <c r="J964" t="s">
        <v>1491</v>
      </c>
      <c r="K964" t="s">
        <v>24</v>
      </c>
      <c r="L964" s="4">
        <v>200</v>
      </c>
      <c r="M964" t="s">
        <v>812</v>
      </c>
      <c r="N964" t="s">
        <v>46</v>
      </c>
      <c r="O964" s="4">
        <v>72</v>
      </c>
      <c r="P964">
        <v>0</v>
      </c>
      <c r="Q964" s="4">
        <v>72</v>
      </c>
      <c r="R964" s="12">
        <f t="shared" si="15"/>
        <v>14400</v>
      </c>
      <c r="U964" t="s">
        <v>810</v>
      </c>
      <c r="V964" s="4">
        <v>200</v>
      </c>
      <c r="W964">
        <v>0</v>
      </c>
    </row>
    <row r="965" spans="1:23" hidden="1" x14ac:dyDescent="0.25">
      <c r="A965" s="2">
        <v>46043.401875000003</v>
      </c>
      <c r="B965">
        <v>4474</v>
      </c>
      <c r="C965" t="s">
        <v>808</v>
      </c>
      <c r="D965" s="3">
        <v>46043</v>
      </c>
      <c r="E965" s="3">
        <v>46264</v>
      </c>
      <c r="F965" t="s">
        <v>79</v>
      </c>
      <c r="G965" t="s">
        <v>1493</v>
      </c>
      <c r="H965" t="s">
        <v>22</v>
      </c>
      <c r="I965" t="s">
        <v>40</v>
      </c>
      <c r="J965" t="s">
        <v>1491</v>
      </c>
      <c r="K965" t="s">
        <v>24</v>
      </c>
      <c r="L965" s="4">
        <v>200</v>
      </c>
      <c r="M965" t="s">
        <v>812</v>
      </c>
      <c r="N965" t="s">
        <v>46</v>
      </c>
      <c r="O965" s="4">
        <v>60</v>
      </c>
      <c r="P965">
        <v>0</v>
      </c>
      <c r="Q965" s="4">
        <v>60</v>
      </c>
      <c r="R965" s="12">
        <f t="shared" si="15"/>
        <v>12000</v>
      </c>
      <c r="U965" t="s">
        <v>810</v>
      </c>
      <c r="V965" s="4">
        <v>200</v>
      </c>
      <c r="W965">
        <v>0</v>
      </c>
    </row>
    <row r="966" spans="1:23" hidden="1" x14ac:dyDescent="0.25">
      <c r="A966" s="2">
        <v>46043.402812499997</v>
      </c>
      <c r="B966">
        <v>4475</v>
      </c>
      <c r="C966" t="s">
        <v>808</v>
      </c>
      <c r="D966" s="3">
        <v>46043</v>
      </c>
      <c r="E966" s="3">
        <v>46264</v>
      </c>
      <c r="F966" t="s">
        <v>79</v>
      </c>
      <c r="G966" t="s">
        <v>1493</v>
      </c>
      <c r="H966" t="s">
        <v>22</v>
      </c>
      <c r="I966" t="s">
        <v>92</v>
      </c>
      <c r="J966" t="s">
        <v>1491</v>
      </c>
      <c r="K966" t="s">
        <v>31</v>
      </c>
      <c r="L966" s="4">
        <v>265</v>
      </c>
      <c r="M966" t="s">
        <v>813</v>
      </c>
      <c r="N966" t="s">
        <v>46</v>
      </c>
      <c r="O966" s="4">
        <v>1</v>
      </c>
      <c r="P966">
        <v>0</v>
      </c>
      <c r="Q966" s="4">
        <v>1</v>
      </c>
      <c r="R966" s="12">
        <f t="shared" si="15"/>
        <v>265</v>
      </c>
      <c r="U966" t="s">
        <v>810</v>
      </c>
      <c r="V966" s="4">
        <v>265</v>
      </c>
      <c r="W966">
        <v>0</v>
      </c>
    </row>
    <row r="967" spans="1:23" hidden="1" x14ac:dyDescent="0.25">
      <c r="A967" s="2">
        <v>46043.40966435185</v>
      </c>
      <c r="B967">
        <v>4476</v>
      </c>
      <c r="C967" t="s">
        <v>808</v>
      </c>
      <c r="D967" s="3">
        <v>46043</v>
      </c>
      <c r="E967" s="3">
        <v>46264</v>
      </c>
      <c r="F967" t="s">
        <v>79</v>
      </c>
      <c r="G967" t="s">
        <v>1493</v>
      </c>
      <c r="H967" t="s">
        <v>22</v>
      </c>
      <c r="I967" t="s">
        <v>63</v>
      </c>
      <c r="J967" t="s">
        <v>1491</v>
      </c>
      <c r="K967" t="s">
        <v>31</v>
      </c>
      <c r="L967" s="4">
        <v>163</v>
      </c>
      <c r="M967" t="s">
        <v>814</v>
      </c>
      <c r="N967" t="s">
        <v>46</v>
      </c>
      <c r="O967" s="4">
        <v>10</v>
      </c>
      <c r="P967">
        <v>0</v>
      </c>
      <c r="Q967" s="4">
        <v>10</v>
      </c>
      <c r="R967" s="12">
        <f t="shared" si="15"/>
        <v>1630</v>
      </c>
      <c r="U967" t="s">
        <v>810</v>
      </c>
      <c r="V967" s="4">
        <v>163</v>
      </c>
      <c r="W967">
        <v>0</v>
      </c>
    </row>
    <row r="968" spans="1:23" hidden="1" x14ac:dyDescent="0.25">
      <c r="A968" s="2">
        <v>46043.40966435185</v>
      </c>
      <c r="B968">
        <v>4476</v>
      </c>
      <c r="C968" t="s">
        <v>808</v>
      </c>
      <c r="D968" s="3">
        <v>46043</v>
      </c>
      <c r="E968" s="3">
        <v>46264</v>
      </c>
      <c r="F968" t="s">
        <v>79</v>
      </c>
      <c r="G968" t="s">
        <v>1493</v>
      </c>
      <c r="H968" t="s">
        <v>22</v>
      </c>
      <c r="I968" t="s">
        <v>40</v>
      </c>
      <c r="J968" t="s">
        <v>1491</v>
      </c>
      <c r="K968" t="s">
        <v>24</v>
      </c>
      <c r="L968" s="4">
        <v>200</v>
      </c>
      <c r="M968" t="s">
        <v>814</v>
      </c>
      <c r="N968" t="s">
        <v>46</v>
      </c>
      <c r="O968" s="4">
        <v>20</v>
      </c>
      <c r="P968">
        <v>0</v>
      </c>
      <c r="Q968" s="4">
        <v>20</v>
      </c>
      <c r="R968" s="12">
        <f t="shared" si="15"/>
        <v>4000</v>
      </c>
      <c r="U968" t="s">
        <v>810</v>
      </c>
      <c r="V968" s="4">
        <v>200</v>
      </c>
      <c r="W968">
        <v>0</v>
      </c>
    </row>
    <row r="969" spans="1:23" hidden="1" x14ac:dyDescent="0.25">
      <c r="A969" s="2">
        <v>46048.607604166667</v>
      </c>
      <c r="B969">
        <v>4489</v>
      </c>
      <c r="C969" t="s">
        <v>808</v>
      </c>
      <c r="D969" s="3">
        <v>46048</v>
      </c>
      <c r="E969" s="3">
        <v>46264</v>
      </c>
      <c r="F969" t="s">
        <v>79</v>
      </c>
      <c r="G969" t="s">
        <v>1493</v>
      </c>
      <c r="H969" t="s">
        <v>22</v>
      </c>
      <c r="I969" t="s">
        <v>40</v>
      </c>
      <c r="J969" t="s">
        <v>1491</v>
      </c>
      <c r="K969" t="s">
        <v>24</v>
      </c>
      <c r="L969" s="4">
        <v>200</v>
      </c>
      <c r="M969" t="s">
        <v>815</v>
      </c>
      <c r="N969" t="s">
        <v>46</v>
      </c>
      <c r="O969" s="4">
        <v>12</v>
      </c>
      <c r="P969">
        <v>0</v>
      </c>
      <c r="Q969" s="4">
        <v>12</v>
      </c>
      <c r="R969" s="12">
        <f t="shared" si="15"/>
        <v>2400</v>
      </c>
      <c r="U969" t="s">
        <v>810</v>
      </c>
      <c r="V969" s="4">
        <v>200</v>
      </c>
      <c r="W969">
        <v>0</v>
      </c>
    </row>
    <row r="970" spans="1:23" hidden="1" x14ac:dyDescent="0.25">
      <c r="A970" s="2">
        <v>46048.607604166667</v>
      </c>
      <c r="B970">
        <v>4489</v>
      </c>
      <c r="C970" t="s">
        <v>808</v>
      </c>
      <c r="D970" s="3">
        <v>46048</v>
      </c>
      <c r="E970" s="3">
        <v>46264</v>
      </c>
      <c r="F970" t="s">
        <v>79</v>
      </c>
      <c r="G970" t="s">
        <v>1493</v>
      </c>
      <c r="H970" t="s">
        <v>22</v>
      </c>
      <c r="I970" t="s">
        <v>44</v>
      </c>
      <c r="J970" t="s">
        <v>1491</v>
      </c>
      <c r="K970" t="s">
        <v>31</v>
      </c>
      <c r="L970" s="4">
        <v>305</v>
      </c>
      <c r="M970" t="s">
        <v>815</v>
      </c>
      <c r="N970" t="s">
        <v>46</v>
      </c>
      <c r="O970" s="4">
        <v>15</v>
      </c>
      <c r="P970">
        <v>0</v>
      </c>
      <c r="Q970" s="4">
        <v>15</v>
      </c>
      <c r="R970" s="12">
        <f t="shared" si="15"/>
        <v>4575</v>
      </c>
      <c r="U970" t="s">
        <v>810</v>
      </c>
      <c r="V970" s="4">
        <v>305</v>
      </c>
      <c r="W970">
        <v>0</v>
      </c>
    </row>
    <row r="971" spans="1:23" hidden="1" x14ac:dyDescent="0.25">
      <c r="A971" s="2">
        <v>46048.607604166667</v>
      </c>
      <c r="B971">
        <v>4489</v>
      </c>
      <c r="C971" t="s">
        <v>808</v>
      </c>
      <c r="D971" s="3">
        <v>46048</v>
      </c>
      <c r="E971" s="3">
        <v>46264</v>
      </c>
      <c r="F971" t="s">
        <v>79</v>
      </c>
      <c r="G971" t="s">
        <v>1493</v>
      </c>
      <c r="H971" t="s">
        <v>22</v>
      </c>
      <c r="I971" t="s">
        <v>41</v>
      </c>
      <c r="J971" t="s">
        <v>1491</v>
      </c>
      <c r="K971" t="s">
        <v>24</v>
      </c>
      <c r="L971" s="4">
        <v>200</v>
      </c>
      <c r="M971" t="s">
        <v>815</v>
      </c>
      <c r="N971" t="s">
        <v>46</v>
      </c>
      <c r="O971" s="4">
        <v>12</v>
      </c>
      <c r="P971">
        <v>0</v>
      </c>
      <c r="Q971" s="4">
        <v>12</v>
      </c>
      <c r="R971" s="12">
        <f t="shared" si="15"/>
        <v>2400</v>
      </c>
      <c r="U971" t="s">
        <v>810</v>
      </c>
      <c r="V971" s="4">
        <v>200</v>
      </c>
      <c r="W971">
        <v>0</v>
      </c>
    </row>
    <row r="972" spans="1:23" hidden="1" x14ac:dyDescent="0.25">
      <c r="A972" s="2">
        <v>46052.43105324074</v>
      </c>
      <c r="B972">
        <v>4509</v>
      </c>
      <c r="C972" t="s">
        <v>808</v>
      </c>
      <c r="D972" s="3">
        <v>46052</v>
      </c>
      <c r="E972" s="3">
        <v>46264</v>
      </c>
      <c r="F972" t="s">
        <v>79</v>
      </c>
      <c r="G972" t="s">
        <v>1493</v>
      </c>
      <c r="H972" t="s">
        <v>22</v>
      </c>
      <c r="I972" t="s">
        <v>40</v>
      </c>
      <c r="J972" t="s">
        <v>1491</v>
      </c>
      <c r="K972" t="s">
        <v>24</v>
      </c>
      <c r="L972" s="4">
        <v>200</v>
      </c>
      <c r="M972" t="s">
        <v>816</v>
      </c>
      <c r="N972" t="s">
        <v>46</v>
      </c>
      <c r="O972" s="4">
        <v>30</v>
      </c>
      <c r="P972">
        <v>0</v>
      </c>
      <c r="Q972" s="4">
        <v>30</v>
      </c>
      <c r="R972" s="12">
        <f t="shared" si="15"/>
        <v>6000</v>
      </c>
      <c r="U972" t="s">
        <v>810</v>
      </c>
      <c r="V972" s="4">
        <v>200</v>
      </c>
      <c r="W972">
        <v>0</v>
      </c>
    </row>
    <row r="973" spans="1:23" hidden="1" x14ac:dyDescent="0.25">
      <c r="A973" s="2">
        <v>46052.43105324074</v>
      </c>
      <c r="B973">
        <v>4509</v>
      </c>
      <c r="C973" t="s">
        <v>808</v>
      </c>
      <c r="D973" s="3">
        <v>46052</v>
      </c>
      <c r="E973" s="3">
        <v>46264</v>
      </c>
      <c r="F973" t="s">
        <v>79</v>
      </c>
      <c r="G973" t="s">
        <v>1493</v>
      </c>
      <c r="H973" t="s">
        <v>22</v>
      </c>
      <c r="I973" t="s">
        <v>38</v>
      </c>
      <c r="J973" t="s">
        <v>1491</v>
      </c>
      <c r="K973" t="s">
        <v>24</v>
      </c>
      <c r="L973" s="4">
        <v>36.488888000000003</v>
      </c>
      <c r="M973" t="s">
        <v>816</v>
      </c>
      <c r="N973" t="s">
        <v>46</v>
      </c>
      <c r="O973" s="4">
        <v>45</v>
      </c>
      <c r="P973">
        <v>0</v>
      </c>
      <c r="Q973" s="4">
        <v>45</v>
      </c>
      <c r="R973" s="12">
        <f t="shared" si="15"/>
        <v>1641.9999600000001</v>
      </c>
      <c r="U973" t="s">
        <v>810</v>
      </c>
      <c r="V973" s="4">
        <v>36.488888000000003</v>
      </c>
      <c r="W973">
        <v>0</v>
      </c>
    </row>
    <row r="974" spans="1:23" hidden="1" x14ac:dyDescent="0.25">
      <c r="A974" s="2">
        <v>46052.43105324074</v>
      </c>
      <c r="B974">
        <v>4509</v>
      </c>
      <c r="C974" t="s">
        <v>808</v>
      </c>
      <c r="D974" s="3">
        <v>46052</v>
      </c>
      <c r="E974" s="3">
        <v>46264</v>
      </c>
      <c r="F974" t="s">
        <v>79</v>
      </c>
      <c r="G974" t="s">
        <v>1493</v>
      </c>
      <c r="H974" t="s">
        <v>22</v>
      </c>
      <c r="I974" t="s">
        <v>44</v>
      </c>
      <c r="J974" t="s">
        <v>1491</v>
      </c>
      <c r="K974" t="s">
        <v>31</v>
      </c>
      <c r="L974" s="4">
        <v>305</v>
      </c>
      <c r="M974" t="s">
        <v>816</v>
      </c>
      <c r="N974" t="s">
        <v>46</v>
      </c>
      <c r="O974" s="4">
        <v>30</v>
      </c>
      <c r="P974">
        <v>0</v>
      </c>
      <c r="Q974" s="4">
        <v>30</v>
      </c>
      <c r="R974" s="12">
        <f t="shared" si="15"/>
        <v>9150</v>
      </c>
      <c r="U974" t="s">
        <v>810</v>
      </c>
      <c r="V974" s="4">
        <v>305</v>
      </c>
      <c r="W974">
        <v>0</v>
      </c>
    </row>
    <row r="975" spans="1:23" hidden="1" x14ac:dyDescent="0.25">
      <c r="A975" s="2">
        <v>46058.584826388891</v>
      </c>
      <c r="B975">
        <v>4532</v>
      </c>
      <c r="C975" t="s">
        <v>808</v>
      </c>
      <c r="D975" s="3">
        <v>46058</v>
      </c>
      <c r="E975" s="3">
        <v>46264</v>
      </c>
      <c r="F975" t="s">
        <v>79</v>
      </c>
      <c r="G975" t="s">
        <v>1493</v>
      </c>
      <c r="H975" t="s">
        <v>22</v>
      </c>
      <c r="I975" t="s">
        <v>40</v>
      </c>
      <c r="J975" t="s">
        <v>1491</v>
      </c>
      <c r="K975" t="s">
        <v>24</v>
      </c>
      <c r="L975" s="4">
        <v>200</v>
      </c>
      <c r="M975" t="s">
        <v>817</v>
      </c>
      <c r="N975" t="s">
        <v>46</v>
      </c>
      <c r="O975" s="4">
        <v>48</v>
      </c>
      <c r="P975">
        <v>0</v>
      </c>
      <c r="Q975" s="4">
        <v>48</v>
      </c>
      <c r="R975" s="12">
        <f t="shared" si="15"/>
        <v>9600</v>
      </c>
      <c r="U975" t="s">
        <v>810</v>
      </c>
      <c r="V975" s="4">
        <v>200</v>
      </c>
      <c r="W975">
        <v>0</v>
      </c>
    </row>
    <row r="976" spans="1:23" hidden="1" x14ac:dyDescent="0.25">
      <c r="A976" s="2">
        <v>46058.584826388891</v>
      </c>
      <c r="B976">
        <v>4532</v>
      </c>
      <c r="C976" t="s">
        <v>808</v>
      </c>
      <c r="D976" s="3">
        <v>46058</v>
      </c>
      <c r="E976" s="3">
        <v>46264</v>
      </c>
      <c r="F976" t="s">
        <v>79</v>
      </c>
      <c r="G976" t="s">
        <v>1493</v>
      </c>
      <c r="H976" t="s">
        <v>22</v>
      </c>
      <c r="I976" t="s">
        <v>44</v>
      </c>
      <c r="J976" t="s">
        <v>1491</v>
      </c>
      <c r="K976" t="s">
        <v>31</v>
      </c>
      <c r="L976" s="4">
        <v>305</v>
      </c>
      <c r="M976" t="s">
        <v>817</v>
      </c>
      <c r="N976" t="s">
        <v>46</v>
      </c>
      <c r="O976" s="4">
        <v>40</v>
      </c>
      <c r="P976">
        <v>0</v>
      </c>
      <c r="Q976" s="4">
        <v>40</v>
      </c>
      <c r="R976" s="12">
        <f t="shared" si="15"/>
        <v>12200</v>
      </c>
      <c r="U976" t="s">
        <v>810</v>
      </c>
      <c r="V976" s="4">
        <v>305</v>
      </c>
      <c r="W976">
        <v>0</v>
      </c>
    </row>
    <row r="977" spans="1:23" hidden="1" x14ac:dyDescent="0.25">
      <c r="A977" s="2">
        <v>46058.584826388891</v>
      </c>
      <c r="B977">
        <v>4532</v>
      </c>
      <c r="C977" t="s">
        <v>808</v>
      </c>
      <c r="D977" s="3">
        <v>46058</v>
      </c>
      <c r="E977" s="3">
        <v>46264</v>
      </c>
      <c r="F977" t="s">
        <v>79</v>
      </c>
      <c r="G977" t="s">
        <v>1493</v>
      </c>
      <c r="H977" t="s">
        <v>22</v>
      </c>
      <c r="I977" t="s">
        <v>38</v>
      </c>
      <c r="J977" t="s">
        <v>1491</v>
      </c>
      <c r="K977" t="s">
        <v>24</v>
      </c>
      <c r="L977" s="4">
        <v>36.5</v>
      </c>
      <c r="M977" t="s">
        <v>817</v>
      </c>
      <c r="N977" t="s">
        <v>46</v>
      </c>
      <c r="O977" s="4">
        <v>96</v>
      </c>
      <c r="P977">
        <v>0</v>
      </c>
      <c r="Q977" s="4">
        <v>96</v>
      </c>
      <c r="R977" s="12">
        <f t="shared" si="15"/>
        <v>3504</v>
      </c>
      <c r="U977" t="s">
        <v>810</v>
      </c>
      <c r="V977" s="4">
        <v>36.5</v>
      </c>
      <c r="W977">
        <v>0</v>
      </c>
    </row>
    <row r="978" spans="1:23" hidden="1" x14ac:dyDescent="0.25">
      <c r="A978" s="2">
        <v>45946.53087962963</v>
      </c>
      <c r="B978">
        <v>355</v>
      </c>
      <c r="C978" t="s">
        <v>818</v>
      </c>
      <c r="D978" s="3">
        <v>45946</v>
      </c>
      <c r="E978" s="3">
        <v>45946</v>
      </c>
      <c r="F978" t="s">
        <v>324</v>
      </c>
      <c r="H978" t="s">
        <v>22</v>
      </c>
      <c r="I978" t="s">
        <v>80</v>
      </c>
      <c r="K978" t="s">
        <v>31</v>
      </c>
      <c r="L978" s="4">
        <v>34</v>
      </c>
      <c r="M978" t="s">
        <v>819</v>
      </c>
      <c r="N978" t="s">
        <v>26</v>
      </c>
      <c r="O978" s="4">
        <v>105</v>
      </c>
      <c r="P978">
        <v>0</v>
      </c>
      <c r="Q978" s="4">
        <v>105</v>
      </c>
      <c r="R978" s="12">
        <f t="shared" si="15"/>
        <v>3570</v>
      </c>
      <c r="T978" t="s">
        <v>337</v>
      </c>
      <c r="U978" t="s">
        <v>820</v>
      </c>
      <c r="V978" s="4">
        <v>34</v>
      </c>
      <c r="W978">
        <v>0</v>
      </c>
    </row>
    <row r="979" spans="1:23" hidden="1" x14ac:dyDescent="0.25">
      <c r="A979" s="2">
        <v>45985.500405092593</v>
      </c>
      <c r="B979">
        <v>422</v>
      </c>
      <c r="C979" t="s">
        <v>821</v>
      </c>
      <c r="D979" s="3">
        <v>45985</v>
      </c>
      <c r="E979" s="3">
        <v>46295</v>
      </c>
      <c r="F979" t="s">
        <v>66</v>
      </c>
      <c r="H979" t="s">
        <v>484</v>
      </c>
      <c r="I979" t="s">
        <v>177</v>
      </c>
      <c r="J979" t="s">
        <v>1490</v>
      </c>
      <c r="K979" t="s">
        <v>24</v>
      </c>
      <c r="L979" s="4">
        <v>19</v>
      </c>
      <c r="M979" t="s">
        <v>822</v>
      </c>
      <c r="N979" t="s">
        <v>46</v>
      </c>
      <c r="O979" s="4">
        <v>1200</v>
      </c>
      <c r="P979">
        <v>0</v>
      </c>
      <c r="Q979" s="4">
        <v>1200</v>
      </c>
      <c r="R979" s="12">
        <f t="shared" si="15"/>
        <v>22800</v>
      </c>
      <c r="T979" t="s">
        <v>486</v>
      </c>
      <c r="U979" t="s">
        <v>823</v>
      </c>
      <c r="V979" s="4">
        <v>19</v>
      </c>
      <c r="W979">
        <v>0</v>
      </c>
    </row>
    <row r="980" spans="1:23" hidden="1" x14ac:dyDescent="0.25">
      <c r="A980" s="2">
        <v>45985.500405092593</v>
      </c>
      <c r="B980">
        <v>422</v>
      </c>
      <c r="C980" t="s">
        <v>821</v>
      </c>
      <c r="D980" s="3">
        <v>45985</v>
      </c>
      <c r="E980" s="3">
        <v>46295</v>
      </c>
      <c r="F980" t="s">
        <v>66</v>
      </c>
      <c r="H980" t="s">
        <v>484</v>
      </c>
      <c r="I980" t="s">
        <v>131</v>
      </c>
      <c r="J980" t="s">
        <v>1490</v>
      </c>
      <c r="K980" t="s">
        <v>24</v>
      </c>
      <c r="L980" s="4">
        <v>170</v>
      </c>
      <c r="M980" t="s">
        <v>822</v>
      </c>
      <c r="N980" t="s">
        <v>46</v>
      </c>
      <c r="O980" s="4">
        <v>12</v>
      </c>
      <c r="P980">
        <v>0</v>
      </c>
      <c r="Q980" s="4">
        <v>12</v>
      </c>
      <c r="R980" s="12">
        <f t="shared" si="15"/>
        <v>2040</v>
      </c>
      <c r="T980" t="s">
        <v>486</v>
      </c>
      <c r="U980" t="s">
        <v>823</v>
      </c>
      <c r="V980" s="4">
        <v>170</v>
      </c>
      <c r="W980">
        <v>0</v>
      </c>
    </row>
    <row r="981" spans="1:23" hidden="1" x14ac:dyDescent="0.25">
      <c r="A981" s="2">
        <v>45985.500405092593</v>
      </c>
      <c r="B981">
        <v>422</v>
      </c>
      <c r="C981" t="s">
        <v>821</v>
      </c>
      <c r="D981" s="3">
        <v>45985</v>
      </c>
      <c r="E981" s="3">
        <v>46295</v>
      </c>
      <c r="F981" t="s">
        <v>66</v>
      </c>
      <c r="H981" t="s">
        <v>484</v>
      </c>
      <c r="I981" t="s">
        <v>96</v>
      </c>
      <c r="K981" t="s">
        <v>24</v>
      </c>
      <c r="L981" s="4">
        <v>58</v>
      </c>
      <c r="M981" t="s">
        <v>822</v>
      </c>
      <c r="N981" t="s">
        <v>46</v>
      </c>
      <c r="O981" s="4">
        <v>200</v>
      </c>
      <c r="P981">
        <v>0</v>
      </c>
      <c r="Q981" s="4">
        <v>200</v>
      </c>
      <c r="R981" s="12">
        <f t="shared" si="15"/>
        <v>11600</v>
      </c>
      <c r="T981" t="s">
        <v>486</v>
      </c>
      <c r="U981" t="s">
        <v>823</v>
      </c>
      <c r="V981" s="4">
        <v>58</v>
      </c>
      <c r="W981">
        <v>0</v>
      </c>
    </row>
    <row r="982" spans="1:23" hidden="1" x14ac:dyDescent="0.25">
      <c r="A982" s="2">
        <v>46031.559270833335</v>
      </c>
      <c r="B982">
        <v>487</v>
      </c>
      <c r="C982" t="s">
        <v>821</v>
      </c>
      <c r="D982" s="3">
        <v>46031</v>
      </c>
      <c r="E982" s="3">
        <v>46264</v>
      </c>
      <c r="F982" t="s">
        <v>66</v>
      </c>
      <c r="G982" t="s">
        <v>1494</v>
      </c>
      <c r="H982" t="s">
        <v>484</v>
      </c>
      <c r="I982" t="s">
        <v>63</v>
      </c>
      <c r="J982" t="s">
        <v>1491</v>
      </c>
      <c r="K982" t="s">
        <v>31</v>
      </c>
      <c r="L982" s="4">
        <v>180</v>
      </c>
      <c r="M982" t="s">
        <v>824</v>
      </c>
      <c r="N982" t="s">
        <v>46</v>
      </c>
      <c r="O982" s="4">
        <v>100</v>
      </c>
      <c r="P982">
        <v>0</v>
      </c>
      <c r="Q982" s="4">
        <v>100</v>
      </c>
      <c r="R982" s="12">
        <f t="shared" si="15"/>
        <v>18000</v>
      </c>
      <c r="T982" t="s">
        <v>486</v>
      </c>
      <c r="U982" t="s">
        <v>823</v>
      </c>
      <c r="V982" s="4">
        <v>180</v>
      </c>
      <c r="W982">
        <v>0</v>
      </c>
    </row>
    <row r="983" spans="1:23" hidden="1" x14ac:dyDescent="0.25">
      <c r="A983" s="2">
        <v>46062.613761574074</v>
      </c>
      <c r="B983">
        <v>539</v>
      </c>
      <c r="C983" t="s">
        <v>821</v>
      </c>
      <c r="D983" s="3">
        <v>46062</v>
      </c>
      <c r="E983" s="3">
        <v>46295</v>
      </c>
      <c r="F983" t="s">
        <v>66</v>
      </c>
      <c r="G983" t="s">
        <v>1494</v>
      </c>
      <c r="H983" t="s">
        <v>484</v>
      </c>
      <c r="I983" t="s">
        <v>63</v>
      </c>
      <c r="J983" t="s">
        <v>1491</v>
      </c>
      <c r="K983" t="s">
        <v>31</v>
      </c>
      <c r="L983" s="4">
        <v>180</v>
      </c>
      <c r="M983" t="s">
        <v>825</v>
      </c>
      <c r="N983" t="s">
        <v>46</v>
      </c>
      <c r="O983" s="4">
        <v>20</v>
      </c>
      <c r="P983">
        <v>0</v>
      </c>
      <c r="Q983" s="4">
        <v>20</v>
      </c>
      <c r="R983" s="12">
        <f t="shared" si="15"/>
        <v>3600</v>
      </c>
      <c r="T983" t="s">
        <v>486</v>
      </c>
      <c r="U983" t="s">
        <v>823</v>
      </c>
      <c r="V983" s="4">
        <v>180</v>
      </c>
      <c r="W983">
        <v>0</v>
      </c>
    </row>
    <row r="984" spans="1:23" hidden="1" x14ac:dyDescent="0.25">
      <c r="A984" s="2">
        <v>46064.356620370374</v>
      </c>
      <c r="B984">
        <v>543</v>
      </c>
      <c r="C984" t="s">
        <v>821</v>
      </c>
      <c r="D984" s="3">
        <v>46064</v>
      </c>
      <c r="E984" s="3">
        <v>46295</v>
      </c>
      <c r="F984" t="s">
        <v>66</v>
      </c>
      <c r="H984" t="s">
        <v>484</v>
      </c>
      <c r="I984" t="s">
        <v>96</v>
      </c>
      <c r="K984" t="s">
        <v>24</v>
      </c>
      <c r="L984" s="4">
        <v>58</v>
      </c>
      <c r="M984" t="s">
        <v>826</v>
      </c>
      <c r="N984" t="s">
        <v>46</v>
      </c>
      <c r="O984" s="4">
        <v>615</v>
      </c>
      <c r="P984">
        <v>0</v>
      </c>
      <c r="Q984" s="4">
        <v>615</v>
      </c>
      <c r="R984" s="12">
        <f t="shared" si="15"/>
        <v>35670</v>
      </c>
      <c r="T984" t="s">
        <v>486</v>
      </c>
      <c r="U984" t="s">
        <v>823</v>
      </c>
      <c r="V984" s="4">
        <v>58</v>
      </c>
      <c r="W984">
        <v>0</v>
      </c>
    </row>
    <row r="985" spans="1:23" hidden="1" x14ac:dyDescent="0.25">
      <c r="A985" s="2">
        <v>46073.413888888892</v>
      </c>
      <c r="B985">
        <v>560</v>
      </c>
      <c r="C985" t="s">
        <v>821</v>
      </c>
      <c r="D985" s="3">
        <v>46073</v>
      </c>
      <c r="E985" s="3">
        <v>46295</v>
      </c>
      <c r="F985" t="s">
        <v>66</v>
      </c>
      <c r="H985" t="s">
        <v>484</v>
      </c>
      <c r="I985" t="s">
        <v>96</v>
      </c>
      <c r="K985" t="s">
        <v>24</v>
      </c>
      <c r="L985" s="4">
        <v>54</v>
      </c>
      <c r="M985" t="s">
        <v>827</v>
      </c>
      <c r="N985" t="s">
        <v>46</v>
      </c>
      <c r="O985" s="4">
        <v>720</v>
      </c>
      <c r="P985">
        <v>0</v>
      </c>
      <c r="Q985" s="4">
        <v>720</v>
      </c>
      <c r="R985" s="12">
        <f t="shared" si="15"/>
        <v>38880</v>
      </c>
      <c r="T985" t="s">
        <v>486</v>
      </c>
      <c r="U985" t="s">
        <v>823</v>
      </c>
      <c r="V985" s="4">
        <v>54</v>
      </c>
      <c r="W985">
        <v>0</v>
      </c>
    </row>
    <row r="986" spans="1:23" hidden="1" x14ac:dyDescent="0.25">
      <c r="A986" s="2">
        <v>45927.390185185184</v>
      </c>
      <c r="B986">
        <v>4098</v>
      </c>
      <c r="C986" t="s">
        <v>828</v>
      </c>
      <c r="D986" s="3">
        <v>45927</v>
      </c>
      <c r="E986" s="3">
        <v>46142</v>
      </c>
      <c r="F986" t="s">
        <v>637</v>
      </c>
      <c r="H986" t="s">
        <v>22</v>
      </c>
      <c r="I986" t="s">
        <v>42</v>
      </c>
      <c r="J986" t="s">
        <v>1490</v>
      </c>
      <c r="K986" t="s">
        <v>24</v>
      </c>
      <c r="L986" s="4">
        <v>250</v>
      </c>
      <c r="M986" t="s">
        <v>829</v>
      </c>
      <c r="N986" t="s">
        <v>26</v>
      </c>
      <c r="O986" s="4">
        <v>100</v>
      </c>
      <c r="P986">
        <v>0</v>
      </c>
      <c r="Q986" s="4">
        <v>100</v>
      </c>
      <c r="R986" s="12">
        <f t="shared" si="15"/>
        <v>25000</v>
      </c>
      <c r="T986" t="s">
        <v>151</v>
      </c>
      <c r="U986" t="s">
        <v>830</v>
      </c>
      <c r="V986" s="4">
        <v>250</v>
      </c>
      <c r="W986">
        <v>0</v>
      </c>
    </row>
    <row r="987" spans="1:23" hidden="1" x14ac:dyDescent="0.25">
      <c r="A987" s="2">
        <v>45840.692291666666</v>
      </c>
      <c r="B987">
        <v>3909</v>
      </c>
      <c r="C987" t="s">
        <v>831</v>
      </c>
      <c r="D987" s="3">
        <v>45840</v>
      </c>
      <c r="E987" s="3">
        <v>46264</v>
      </c>
      <c r="F987" t="s">
        <v>21</v>
      </c>
      <c r="G987" t="s">
        <v>1493</v>
      </c>
      <c r="H987" t="s">
        <v>22</v>
      </c>
      <c r="I987" t="s">
        <v>201</v>
      </c>
      <c r="J987" t="s">
        <v>1491</v>
      </c>
      <c r="K987" t="s">
        <v>24</v>
      </c>
      <c r="L987" s="4">
        <v>50</v>
      </c>
      <c r="M987" t="s">
        <v>832</v>
      </c>
      <c r="N987" t="s">
        <v>46</v>
      </c>
      <c r="O987" s="4">
        <v>7200</v>
      </c>
      <c r="P987">
        <v>0</v>
      </c>
      <c r="Q987" s="4">
        <v>7200</v>
      </c>
      <c r="R987" s="12">
        <f t="shared" si="15"/>
        <v>360000</v>
      </c>
      <c r="T987" t="s">
        <v>125</v>
      </c>
      <c r="U987" t="s">
        <v>833</v>
      </c>
      <c r="V987" s="4">
        <v>50</v>
      </c>
      <c r="W987">
        <v>0</v>
      </c>
    </row>
    <row r="988" spans="1:23" hidden="1" x14ac:dyDescent="0.25">
      <c r="A988" s="2">
        <v>45840.692291666666</v>
      </c>
      <c r="B988">
        <v>3909</v>
      </c>
      <c r="C988" t="s">
        <v>831</v>
      </c>
      <c r="D988" s="3">
        <v>45840</v>
      </c>
      <c r="E988" s="3">
        <v>46264</v>
      </c>
      <c r="F988" t="s">
        <v>21</v>
      </c>
      <c r="G988" t="s">
        <v>1493</v>
      </c>
      <c r="H988" t="s">
        <v>22</v>
      </c>
      <c r="I988" t="s">
        <v>38</v>
      </c>
      <c r="J988" t="s">
        <v>1491</v>
      </c>
      <c r="K988" t="s">
        <v>24</v>
      </c>
      <c r="L988" s="4">
        <v>47.25</v>
      </c>
      <c r="M988" t="s">
        <v>832</v>
      </c>
      <c r="N988" t="s">
        <v>46</v>
      </c>
      <c r="O988" s="4">
        <v>720</v>
      </c>
      <c r="P988">
        <v>0</v>
      </c>
      <c r="Q988" s="4">
        <v>720</v>
      </c>
      <c r="R988" s="12">
        <f t="shared" si="15"/>
        <v>34020</v>
      </c>
      <c r="T988" t="s">
        <v>125</v>
      </c>
      <c r="U988" t="s">
        <v>833</v>
      </c>
      <c r="V988" s="4">
        <v>47.25</v>
      </c>
      <c r="W988">
        <v>0</v>
      </c>
    </row>
    <row r="989" spans="1:23" hidden="1" x14ac:dyDescent="0.25">
      <c r="A989" s="2">
        <v>45840.692291666666</v>
      </c>
      <c r="B989">
        <v>3909</v>
      </c>
      <c r="C989" t="s">
        <v>831</v>
      </c>
      <c r="D989" s="3">
        <v>45840</v>
      </c>
      <c r="E989" s="3">
        <v>46264</v>
      </c>
      <c r="F989" t="s">
        <v>21</v>
      </c>
      <c r="G989" t="s">
        <v>1493</v>
      </c>
      <c r="H989" t="s">
        <v>22</v>
      </c>
      <c r="I989" t="s">
        <v>41</v>
      </c>
      <c r="J989" t="s">
        <v>1491</v>
      </c>
      <c r="K989" t="s">
        <v>24</v>
      </c>
      <c r="L989" s="4">
        <v>288</v>
      </c>
      <c r="M989" t="s">
        <v>832</v>
      </c>
      <c r="N989" t="s">
        <v>46</v>
      </c>
      <c r="O989" s="4">
        <v>144</v>
      </c>
      <c r="P989">
        <v>0</v>
      </c>
      <c r="Q989" s="4">
        <v>144</v>
      </c>
      <c r="R989" s="12">
        <f t="shared" si="15"/>
        <v>41472</v>
      </c>
      <c r="T989" t="s">
        <v>125</v>
      </c>
      <c r="U989" t="s">
        <v>833</v>
      </c>
      <c r="V989" s="4">
        <v>288</v>
      </c>
      <c r="W989">
        <v>0</v>
      </c>
    </row>
    <row r="990" spans="1:23" hidden="1" x14ac:dyDescent="0.25">
      <c r="A990" s="2">
        <v>45840.692291666666</v>
      </c>
      <c r="B990">
        <v>3909</v>
      </c>
      <c r="C990" t="s">
        <v>831</v>
      </c>
      <c r="D990" s="3">
        <v>45840</v>
      </c>
      <c r="E990" s="3">
        <v>46264</v>
      </c>
      <c r="F990" t="s">
        <v>21</v>
      </c>
      <c r="G990" t="s">
        <v>1493</v>
      </c>
      <c r="H990" t="s">
        <v>22</v>
      </c>
      <c r="I990" t="s">
        <v>40</v>
      </c>
      <c r="J990" t="s">
        <v>1491</v>
      </c>
      <c r="K990" t="s">
        <v>24</v>
      </c>
      <c r="L990" s="4">
        <v>289</v>
      </c>
      <c r="M990" t="s">
        <v>832</v>
      </c>
      <c r="N990" t="s">
        <v>46</v>
      </c>
      <c r="O990" s="4">
        <v>144</v>
      </c>
      <c r="P990">
        <v>0</v>
      </c>
      <c r="Q990" s="4">
        <v>144</v>
      </c>
      <c r="R990" s="12">
        <f t="shared" si="15"/>
        <v>41616</v>
      </c>
      <c r="T990" t="s">
        <v>125</v>
      </c>
      <c r="U990" t="s">
        <v>833</v>
      </c>
      <c r="V990" s="4">
        <v>289</v>
      </c>
      <c r="W990">
        <v>0</v>
      </c>
    </row>
    <row r="991" spans="1:23" hidden="1" x14ac:dyDescent="0.25">
      <c r="A991" s="2">
        <v>45840.692291666666</v>
      </c>
      <c r="B991">
        <v>3909</v>
      </c>
      <c r="C991" t="s">
        <v>831</v>
      </c>
      <c r="D991" s="3">
        <v>45840</v>
      </c>
      <c r="E991" s="3">
        <v>46264</v>
      </c>
      <c r="F991" t="s">
        <v>21</v>
      </c>
      <c r="G991" t="s">
        <v>1493</v>
      </c>
      <c r="H991" t="s">
        <v>22</v>
      </c>
      <c r="I991" t="s">
        <v>63</v>
      </c>
      <c r="J991" t="s">
        <v>1491</v>
      </c>
      <c r="K991" t="s">
        <v>31</v>
      </c>
      <c r="L991" s="4">
        <v>182.5</v>
      </c>
      <c r="M991" t="s">
        <v>832</v>
      </c>
      <c r="N991" t="s">
        <v>46</v>
      </c>
      <c r="O991" s="4">
        <v>576</v>
      </c>
      <c r="P991">
        <v>0</v>
      </c>
      <c r="Q991" s="4">
        <v>576</v>
      </c>
      <c r="R991" s="12">
        <f t="shared" si="15"/>
        <v>105120</v>
      </c>
      <c r="T991" t="s">
        <v>125</v>
      </c>
      <c r="U991" t="s">
        <v>833</v>
      </c>
      <c r="V991" s="4">
        <v>182.5</v>
      </c>
      <c r="W991">
        <v>0</v>
      </c>
    </row>
    <row r="992" spans="1:23" hidden="1" x14ac:dyDescent="0.25">
      <c r="A992" s="2">
        <v>45840.694687499999</v>
      </c>
      <c r="B992">
        <v>3910</v>
      </c>
      <c r="C992" t="s">
        <v>831</v>
      </c>
      <c r="D992" s="3">
        <v>45840</v>
      </c>
      <c r="E992" s="3">
        <v>46111</v>
      </c>
      <c r="F992" t="s">
        <v>21</v>
      </c>
      <c r="G992" t="s">
        <v>1493</v>
      </c>
      <c r="H992" t="s">
        <v>22</v>
      </c>
      <c r="I992" t="s">
        <v>43</v>
      </c>
      <c r="J992" t="s">
        <v>1491</v>
      </c>
      <c r="K992" t="s">
        <v>24</v>
      </c>
      <c r="L992" s="4">
        <v>39</v>
      </c>
      <c r="M992" t="s">
        <v>834</v>
      </c>
      <c r="N992" t="s">
        <v>26</v>
      </c>
      <c r="O992" s="4">
        <v>720</v>
      </c>
      <c r="P992">
        <v>0</v>
      </c>
      <c r="Q992" s="4">
        <v>720</v>
      </c>
      <c r="R992" s="12">
        <f t="shared" si="15"/>
        <v>28080</v>
      </c>
      <c r="T992" t="s">
        <v>125</v>
      </c>
      <c r="U992" t="s">
        <v>833</v>
      </c>
      <c r="V992" s="4">
        <v>39</v>
      </c>
      <c r="W992">
        <v>0</v>
      </c>
    </row>
    <row r="993" spans="1:23" hidden="1" x14ac:dyDescent="0.25">
      <c r="A993" s="2">
        <v>45840.694687499999</v>
      </c>
      <c r="B993">
        <v>3910</v>
      </c>
      <c r="C993" t="s">
        <v>831</v>
      </c>
      <c r="D993" s="3">
        <v>45840</v>
      </c>
      <c r="E993" s="3">
        <v>46111</v>
      </c>
      <c r="F993" t="s">
        <v>21</v>
      </c>
      <c r="G993" t="s">
        <v>1493</v>
      </c>
      <c r="H993" t="s">
        <v>22</v>
      </c>
      <c r="I993" t="s">
        <v>40</v>
      </c>
      <c r="J993" t="s">
        <v>1491</v>
      </c>
      <c r="K993" t="s">
        <v>24</v>
      </c>
      <c r="L993" s="4">
        <v>289</v>
      </c>
      <c r="M993" t="s">
        <v>834</v>
      </c>
      <c r="N993" t="s">
        <v>26</v>
      </c>
      <c r="O993" s="4">
        <v>360</v>
      </c>
      <c r="P993">
        <v>0</v>
      </c>
      <c r="Q993" s="4">
        <v>360</v>
      </c>
      <c r="R993" s="12">
        <f t="shared" si="15"/>
        <v>104040</v>
      </c>
      <c r="T993" t="s">
        <v>125</v>
      </c>
      <c r="U993" t="s">
        <v>833</v>
      </c>
      <c r="V993" s="4">
        <v>289</v>
      </c>
      <c r="W993">
        <v>0</v>
      </c>
    </row>
    <row r="994" spans="1:23" hidden="1" x14ac:dyDescent="0.25">
      <c r="A994" s="2">
        <v>45840.694687499999</v>
      </c>
      <c r="B994">
        <v>3910</v>
      </c>
      <c r="C994" t="s">
        <v>831</v>
      </c>
      <c r="D994" s="3">
        <v>45840</v>
      </c>
      <c r="E994" s="3">
        <v>46111</v>
      </c>
      <c r="F994" t="s">
        <v>21</v>
      </c>
      <c r="G994" t="s">
        <v>1493</v>
      </c>
      <c r="H994" t="s">
        <v>22</v>
      </c>
      <c r="I994" t="s">
        <v>41</v>
      </c>
      <c r="J994" t="s">
        <v>1491</v>
      </c>
      <c r="K994" t="s">
        <v>24</v>
      </c>
      <c r="L994" s="4">
        <v>288</v>
      </c>
      <c r="M994" t="s">
        <v>834</v>
      </c>
      <c r="N994" t="s">
        <v>26</v>
      </c>
      <c r="O994" s="4">
        <v>360</v>
      </c>
      <c r="P994">
        <v>0</v>
      </c>
      <c r="Q994" s="4">
        <v>360</v>
      </c>
      <c r="R994" s="12">
        <f t="shared" si="15"/>
        <v>103680</v>
      </c>
      <c r="T994" t="s">
        <v>125</v>
      </c>
      <c r="U994" t="s">
        <v>833</v>
      </c>
      <c r="V994" s="4">
        <v>288</v>
      </c>
      <c r="W994">
        <v>0</v>
      </c>
    </row>
    <row r="995" spans="1:23" hidden="1" x14ac:dyDescent="0.25">
      <c r="A995" s="2">
        <v>45840.694687499999</v>
      </c>
      <c r="B995">
        <v>3910</v>
      </c>
      <c r="C995" t="s">
        <v>831</v>
      </c>
      <c r="D995" s="3">
        <v>45840</v>
      </c>
      <c r="E995" s="3">
        <v>46111</v>
      </c>
      <c r="F995" t="s">
        <v>21</v>
      </c>
      <c r="G995" t="s">
        <v>1493</v>
      </c>
      <c r="H995" t="s">
        <v>22</v>
      </c>
      <c r="I995" t="s">
        <v>59</v>
      </c>
      <c r="J995" t="s">
        <v>1491</v>
      </c>
      <c r="K995" t="s">
        <v>24</v>
      </c>
      <c r="L995" s="4">
        <v>39</v>
      </c>
      <c r="M995" t="s">
        <v>834</v>
      </c>
      <c r="N995" t="s">
        <v>26</v>
      </c>
      <c r="O995" s="4">
        <v>720</v>
      </c>
      <c r="P995">
        <v>0</v>
      </c>
      <c r="Q995" s="4">
        <v>720</v>
      </c>
      <c r="R995" s="12">
        <f t="shared" si="15"/>
        <v>28080</v>
      </c>
      <c r="T995" t="s">
        <v>125</v>
      </c>
      <c r="U995" t="s">
        <v>833</v>
      </c>
      <c r="V995" s="4">
        <v>39</v>
      </c>
      <c r="W995">
        <v>0</v>
      </c>
    </row>
    <row r="996" spans="1:23" hidden="1" x14ac:dyDescent="0.25">
      <c r="A996" s="2">
        <v>45840.694687499999</v>
      </c>
      <c r="B996">
        <v>3910</v>
      </c>
      <c r="C996" t="s">
        <v>831</v>
      </c>
      <c r="D996" s="3">
        <v>45840</v>
      </c>
      <c r="E996" s="3">
        <v>46111</v>
      </c>
      <c r="F996" t="s">
        <v>21</v>
      </c>
      <c r="G996" t="s">
        <v>1493</v>
      </c>
      <c r="H996" t="s">
        <v>22</v>
      </c>
      <c r="I996" t="s">
        <v>38</v>
      </c>
      <c r="J996" t="s">
        <v>1491</v>
      </c>
      <c r="K996" t="s">
        <v>24</v>
      </c>
      <c r="L996" s="4">
        <v>47.25</v>
      </c>
      <c r="M996" t="s">
        <v>834</v>
      </c>
      <c r="N996" t="s">
        <v>26</v>
      </c>
      <c r="O996" s="4">
        <v>720</v>
      </c>
      <c r="P996">
        <v>0</v>
      </c>
      <c r="Q996" s="4">
        <v>720</v>
      </c>
      <c r="R996" s="12">
        <f t="shared" si="15"/>
        <v>34020</v>
      </c>
      <c r="T996" t="s">
        <v>125</v>
      </c>
      <c r="U996" t="s">
        <v>833</v>
      </c>
      <c r="V996" s="4">
        <v>47.25</v>
      </c>
      <c r="W996">
        <v>0</v>
      </c>
    </row>
    <row r="997" spans="1:23" hidden="1" x14ac:dyDescent="0.25">
      <c r="A997" s="2">
        <v>45840.694687499999</v>
      </c>
      <c r="B997">
        <v>3910</v>
      </c>
      <c r="C997" t="s">
        <v>831</v>
      </c>
      <c r="D997" s="3">
        <v>45840</v>
      </c>
      <c r="E997" s="3">
        <v>46111</v>
      </c>
      <c r="F997" t="s">
        <v>21</v>
      </c>
      <c r="G997" t="s">
        <v>1493</v>
      </c>
      <c r="H997" t="s">
        <v>22</v>
      </c>
      <c r="I997" t="s">
        <v>63</v>
      </c>
      <c r="J997" t="s">
        <v>1491</v>
      </c>
      <c r="K997" t="s">
        <v>31</v>
      </c>
      <c r="L997" s="4">
        <v>182.5</v>
      </c>
      <c r="M997" t="s">
        <v>834</v>
      </c>
      <c r="N997" t="s">
        <v>26</v>
      </c>
      <c r="O997" s="4">
        <v>720</v>
      </c>
      <c r="P997">
        <v>0</v>
      </c>
      <c r="Q997" s="4">
        <v>720</v>
      </c>
      <c r="R997" s="12">
        <f t="shared" si="15"/>
        <v>131400</v>
      </c>
      <c r="T997" t="s">
        <v>125</v>
      </c>
      <c r="U997" t="s">
        <v>833</v>
      </c>
      <c r="V997" s="4">
        <v>182.5</v>
      </c>
      <c r="W997">
        <v>0</v>
      </c>
    </row>
    <row r="998" spans="1:23" hidden="1" x14ac:dyDescent="0.25">
      <c r="A998" s="2">
        <v>46051.367291666669</v>
      </c>
      <c r="B998">
        <v>4506</v>
      </c>
      <c r="C998" t="s">
        <v>831</v>
      </c>
      <c r="D998" s="3">
        <v>46051</v>
      </c>
      <c r="E998" s="3">
        <v>46111</v>
      </c>
      <c r="F998" t="s">
        <v>21</v>
      </c>
      <c r="H998" t="s">
        <v>22</v>
      </c>
      <c r="I998" t="s">
        <v>80</v>
      </c>
      <c r="K998" t="s">
        <v>31</v>
      </c>
      <c r="L998" s="4">
        <v>37</v>
      </c>
      <c r="M998" t="s">
        <v>835</v>
      </c>
      <c r="N998" t="s">
        <v>46</v>
      </c>
      <c r="O998" s="4">
        <v>15</v>
      </c>
      <c r="P998">
        <v>0</v>
      </c>
      <c r="Q998" s="4">
        <v>15</v>
      </c>
      <c r="R998" s="12">
        <f t="shared" si="15"/>
        <v>555</v>
      </c>
      <c r="T998" t="s">
        <v>125</v>
      </c>
      <c r="U998" t="s">
        <v>833</v>
      </c>
      <c r="V998" s="4">
        <v>37</v>
      </c>
      <c r="W998">
        <v>0</v>
      </c>
    </row>
    <row r="999" spans="1:23" hidden="1" x14ac:dyDescent="0.25">
      <c r="A999" s="2">
        <v>46088.332418981481</v>
      </c>
      <c r="B999">
        <v>4642</v>
      </c>
      <c r="C999" t="s">
        <v>831</v>
      </c>
      <c r="D999" s="3">
        <v>46088</v>
      </c>
      <c r="E999" s="3">
        <v>46111</v>
      </c>
      <c r="F999" t="s">
        <v>21</v>
      </c>
      <c r="H999" t="s">
        <v>22</v>
      </c>
      <c r="I999" t="s">
        <v>80</v>
      </c>
      <c r="K999" t="s">
        <v>31</v>
      </c>
      <c r="L999" s="4">
        <v>37</v>
      </c>
      <c r="M999" t="s">
        <v>836</v>
      </c>
      <c r="N999" t="s">
        <v>46</v>
      </c>
      <c r="O999" s="4">
        <v>15</v>
      </c>
      <c r="P999">
        <v>0</v>
      </c>
      <c r="Q999" s="4">
        <v>15</v>
      </c>
      <c r="R999" s="12">
        <f t="shared" si="15"/>
        <v>555</v>
      </c>
      <c r="T999" t="s">
        <v>125</v>
      </c>
      <c r="U999" t="s">
        <v>833</v>
      </c>
      <c r="V999" s="4">
        <v>37</v>
      </c>
      <c r="W999">
        <v>0</v>
      </c>
    </row>
    <row r="1000" spans="1:23" hidden="1" x14ac:dyDescent="0.25">
      <c r="A1000" s="2">
        <v>45840.701805555553</v>
      </c>
      <c r="B1000">
        <v>3913</v>
      </c>
      <c r="C1000" t="s">
        <v>837</v>
      </c>
      <c r="D1000" s="3">
        <v>45840</v>
      </c>
      <c r="E1000" s="3">
        <v>46111</v>
      </c>
      <c r="F1000" t="s">
        <v>21</v>
      </c>
      <c r="G1000" t="s">
        <v>1493</v>
      </c>
      <c r="H1000" t="s">
        <v>22</v>
      </c>
      <c r="I1000" t="s">
        <v>40</v>
      </c>
      <c r="J1000" t="s">
        <v>1491</v>
      </c>
      <c r="K1000" t="s">
        <v>24</v>
      </c>
      <c r="L1000" s="4">
        <v>289</v>
      </c>
      <c r="M1000" t="s">
        <v>838</v>
      </c>
      <c r="N1000" t="s">
        <v>26</v>
      </c>
      <c r="O1000" s="4">
        <v>105</v>
      </c>
      <c r="P1000">
        <v>0</v>
      </c>
      <c r="Q1000" s="4">
        <v>105</v>
      </c>
      <c r="R1000" s="12">
        <f t="shared" si="15"/>
        <v>30345</v>
      </c>
      <c r="T1000" t="s">
        <v>230</v>
      </c>
      <c r="U1000" t="s">
        <v>839</v>
      </c>
      <c r="V1000" s="4">
        <v>289</v>
      </c>
      <c r="W1000">
        <v>0</v>
      </c>
    </row>
    <row r="1001" spans="1:23" hidden="1" x14ac:dyDescent="0.25">
      <c r="A1001" s="2">
        <v>45840.701805555553</v>
      </c>
      <c r="B1001">
        <v>3913</v>
      </c>
      <c r="C1001" t="s">
        <v>837</v>
      </c>
      <c r="D1001" s="3">
        <v>45840</v>
      </c>
      <c r="E1001" s="3">
        <v>46111</v>
      </c>
      <c r="F1001" t="s">
        <v>21</v>
      </c>
      <c r="G1001" t="s">
        <v>1493</v>
      </c>
      <c r="H1001" t="s">
        <v>22</v>
      </c>
      <c r="I1001" t="s">
        <v>43</v>
      </c>
      <c r="J1001" t="s">
        <v>1491</v>
      </c>
      <c r="K1001" t="s">
        <v>24</v>
      </c>
      <c r="L1001" s="4">
        <v>39</v>
      </c>
      <c r="M1001" t="s">
        <v>838</v>
      </c>
      <c r="N1001" t="s">
        <v>26</v>
      </c>
      <c r="O1001" s="4">
        <v>315</v>
      </c>
      <c r="P1001">
        <v>0</v>
      </c>
      <c r="Q1001" s="4">
        <v>315</v>
      </c>
      <c r="R1001" s="12">
        <f t="shared" si="15"/>
        <v>12285</v>
      </c>
      <c r="T1001" t="s">
        <v>230</v>
      </c>
      <c r="U1001" t="s">
        <v>839</v>
      </c>
      <c r="V1001" s="4">
        <v>39</v>
      </c>
      <c r="W1001">
        <v>0</v>
      </c>
    </row>
    <row r="1002" spans="1:23" hidden="1" x14ac:dyDescent="0.25">
      <c r="A1002" s="2">
        <v>45840.701805555553</v>
      </c>
      <c r="B1002">
        <v>3913</v>
      </c>
      <c r="C1002" t="s">
        <v>837</v>
      </c>
      <c r="D1002" s="3">
        <v>45840</v>
      </c>
      <c r="E1002" s="3">
        <v>46111</v>
      </c>
      <c r="F1002" t="s">
        <v>21</v>
      </c>
      <c r="G1002" t="s">
        <v>1493</v>
      </c>
      <c r="H1002" t="s">
        <v>22</v>
      </c>
      <c r="I1002" t="s">
        <v>41</v>
      </c>
      <c r="J1002" t="s">
        <v>1491</v>
      </c>
      <c r="K1002" t="s">
        <v>24</v>
      </c>
      <c r="L1002" s="4">
        <v>288</v>
      </c>
      <c r="M1002" t="s">
        <v>838</v>
      </c>
      <c r="N1002" t="s">
        <v>26</v>
      </c>
      <c r="O1002" s="4">
        <v>105</v>
      </c>
      <c r="P1002">
        <v>0</v>
      </c>
      <c r="Q1002" s="4">
        <v>105</v>
      </c>
      <c r="R1002" s="12">
        <f t="shared" si="15"/>
        <v>30240</v>
      </c>
      <c r="T1002" t="s">
        <v>230</v>
      </c>
      <c r="U1002" t="s">
        <v>839</v>
      </c>
      <c r="V1002" s="4">
        <v>288</v>
      </c>
      <c r="W1002">
        <v>0</v>
      </c>
    </row>
    <row r="1003" spans="1:23" hidden="1" x14ac:dyDescent="0.25">
      <c r="A1003" s="2">
        <v>45840.701805555553</v>
      </c>
      <c r="B1003">
        <v>3913</v>
      </c>
      <c r="C1003" t="s">
        <v>837</v>
      </c>
      <c r="D1003" s="3">
        <v>45840</v>
      </c>
      <c r="E1003" s="3">
        <v>46111</v>
      </c>
      <c r="F1003" t="s">
        <v>21</v>
      </c>
      <c r="G1003" t="s">
        <v>1493</v>
      </c>
      <c r="H1003" t="s">
        <v>22</v>
      </c>
      <c r="I1003" t="s">
        <v>38</v>
      </c>
      <c r="J1003" t="s">
        <v>1491</v>
      </c>
      <c r="K1003" t="s">
        <v>24</v>
      </c>
      <c r="L1003" s="4">
        <v>47.25</v>
      </c>
      <c r="M1003" t="s">
        <v>838</v>
      </c>
      <c r="N1003" t="s">
        <v>26</v>
      </c>
      <c r="O1003" s="4">
        <v>210</v>
      </c>
      <c r="P1003">
        <v>0</v>
      </c>
      <c r="Q1003" s="4">
        <v>210</v>
      </c>
      <c r="R1003" s="12">
        <f t="shared" si="15"/>
        <v>9922.5</v>
      </c>
      <c r="T1003" t="s">
        <v>230</v>
      </c>
      <c r="U1003" t="s">
        <v>839</v>
      </c>
      <c r="V1003" s="4">
        <v>47.25</v>
      </c>
      <c r="W1003">
        <v>0</v>
      </c>
    </row>
    <row r="1004" spans="1:23" hidden="1" x14ac:dyDescent="0.25">
      <c r="A1004" s="2">
        <v>45840.701805555553</v>
      </c>
      <c r="B1004">
        <v>3913</v>
      </c>
      <c r="C1004" t="s">
        <v>837</v>
      </c>
      <c r="D1004" s="3">
        <v>45840</v>
      </c>
      <c r="E1004" s="3">
        <v>46111</v>
      </c>
      <c r="F1004" t="s">
        <v>21</v>
      </c>
      <c r="G1004" t="s">
        <v>1493</v>
      </c>
      <c r="H1004" t="s">
        <v>22</v>
      </c>
      <c r="I1004" t="s">
        <v>44</v>
      </c>
      <c r="J1004" t="s">
        <v>1491</v>
      </c>
      <c r="K1004" t="s">
        <v>31</v>
      </c>
      <c r="L1004" s="4">
        <v>365</v>
      </c>
      <c r="M1004" t="s">
        <v>838</v>
      </c>
      <c r="N1004" t="s">
        <v>26</v>
      </c>
      <c r="O1004" s="4">
        <v>105</v>
      </c>
      <c r="P1004">
        <v>0</v>
      </c>
      <c r="Q1004" s="4">
        <v>105</v>
      </c>
      <c r="R1004" s="12">
        <f t="shared" si="15"/>
        <v>38325</v>
      </c>
      <c r="T1004" t="s">
        <v>230</v>
      </c>
      <c r="U1004" t="s">
        <v>839</v>
      </c>
      <c r="V1004" s="4">
        <v>365</v>
      </c>
      <c r="W1004">
        <v>0</v>
      </c>
    </row>
    <row r="1005" spans="1:23" hidden="1" x14ac:dyDescent="0.25">
      <c r="A1005" s="2">
        <v>45840.701805555553</v>
      </c>
      <c r="B1005">
        <v>3913</v>
      </c>
      <c r="C1005" t="s">
        <v>837</v>
      </c>
      <c r="D1005" s="3">
        <v>45840</v>
      </c>
      <c r="E1005" s="3">
        <v>46111</v>
      </c>
      <c r="F1005" t="s">
        <v>21</v>
      </c>
      <c r="G1005" t="s">
        <v>1493</v>
      </c>
      <c r="H1005" t="s">
        <v>22</v>
      </c>
      <c r="I1005" t="s">
        <v>59</v>
      </c>
      <c r="J1005" t="s">
        <v>1491</v>
      </c>
      <c r="K1005" t="s">
        <v>24</v>
      </c>
      <c r="L1005" s="4">
        <v>39</v>
      </c>
      <c r="M1005" t="s">
        <v>838</v>
      </c>
      <c r="N1005" t="s">
        <v>26</v>
      </c>
      <c r="O1005" s="4">
        <v>315</v>
      </c>
      <c r="P1005">
        <v>0</v>
      </c>
      <c r="Q1005" s="4">
        <v>315</v>
      </c>
      <c r="R1005" s="12">
        <f t="shared" si="15"/>
        <v>12285</v>
      </c>
      <c r="T1005" t="s">
        <v>230</v>
      </c>
      <c r="U1005" t="s">
        <v>839</v>
      </c>
      <c r="V1005" s="4">
        <v>39</v>
      </c>
      <c r="W1005">
        <v>0</v>
      </c>
    </row>
    <row r="1006" spans="1:23" hidden="1" x14ac:dyDescent="0.25">
      <c r="A1006" s="2">
        <v>45840.704270833332</v>
      </c>
      <c r="B1006">
        <v>3914</v>
      </c>
      <c r="C1006" t="s">
        <v>837</v>
      </c>
      <c r="D1006" s="3">
        <v>45840</v>
      </c>
      <c r="E1006" s="3">
        <v>46264</v>
      </c>
      <c r="F1006" t="s">
        <v>21</v>
      </c>
      <c r="G1006" t="s">
        <v>1493</v>
      </c>
      <c r="H1006" t="s">
        <v>22</v>
      </c>
      <c r="I1006" t="s">
        <v>38</v>
      </c>
      <c r="J1006" t="s">
        <v>1491</v>
      </c>
      <c r="K1006" t="s">
        <v>24</v>
      </c>
      <c r="L1006" s="4">
        <v>47.25</v>
      </c>
      <c r="M1006" t="s">
        <v>840</v>
      </c>
      <c r="N1006" t="s">
        <v>46</v>
      </c>
      <c r="O1006" s="4">
        <v>210</v>
      </c>
      <c r="P1006">
        <v>0</v>
      </c>
      <c r="Q1006" s="4">
        <v>210</v>
      </c>
      <c r="R1006" s="12">
        <f t="shared" si="15"/>
        <v>9922.5</v>
      </c>
      <c r="T1006" t="s">
        <v>230</v>
      </c>
      <c r="U1006" t="s">
        <v>839</v>
      </c>
      <c r="V1006" s="4">
        <v>47.25</v>
      </c>
      <c r="W1006">
        <v>0</v>
      </c>
    </row>
    <row r="1007" spans="1:23" hidden="1" x14ac:dyDescent="0.25">
      <c r="A1007" s="2">
        <v>45840.704270833332</v>
      </c>
      <c r="B1007">
        <v>3914</v>
      </c>
      <c r="C1007" t="s">
        <v>837</v>
      </c>
      <c r="D1007" s="3">
        <v>45840</v>
      </c>
      <c r="E1007" s="3">
        <v>46264</v>
      </c>
      <c r="F1007" t="s">
        <v>21</v>
      </c>
      <c r="G1007" t="s">
        <v>1493</v>
      </c>
      <c r="H1007" t="s">
        <v>22</v>
      </c>
      <c r="I1007" t="s">
        <v>41</v>
      </c>
      <c r="J1007" t="s">
        <v>1491</v>
      </c>
      <c r="K1007" t="s">
        <v>24</v>
      </c>
      <c r="L1007" s="4">
        <v>288</v>
      </c>
      <c r="M1007" t="s">
        <v>840</v>
      </c>
      <c r="N1007" t="s">
        <v>46</v>
      </c>
      <c r="O1007" s="4">
        <v>42</v>
      </c>
      <c r="P1007">
        <v>0</v>
      </c>
      <c r="Q1007" s="4">
        <v>42</v>
      </c>
      <c r="R1007" s="12">
        <f t="shared" si="15"/>
        <v>12096</v>
      </c>
      <c r="T1007" t="s">
        <v>230</v>
      </c>
      <c r="U1007" t="s">
        <v>839</v>
      </c>
      <c r="V1007" s="4">
        <v>288</v>
      </c>
      <c r="W1007">
        <v>0</v>
      </c>
    </row>
    <row r="1008" spans="1:23" hidden="1" x14ac:dyDescent="0.25">
      <c r="A1008" s="2">
        <v>45840.704270833332</v>
      </c>
      <c r="B1008">
        <v>3914</v>
      </c>
      <c r="C1008" t="s">
        <v>837</v>
      </c>
      <c r="D1008" s="3">
        <v>45840</v>
      </c>
      <c r="E1008" s="3">
        <v>46264</v>
      </c>
      <c r="F1008" t="s">
        <v>21</v>
      </c>
      <c r="G1008" t="s">
        <v>1493</v>
      </c>
      <c r="H1008" t="s">
        <v>22</v>
      </c>
      <c r="I1008" t="s">
        <v>40</v>
      </c>
      <c r="J1008" t="s">
        <v>1491</v>
      </c>
      <c r="K1008" t="s">
        <v>24</v>
      </c>
      <c r="L1008" s="4">
        <v>289</v>
      </c>
      <c r="M1008" t="s">
        <v>840</v>
      </c>
      <c r="N1008" t="s">
        <v>46</v>
      </c>
      <c r="O1008" s="4">
        <v>42</v>
      </c>
      <c r="P1008">
        <v>0</v>
      </c>
      <c r="Q1008" s="4">
        <v>42</v>
      </c>
      <c r="R1008" s="12">
        <f t="shared" si="15"/>
        <v>12138</v>
      </c>
      <c r="T1008" t="s">
        <v>230</v>
      </c>
      <c r="U1008" t="s">
        <v>839</v>
      </c>
      <c r="V1008" s="4">
        <v>289</v>
      </c>
      <c r="W1008">
        <v>0</v>
      </c>
    </row>
    <row r="1009" spans="1:23" hidden="1" x14ac:dyDescent="0.25">
      <c r="A1009" s="2">
        <v>45840.704270833332</v>
      </c>
      <c r="B1009">
        <v>3914</v>
      </c>
      <c r="C1009" t="s">
        <v>837</v>
      </c>
      <c r="D1009" s="3">
        <v>45840</v>
      </c>
      <c r="E1009" s="3">
        <v>46264</v>
      </c>
      <c r="F1009" t="s">
        <v>21</v>
      </c>
      <c r="G1009" t="s">
        <v>1493</v>
      </c>
      <c r="H1009" t="s">
        <v>22</v>
      </c>
      <c r="I1009" t="s">
        <v>201</v>
      </c>
      <c r="J1009" t="s">
        <v>1491</v>
      </c>
      <c r="K1009" t="s">
        <v>24</v>
      </c>
      <c r="L1009" s="4">
        <v>50</v>
      </c>
      <c r="M1009" t="s">
        <v>840</v>
      </c>
      <c r="N1009" t="s">
        <v>46</v>
      </c>
      <c r="O1009" s="4">
        <v>2100</v>
      </c>
      <c r="P1009">
        <v>0</v>
      </c>
      <c r="Q1009" s="4">
        <v>2100</v>
      </c>
      <c r="R1009" s="12">
        <f t="shared" si="15"/>
        <v>105000</v>
      </c>
      <c r="T1009" t="s">
        <v>230</v>
      </c>
      <c r="U1009" t="s">
        <v>839</v>
      </c>
      <c r="V1009" s="4">
        <v>50</v>
      </c>
      <c r="W1009">
        <v>0</v>
      </c>
    </row>
    <row r="1010" spans="1:23" hidden="1" x14ac:dyDescent="0.25">
      <c r="A1010" s="2">
        <v>45840.704270833332</v>
      </c>
      <c r="B1010">
        <v>3914</v>
      </c>
      <c r="C1010" t="s">
        <v>837</v>
      </c>
      <c r="D1010" s="3">
        <v>45840</v>
      </c>
      <c r="E1010" s="3">
        <v>46264</v>
      </c>
      <c r="F1010" t="s">
        <v>21</v>
      </c>
      <c r="G1010" t="s">
        <v>1493</v>
      </c>
      <c r="H1010" t="s">
        <v>22</v>
      </c>
      <c r="I1010" t="s">
        <v>63</v>
      </c>
      <c r="J1010" t="s">
        <v>1491</v>
      </c>
      <c r="K1010" t="s">
        <v>31</v>
      </c>
      <c r="L1010" s="4">
        <v>182.5</v>
      </c>
      <c r="M1010" t="s">
        <v>840</v>
      </c>
      <c r="N1010" t="s">
        <v>46</v>
      </c>
      <c r="O1010" s="4">
        <v>168</v>
      </c>
      <c r="P1010">
        <v>0</v>
      </c>
      <c r="Q1010" s="4">
        <v>168</v>
      </c>
      <c r="R1010" s="12">
        <f t="shared" si="15"/>
        <v>30660</v>
      </c>
      <c r="T1010" t="s">
        <v>230</v>
      </c>
      <c r="U1010" t="s">
        <v>839</v>
      </c>
      <c r="V1010" s="4">
        <v>182.5</v>
      </c>
      <c r="W1010">
        <v>0</v>
      </c>
    </row>
    <row r="1011" spans="1:23" hidden="1" x14ac:dyDescent="0.25">
      <c r="A1011" s="2">
        <v>45840.711585648147</v>
      </c>
      <c r="B1011">
        <v>3917</v>
      </c>
      <c r="C1011" t="s">
        <v>837</v>
      </c>
      <c r="D1011" s="3">
        <v>45840</v>
      </c>
      <c r="E1011" s="3">
        <v>46111</v>
      </c>
      <c r="F1011" t="s">
        <v>21</v>
      </c>
      <c r="G1011" t="s">
        <v>1493</v>
      </c>
      <c r="H1011" t="s">
        <v>22</v>
      </c>
      <c r="I1011" t="s">
        <v>44</v>
      </c>
      <c r="J1011" t="s">
        <v>1491</v>
      </c>
      <c r="K1011" t="s">
        <v>31</v>
      </c>
      <c r="L1011" s="4">
        <v>365</v>
      </c>
      <c r="M1011" t="s">
        <v>841</v>
      </c>
      <c r="N1011" t="s">
        <v>26</v>
      </c>
      <c r="O1011" s="4">
        <v>150</v>
      </c>
      <c r="P1011">
        <v>0</v>
      </c>
      <c r="Q1011" s="4">
        <v>150</v>
      </c>
      <c r="R1011" s="12">
        <f t="shared" si="15"/>
        <v>54750</v>
      </c>
      <c r="T1011" t="s">
        <v>71</v>
      </c>
      <c r="U1011" t="s">
        <v>839</v>
      </c>
      <c r="V1011" s="4">
        <v>365</v>
      </c>
      <c r="W1011">
        <v>0</v>
      </c>
    </row>
    <row r="1012" spans="1:23" hidden="1" x14ac:dyDescent="0.25">
      <c r="A1012" s="2">
        <v>45840.711585648147</v>
      </c>
      <c r="B1012">
        <v>3917</v>
      </c>
      <c r="C1012" t="s">
        <v>837</v>
      </c>
      <c r="D1012" s="3">
        <v>45840</v>
      </c>
      <c r="E1012" s="3">
        <v>46111</v>
      </c>
      <c r="F1012" t="s">
        <v>21</v>
      </c>
      <c r="G1012" t="s">
        <v>1493</v>
      </c>
      <c r="H1012" t="s">
        <v>22</v>
      </c>
      <c r="I1012" t="s">
        <v>38</v>
      </c>
      <c r="J1012" t="s">
        <v>1491</v>
      </c>
      <c r="K1012" t="s">
        <v>24</v>
      </c>
      <c r="L1012" s="4">
        <v>47.25</v>
      </c>
      <c r="M1012" t="s">
        <v>841</v>
      </c>
      <c r="N1012" t="s">
        <v>26</v>
      </c>
      <c r="O1012" s="4">
        <v>300</v>
      </c>
      <c r="P1012">
        <v>0</v>
      </c>
      <c r="Q1012" s="4">
        <v>300</v>
      </c>
      <c r="R1012" s="12">
        <f t="shared" si="15"/>
        <v>14175</v>
      </c>
      <c r="T1012" t="s">
        <v>71</v>
      </c>
      <c r="U1012" t="s">
        <v>839</v>
      </c>
      <c r="V1012" s="4">
        <v>47.25</v>
      </c>
      <c r="W1012">
        <v>0</v>
      </c>
    </row>
    <row r="1013" spans="1:23" hidden="1" x14ac:dyDescent="0.25">
      <c r="A1013" s="2">
        <v>45840.711585648147</v>
      </c>
      <c r="B1013">
        <v>3917</v>
      </c>
      <c r="C1013" t="s">
        <v>837</v>
      </c>
      <c r="D1013" s="3">
        <v>45840</v>
      </c>
      <c r="E1013" s="3">
        <v>46111</v>
      </c>
      <c r="F1013" t="s">
        <v>21</v>
      </c>
      <c r="G1013" t="s">
        <v>1493</v>
      </c>
      <c r="H1013" t="s">
        <v>22</v>
      </c>
      <c r="I1013" t="s">
        <v>59</v>
      </c>
      <c r="J1013" t="s">
        <v>1491</v>
      </c>
      <c r="K1013" t="s">
        <v>24</v>
      </c>
      <c r="L1013" s="4">
        <v>39</v>
      </c>
      <c r="M1013" t="s">
        <v>841</v>
      </c>
      <c r="N1013" t="s">
        <v>26</v>
      </c>
      <c r="O1013" s="4">
        <v>450</v>
      </c>
      <c r="P1013">
        <v>0</v>
      </c>
      <c r="Q1013" s="4">
        <v>450</v>
      </c>
      <c r="R1013" s="12">
        <f t="shared" si="15"/>
        <v>17550</v>
      </c>
      <c r="T1013" t="s">
        <v>71</v>
      </c>
      <c r="U1013" t="s">
        <v>839</v>
      </c>
      <c r="V1013" s="4">
        <v>39</v>
      </c>
      <c r="W1013">
        <v>0</v>
      </c>
    </row>
    <row r="1014" spans="1:23" hidden="1" x14ac:dyDescent="0.25">
      <c r="A1014" s="2">
        <v>45840.711585648147</v>
      </c>
      <c r="B1014">
        <v>3917</v>
      </c>
      <c r="C1014" t="s">
        <v>837</v>
      </c>
      <c r="D1014" s="3">
        <v>45840</v>
      </c>
      <c r="E1014" s="3">
        <v>46111</v>
      </c>
      <c r="F1014" t="s">
        <v>21</v>
      </c>
      <c r="G1014" t="s">
        <v>1493</v>
      </c>
      <c r="H1014" t="s">
        <v>22</v>
      </c>
      <c r="I1014" t="s">
        <v>43</v>
      </c>
      <c r="J1014" t="s">
        <v>1491</v>
      </c>
      <c r="K1014" t="s">
        <v>24</v>
      </c>
      <c r="L1014" s="4">
        <v>39</v>
      </c>
      <c r="M1014" t="s">
        <v>841</v>
      </c>
      <c r="N1014" t="s">
        <v>26</v>
      </c>
      <c r="O1014" s="4">
        <v>450</v>
      </c>
      <c r="P1014">
        <v>0</v>
      </c>
      <c r="Q1014" s="4">
        <v>450</v>
      </c>
      <c r="R1014" s="12">
        <f t="shared" si="15"/>
        <v>17550</v>
      </c>
      <c r="T1014" t="s">
        <v>71</v>
      </c>
      <c r="U1014" t="s">
        <v>839</v>
      </c>
      <c r="V1014" s="4">
        <v>39</v>
      </c>
      <c r="W1014">
        <v>0</v>
      </c>
    </row>
    <row r="1015" spans="1:23" hidden="1" x14ac:dyDescent="0.25">
      <c r="A1015" s="2">
        <v>45840.711585648147</v>
      </c>
      <c r="B1015">
        <v>3917</v>
      </c>
      <c r="C1015" t="s">
        <v>837</v>
      </c>
      <c r="D1015" s="3">
        <v>45840</v>
      </c>
      <c r="E1015" s="3">
        <v>46111</v>
      </c>
      <c r="F1015" t="s">
        <v>21</v>
      </c>
      <c r="G1015" t="s">
        <v>1493</v>
      </c>
      <c r="H1015" t="s">
        <v>22</v>
      </c>
      <c r="I1015" t="s">
        <v>41</v>
      </c>
      <c r="J1015" t="s">
        <v>1491</v>
      </c>
      <c r="K1015" t="s">
        <v>24</v>
      </c>
      <c r="L1015" s="4">
        <v>288</v>
      </c>
      <c r="M1015" t="s">
        <v>841</v>
      </c>
      <c r="N1015" t="s">
        <v>26</v>
      </c>
      <c r="O1015" s="4">
        <v>150</v>
      </c>
      <c r="P1015">
        <v>0</v>
      </c>
      <c r="Q1015" s="4">
        <v>150</v>
      </c>
      <c r="R1015" s="12">
        <f t="shared" si="15"/>
        <v>43200</v>
      </c>
      <c r="T1015" t="s">
        <v>71</v>
      </c>
      <c r="U1015" t="s">
        <v>839</v>
      </c>
      <c r="V1015" s="4">
        <v>288</v>
      </c>
      <c r="W1015">
        <v>0</v>
      </c>
    </row>
    <row r="1016" spans="1:23" hidden="1" x14ac:dyDescent="0.25">
      <c r="A1016" s="2">
        <v>45840.711585648147</v>
      </c>
      <c r="B1016">
        <v>3917</v>
      </c>
      <c r="C1016" t="s">
        <v>837</v>
      </c>
      <c r="D1016" s="3">
        <v>45840</v>
      </c>
      <c r="E1016" s="3">
        <v>46111</v>
      </c>
      <c r="F1016" t="s">
        <v>21</v>
      </c>
      <c r="G1016" t="s">
        <v>1493</v>
      </c>
      <c r="H1016" t="s">
        <v>22</v>
      </c>
      <c r="I1016" t="s">
        <v>40</v>
      </c>
      <c r="J1016" t="s">
        <v>1491</v>
      </c>
      <c r="K1016" t="s">
        <v>24</v>
      </c>
      <c r="L1016" s="4">
        <v>289</v>
      </c>
      <c r="M1016" t="s">
        <v>841</v>
      </c>
      <c r="N1016" t="s">
        <v>26</v>
      </c>
      <c r="O1016" s="4">
        <v>150</v>
      </c>
      <c r="P1016">
        <v>0</v>
      </c>
      <c r="Q1016" s="4">
        <v>150</v>
      </c>
      <c r="R1016" s="12">
        <f t="shared" si="15"/>
        <v>43350</v>
      </c>
      <c r="T1016" t="s">
        <v>71</v>
      </c>
      <c r="U1016" t="s">
        <v>839</v>
      </c>
      <c r="V1016" s="4">
        <v>289</v>
      </c>
      <c r="W1016">
        <v>0</v>
      </c>
    </row>
    <row r="1017" spans="1:23" hidden="1" x14ac:dyDescent="0.25">
      <c r="A1017" s="2">
        <v>45840.713541666664</v>
      </c>
      <c r="B1017">
        <v>3918</v>
      </c>
      <c r="C1017" t="s">
        <v>837</v>
      </c>
      <c r="D1017" s="3">
        <v>45840</v>
      </c>
      <c r="E1017" s="3">
        <v>46264</v>
      </c>
      <c r="F1017" t="s">
        <v>21</v>
      </c>
      <c r="G1017" t="s">
        <v>1493</v>
      </c>
      <c r="H1017" t="s">
        <v>22</v>
      </c>
      <c r="I1017" t="s">
        <v>40</v>
      </c>
      <c r="J1017" t="s">
        <v>1491</v>
      </c>
      <c r="K1017" t="s">
        <v>24</v>
      </c>
      <c r="L1017" s="4">
        <v>289</v>
      </c>
      <c r="M1017" t="s">
        <v>842</v>
      </c>
      <c r="N1017" t="s">
        <v>46</v>
      </c>
      <c r="O1017" s="4">
        <v>60</v>
      </c>
      <c r="P1017">
        <v>0</v>
      </c>
      <c r="Q1017" s="4">
        <v>60</v>
      </c>
      <c r="R1017" s="12">
        <f t="shared" si="15"/>
        <v>17340</v>
      </c>
      <c r="T1017" t="s">
        <v>71</v>
      </c>
      <c r="U1017" t="s">
        <v>839</v>
      </c>
      <c r="V1017" s="4">
        <v>289</v>
      </c>
      <c r="W1017">
        <v>0</v>
      </c>
    </row>
    <row r="1018" spans="1:23" hidden="1" x14ac:dyDescent="0.25">
      <c r="A1018" s="2">
        <v>45840.713541666664</v>
      </c>
      <c r="B1018">
        <v>3918</v>
      </c>
      <c r="C1018" t="s">
        <v>837</v>
      </c>
      <c r="D1018" s="3">
        <v>45840</v>
      </c>
      <c r="E1018" s="3">
        <v>46264</v>
      </c>
      <c r="F1018" t="s">
        <v>21</v>
      </c>
      <c r="G1018" t="s">
        <v>1493</v>
      </c>
      <c r="H1018" t="s">
        <v>22</v>
      </c>
      <c r="I1018" t="s">
        <v>41</v>
      </c>
      <c r="J1018" t="s">
        <v>1491</v>
      </c>
      <c r="K1018" t="s">
        <v>24</v>
      </c>
      <c r="L1018" s="4">
        <v>288</v>
      </c>
      <c r="M1018" t="s">
        <v>842</v>
      </c>
      <c r="N1018" t="s">
        <v>46</v>
      </c>
      <c r="O1018" s="4">
        <v>60</v>
      </c>
      <c r="P1018">
        <v>0</v>
      </c>
      <c r="Q1018" s="4">
        <v>60</v>
      </c>
      <c r="R1018" s="12">
        <f t="shared" si="15"/>
        <v>17280</v>
      </c>
      <c r="T1018" t="s">
        <v>71</v>
      </c>
      <c r="U1018" t="s">
        <v>839</v>
      </c>
      <c r="V1018" s="4">
        <v>288</v>
      </c>
      <c r="W1018">
        <v>0</v>
      </c>
    </row>
    <row r="1019" spans="1:23" hidden="1" x14ac:dyDescent="0.25">
      <c r="A1019" s="2">
        <v>45840.713541666664</v>
      </c>
      <c r="B1019">
        <v>3918</v>
      </c>
      <c r="C1019" t="s">
        <v>837</v>
      </c>
      <c r="D1019" s="3">
        <v>45840</v>
      </c>
      <c r="E1019" s="3">
        <v>46264</v>
      </c>
      <c r="F1019" t="s">
        <v>21</v>
      </c>
      <c r="G1019" t="s">
        <v>1493</v>
      </c>
      <c r="H1019" t="s">
        <v>22</v>
      </c>
      <c r="I1019" t="s">
        <v>38</v>
      </c>
      <c r="J1019" t="s">
        <v>1491</v>
      </c>
      <c r="K1019" t="s">
        <v>24</v>
      </c>
      <c r="L1019" s="4">
        <v>47.25</v>
      </c>
      <c r="M1019" t="s">
        <v>842</v>
      </c>
      <c r="N1019" t="s">
        <v>46</v>
      </c>
      <c r="O1019" s="4">
        <v>300</v>
      </c>
      <c r="P1019">
        <v>0</v>
      </c>
      <c r="Q1019" s="4">
        <v>300</v>
      </c>
      <c r="R1019" s="12">
        <f t="shared" si="15"/>
        <v>14175</v>
      </c>
      <c r="T1019" t="s">
        <v>71</v>
      </c>
      <c r="U1019" t="s">
        <v>839</v>
      </c>
      <c r="V1019" s="4">
        <v>47.25</v>
      </c>
      <c r="W1019">
        <v>0</v>
      </c>
    </row>
    <row r="1020" spans="1:23" hidden="1" x14ac:dyDescent="0.25">
      <c r="A1020" s="2">
        <v>45840.713541666664</v>
      </c>
      <c r="B1020">
        <v>3918</v>
      </c>
      <c r="C1020" t="s">
        <v>837</v>
      </c>
      <c r="D1020" s="3">
        <v>45840</v>
      </c>
      <c r="E1020" s="3">
        <v>46264</v>
      </c>
      <c r="F1020" t="s">
        <v>21</v>
      </c>
      <c r="G1020" t="s">
        <v>1493</v>
      </c>
      <c r="H1020" t="s">
        <v>22</v>
      </c>
      <c r="I1020" t="s">
        <v>201</v>
      </c>
      <c r="J1020" t="s">
        <v>1491</v>
      </c>
      <c r="K1020" t="s">
        <v>24</v>
      </c>
      <c r="L1020" s="4">
        <v>50</v>
      </c>
      <c r="M1020" t="s">
        <v>842</v>
      </c>
      <c r="N1020" t="s">
        <v>46</v>
      </c>
      <c r="O1020" s="4">
        <v>3000</v>
      </c>
      <c r="P1020">
        <v>0</v>
      </c>
      <c r="Q1020" s="4">
        <v>3000</v>
      </c>
      <c r="R1020" s="12">
        <f t="shared" si="15"/>
        <v>150000</v>
      </c>
      <c r="T1020" t="s">
        <v>71</v>
      </c>
      <c r="U1020" t="s">
        <v>839</v>
      </c>
      <c r="V1020" s="4">
        <v>50</v>
      </c>
      <c r="W1020">
        <v>0</v>
      </c>
    </row>
    <row r="1021" spans="1:23" hidden="1" x14ac:dyDescent="0.25">
      <c r="A1021" s="2">
        <v>45840.713541666664</v>
      </c>
      <c r="B1021">
        <v>3918</v>
      </c>
      <c r="C1021" t="s">
        <v>837</v>
      </c>
      <c r="D1021" s="3">
        <v>45840</v>
      </c>
      <c r="E1021" s="3">
        <v>46264</v>
      </c>
      <c r="F1021" t="s">
        <v>21</v>
      </c>
      <c r="G1021" t="s">
        <v>1493</v>
      </c>
      <c r="H1021" t="s">
        <v>22</v>
      </c>
      <c r="I1021" t="s">
        <v>63</v>
      </c>
      <c r="J1021" t="s">
        <v>1491</v>
      </c>
      <c r="K1021" t="s">
        <v>31</v>
      </c>
      <c r="L1021" s="4">
        <v>182.5</v>
      </c>
      <c r="M1021" t="s">
        <v>842</v>
      </c>
      <c r="N1021" t="s">
        <v>46</v>
      </c>
      <c r="O1021" s="4">
        <v>240</v>
      </c>
      <c r="P1021">
        <v>0</v>
      </c>
      <c r="Q1021" s="4">
        <v>240</v>
      </c>
      <c r="R1021" s="12">
        <f t="shared" si="15"/>
        <v>43800</v>
      </c>
      <c r="T1021" t="s">
        <v>71</v>
      </c>
      <c r="U1021" t="s">
        <v>839</v>
      </c>
      <c r="V1021" s="4">
        <v>182.5</v>
      </c>
      <c r="W1021">
        <v>0</v>
      </c>
    </row>
    <row r="1022" spans="1:23" hidden="1" x14ac:dyDescent="0.25">
      <c r="A1022" s="2">
        <v>45958.455266203702</v>
      </c>
      <c r="B1022">
        <v>4217</v>
      </c>
      <c r="C1022" t="s">
        <v>837</v>
      </c>
      <c r="D1022" s="3">
        <v>45958</v>
      </c>
      <c r="E1022" s="3">
        <v>46111</v>
      </c>
      <c r="F1022" t="s">
        <v>21</v>
      </c>
      <c r="H1022" t="s">
        <v>22</v>
      </c>
      <c r="I1022" t="s">
        <v>162</v>
      </c>
      <c r="K1022" t="s">
        <v>24</v>
      </c>
      <c r="L1022" s="4">
        <v>39</v>
      </c>
      <c r="M1022" t="s">
        <v>843</v>
      </c>
      <c r="N1022" t="s">
        <v>26</v>
      </c>
      <c r="O1022" s="4">
        <v>48</v>
      </c>
      <c r="P1022">
        <v>0</v>
      </c>
      <c r="Q1022" s="4">
        <v>48</v>
      </c>
      <c r="R1022" s="12">
        <f t="shared" si="15"/>
        <v>1872</v>
      </c>
      <c r="T1022" t="s">
        <v>71</v>
      </c>
      <c r="U1022" t="s">
        <v>839</v>
      </c>
      <c r="V1022" s="4">
        <v>39</v>
      </c>
      <c r="W1022">
        <v>0</v>
      </c>
    </row>
    <row r="1023" spans="1:23" hidden="1" x14ac:dyDescent="0.25">
      <c r="A1023" s="2">
        <v>45958.455266203702</v>
      </c>
      <c r="B1023">
        <v>4217</v>
      </c>
      <c r="C1023" t="s">
        <v>837</v>
      </c>
      <c r="D1023" s="3">
        <v>45958</v>
      </c>
      <c r="E1023" s="3">
        <v>46111</v>
      </c>
      <c r="F1023" t="s">
        <v>21</v>
      </c>
      <c r="G1023" t="s">
        <v>1493</v>
      </c>
      <c r="H1023" t="s">
        <v>22</v>
      </c>
      <c r="I1023" t="s">
        <v>41</v>
      </c>
      <c r="J1023" t="s">
        <v>1491</v>
      </c>
      <c r="K1023" t="s">
        <v>24</v>
      </c>
      <c r="L1023" s="4">
        <v>288</v>
      </c>
      <c r="M1023" t="s">
        <v>843</v>
      </c>
      <c r="N1023" t="s">
        <v>26</v>
      </c>
      <c r="O1023" s="4">
        <v>15</v>
      </c>
      <c r="P1023">
        <v>0</v>
      </c>
      <c r="Q1023" s="4">
        <v>15</v>
      </c>
      <c r="R1023" s="12">
        <f t="shared" si="15"/>
        <v>4320</v>
      </c>
      <c r="T1023" t="s">
        <v>71</v>
      </c>
      <c r="U1023" t="s">
        <v>839</v>
      </c>
      <c r="V1023" s="4">
        <v>288</v>
      </c>
      <c r="W1023">
        <v>0</v>
      </c>
    </row>
    <row r="1024" spans="1:23" hidden="1" x14ac:dyDescent="0.25">
      <c r="A1024" s="2">
        <v>45958.455266203702</v>
      </c>
      <c r="B1024">
        <v>4217</v>
      </c>
      <c r="C1024" t="s">
        <v>837</v>
      </c>
      <c r="D1024" s="3">
        <v>45958</v>
      </c>
      <c r="E1024" s="3">
        <v>46111</v>
      </c>
      <c r="F1024" t="s">
        <v>21</v>
      </c>
      <c r="G1024" t="s">
        <v>1493</v>
      </c>
      <c r="H1024" t="s">
        <v>22</v>
      </c>
      <c r="I1024" t="s">
        <v>40</v>
      </c>
      <c r="J1024" t="s">
        <v>1491</v>
      </c>
      <c r="K1024" t="s">
        <v>24</v>
      </c>
      <c r="L1024" s="4">
        <v>289</v>
      </c>
      <c r="M1024" t="s">
        <v>843</v>
      </c>
      <c r="N1024" t="s">
        <v>26</v>
      </c>
      <c r="O1024" s="4">
        <v>15</v>
      </c>
      <c r="P1024">
        <v>0</v>
      </c>
      <c r="Q1024" s="4">
        <v>15</v>
      </c>
      <c r="R1024" s="12">
        <f t="shared" si="15"/>
        <v>4335</v>
      </c>
      <c r="T1024" t="s">
        <v>71</v>
      </c>
      <c r="U1024" t="s">
        <v>839</v>
      </c>
      <c r="V1024" s="4">
        <v>289</v>
      </c>
      <c r="W1024">
        <v>0</v>
      </c>
    </row>
    <row r="1025" spans="1:23" hidden="1" x14ac:dyDescent="0.25">
      <c r="A1025" s="2">
        <v>45958.455266203702</v>
      </c>
      <c r="B1025">
        <v>4217</v>
      </c>
      <c r="C1025" t="s">
        <v>837</v>
      </c>
      <c r="D1025" s="3">
        <v>45958</v>
      </c>
      <c r="E1025" s="3">
        <v>46111</v>
      </c>
      <c r="F1025" t="s">
        <v>21</v>
      </c>
      <c r="G1025" t="s">
        <v>1493</v>
      </c>
      <c r="H1025" t="s">
        <v>22</v>
      </c>
      <c r="I1025" t="s">
        <v>44</v>
      </c>
      <c r="J1025" t="s">
        <v>1491</v>
      </c>
      <c r="K1025" t="s">
        <v>31</v>
      </c>
      <c r="L1025" s="4">
        <v>365</v>
      </c>
      <c r="M1025" t="s">
        <v>843</v>
      </c>
      <c r="N1025" t="s">
        <v>26</v>
      </c>
      <c r="O1025" s="4">
        <v>15</v>
      </c>
      <c r="P1025">
        <v>0</v>
      </c>
      <c r="Q1025" s="4">
        <v>15</v>
      </c>
      <c r="R1025" s="12">
        <f t="shared" si="15"/>
        <v>5475</v>
      </c>
      <c r="T1025" t="s">
        <v>71</v>
      </c>
      <c r="U1025" t="s">
        <v>839</v>
      </c>
      <c r="V1025" s="4">
        <v>365</v>
      </c>
      <c r="W1025">
        <v>0</v>
      </c>
    </row>
    <row r="1026" spans="1:23" hidden="1" x14ac:dyDescent="0.25">
      <c r="A1026" s="2">
        <v>45958.455266203702</v>
      </c>
      <c r="B1026">
        <v>4217</v>
      </c>
      <c r="C1026" t="s">
        <v>837</v>
      </c>
      <c r="D1026" s="3">
        <v>45958</v>
      </c>
      <c r="E1026" s="3">
        <v>46111</v>
      </c>
      <c r="F1026" t="s">
        <v>21</v>
      </c>
      <c r="G1026" t="s">
        <v>1493</v>
      </c>
      <c r="H1026" t="s">
        <v>22</v>
      </c>
      <c r="I1026" t="s">
        <v>38</v>
      </c>
      <c r="J1026" t="s">
        <v>1491</v>
      </c>
      <c r="K1026" t="s">
        <v>24</v>
      </c>
      <c r="L1026" s="4">
        <v>47.25</v>
      </c>
      <c r="M1026" t="s">
        <v>843</v>
      </c>
      <c r="N1026" t="s">
        <v>26</v>
      </c>
      <c r="O1026" s="4">
        <v>27</v>
      </c>
      <c r="P1026">
        <v>0</v>
      </c>
      <c r="Q1026" s="4">
        <v>27</v>
      </c>
      <c r="R1026" s="12">
        <f t="shared" si="15"/>
        <v>1275.75</v>
      </c>
      <c r="T1026" t="s">
        <v>71</v>
      </c>
      <c r="U1026" t="s">
        <v>839</v>
      </c>
      <c r="V1026" s="4">
        <v>47.25</v>
      </c>
      <c r="W1026">
        <v>0</v>
      </c>
    </row>
    <row r="1027" spans="1:23" hidden="1" x14ac:dyDescent="0.25">
      <c r="A1027" s="2">
        <v>45958.455266203702</v>
      </c>
      <c r="B1027">
        <v>4217</v>
      </c>
      <c r="C1027" t="s">
        <v>837</v>
      </c>
      <c r="D1027" s="3">
        <v>45958</v>
      </c>
      <c r="E1027" s="3">
        <v>46111</v>
      </c>
      <c r="F1027" t="s">
        <v>21</v>
      </c>
      <c r="G1027" t="s">
        <v>1493</v>
      </c>
      <c r="H1027" t="s">
        <v>22</v>
      </c>
      <c r="I1027" t="s">
        <v>43</v>
      </c>
      <c r="J1027" t="s">
        <v>1491</v>
      </c>
      <c r="K1027" t="s">
        <v>24</v>
      </c>
      <c r="L1027" s="4">
        <v>39</v>
      </c>
      <c r="M1027" t="s">
        <v>843</v>
      </c>
      <c r="N1027" t="s">
        <v>26</v>
      </c>
      <c r="O1027" s="4">
        <v>42</v>
      </c>
      <c r="P1027">
        <v>0</v>
      </c>
      <c r="Q1027" s="4">
        <v>42</v>
      </c>
      <c r="R1027" s="12">
        <f t="shared" ref="R1027:R1090" si="16">Q1027*L1027</f>
        <v>1638</v>
      </c>
      <c r="T1027" t="s">
        <v>71</v>
      </c>
      <c r="U1027" t="s">
        <v>839</v>
      </c>
      <c r="V1027" s="4">
        <v>39</v>
      </c>
      <c r="W1027">
        <v>0</v>
      </c>
    </row>
    <row r="1028" spans="1:23" hidden="1" x14ac:dyDescent="0.25">
      <c r="A1028" s="2">
        <v>45959.371504629627</v>
      </c>
      <c r="B1028">
        <v>4218</v>
      </c>
      <c r="C1028" t="s">
        <v>837</v>
      </c>
      <c r="D1028" s="3">
        <v>45959</v>
      </c>
      <c r="E1028" s="3">
        <v>46111</v>
      </c>
      <c r="F1028" t="s">
        <v>21</v>
      </c>
      <c r="H1028" t="s">
        <v>22</v>
      </c>
      <c r="I1028" t="s">
        <v>844</v>
      </c>
      <c r="K1028" t="s">
        <v>24</v>
      </c>
      <c r="L1028" s="4">
        <v>205</v>
      </c>
      <c r="M1028" t="s">
        <v>845</v>
      </c>
      <c r="N1028" t="s">
        <v>26</v>
      </c>
      <c r="O1028" s="4">
        <v>5</v>
      </c>
      <c r="P1028">
        <v>0</v>
      </c>
      <c r="Q1028" s="4">
        <v>5</v>
      </c>
      <c r="R1028" s="12">
        <f t="shared" si="16"/>
        <v>1025</v>
      </c>
      <c r="T1028" t="s">
        <v>71</v>
      </c>
      <c r="U1028" t="s">
        <v>839</v>
      </c>
      <c r="V1028" s="4">
        <v>205</v>
      </c>
      <c r="W1028">
        <v>0</v>
      </c>
    </row>
    <row r="1029" spans="1:23" hidden="1" x14ac:dyDescent="0.25">
      <c r="A1029" s="2">
        <v>45993.333136574074</v>
      </c>
      <c r="B1029">
        <v>4314</v>
      </c>
      <c r="C1029" t="s">
        <v>837</v>
      </c>
      <c r="D1029" s="3">
        <v>45993</v>
      </c>
      <c r="E1029" s="3">
        <v>46111</v>
      </c>
      <c r="F1029" t="s">
        <v>21</v>
      </c>
      <c r="H1029" t="s">
        <v>22</v>
      </c>
      <c r="I1029" t="s">
        <v>80</v>
      </c>
      <c r="K1029" t="s">
        <v>31</v>
      </c>
      <c r="L1029" s="4">
        <v>37</v>
      </c>
      <c r="M1029" t="s">
        <v>846</v>
      </c>
      <c r="N1029" t="s">
        <v>26</v>
      </c>
      <c r="O1029" s="4">
        <v>30</v>
      </c>
      <c r="P1029">
        <v>0</v>
      </c>
      <c r="Q1029" s="4">
        <v>30</v>
      </c>
      <c r="R1029" s="12">
        <f t="shared" si="16"/>
        <v>1110</v>
      </c>
      <c r="T1029" t="s">
        <v>71</v>
      </c>
      <c r="U1029" t="s">
        <v>839</v>
      </c>
      <c r="V1029" s="4">
        <v>37</v>
      </c>
      <c r="W1029">
        <v>0</v>
      </c>
    </row>
    <row r="1030" spans="1:23" hidden="1" x14ac:dyDescent="0.25">
      <c r="A1030" s="2">
        <v>45992.600729166668</v>
      </c>
      <c r="B1030">
        <v>439</v>
      </c>
      <c r="C1030" t="s">
        <v>847</v>
      </c>
      <c r="D1030" s="3">
        <v>45992</v>
      </c>
      <c r="E1030" s="3">
        <v>46295</v>
      </c>
      <c r="F1030" t="s">
        <v>418</v>
      </c>
      <c r="G1030" t="s">
        <v>1494</v>
      </c>
      <c r="H1030" t="s">
        <v>22</v>
      </c>
      <c r="I1030" t="s">
        <v>63</v>
      </c>
      <c r="J1030" t="s">
        <v>1491</v>
      </c>
      <c r="K1030" t="s">
        <v>31</v>
      </c>
      <c r="L1030" s="4">
        <v>187</v>
      </c>
      <c r="M1030" t="s">
        <v>848</v>
      </c>
      <c r="N1030" t="s">
        <v>46</v>
      </c>
      <c r="O1030" s="4">
        <v>31</v>
      </c>
      <c r="P1030">
        <v>0</v>
      </c>
      <c r="Q1030" s="4">
        <v>31</v>
      </c>
      <c r="R1030" s="12">
        <f t="shared" si="16"/>
        <v>5797</v>
      </c>
      <c r="T1030" t="s">
        <v>71</v>
      </c>
      <c r="U1030" t="s">
        <v>849</v>
      </c>
      <c r="V1030" s="4">
        <v>187</v>
      </c>
      <c r="W1030">
        <v>0</v>
      </c>
    </row>
    <row r="1031" spans="1:23" hidden="1" x14ac:dyDescent="0.25">
      <c r="A1031" s="2">
        <v>45992.600729166668</v>
      </c>
      <c r="B1031">
        <v>439</v>
      </c>
      <c r="C1031" t="s">
        <v>847</v>
      </c>
      <c r="D1031" s="3">
        <v>45992</v>
      </c>
      <c r="E1031" s="3">
        <v>46295</v>
      </c>
      <c r="F1031" t="s">
        <v>418</v>
      </c>
      <c r="G1031" t="s">
        <v>1494</v>
      </c>
      <c r="H1031" t="s">
        <v>22</v>
      </c>
      <c r="I1031" t="s">
        <v>41</v>
      </c>
      <c r="J1031" t="s">
        <v>1491</v>
      </c>
      <c r="K1031" t="s">
        <v>24</v>
      </c>
      <c r="L1031" s="4">
        <v>300</v>
      </c>
      <c r="M1031" t="s">
        <v>848</v>
      </c>
      <c r="N1031" t="s">
        <v>46</v>
      </c>
      <c r="O1031" s="4">
        <v>25</v>
      </c>
      <c r="P1031">
        <v>0</v>
      </c>
      <c r="Q1031" s="4">
        <v>25</v>
      </c>
      <c r="R1031" s="12">
        <f t="shared" si="16"/>
        <v>7500</v>
      </c>
      <c r="T1031" t="s">
        <v>71</v>
      </c>
      <c r="U1031" t="s">
        <v>849</v>
      </c>
      <c r="V1031" s="4">
        <v>300</v>
      </c>
      <c r="W1031">
        <v>0</v>
      </c>
    </row>
    <row r="1032" spans="1:23" hidden="1" x14ac:dyDescent="0.25">
      <c r="A1032" s="2">
        <v>45996.390833333331</v>
      </c>
      <c r="B1032">
        <v>446</v>
      </c>
      <c r="C1032" t="s">
        <v>847</v>
      </c>
      <c r="D1032" s="3">
        <v>45996</v>
      </c>
      <c r="E1032" s="3">
        <v>46295</v>
      </c>
      <c r="F1032" t="s">
        <v>418</v>
      </c>
      <c r="G1032" t="s">
        <v>1494</v>
      </c>
      <c r="H1032" t="s">
        <v>22</v>
      </c>
      <c r="I1032" t="s">
        <v>41</v>
      </c>
      <c r="J1032" t="s">
        <v>1491</v>
      </c>
      <c r="K1032" t="s">
        <v>24</v>
      </c>
      <c r="L1032" s="4">
        <v>300</v>
      </c>
      <c r="M1032" t="s">
        <v>850</v>
      </c>
      <c r="N1032" t="s">
        <v>46</v>
      </c>
      <c r="O1032" s="4">
        <v>2</v>
      </c>
      <c r="P1032">
        <v>0</v>
      </c>
      <c r="Q1032" s="4">
        <v>2</v>
      </c>
      <c r="R1032" s="12">
        <f t="shared" si="16"/>
        <v>600</v>
      </c>
      <c r="T1032" t="s">
        <v>71</v>
      </c>
      <c r="U1032" t="s">
        <v>849</v>
      </c>
      <c r="V1032" s="4">
        <v>300</v>
      </c>
      <c r="W1032">
        <v>0</v>
      </c>
    </row>
    <row r="1033" spans="1:23" hidden="1" x14ac:dyDescent="0.25">
      <c r="A1033" s="2">
        <v>45996.390833333331</v>
      </c>
      <c r="B1033">
        <v>446</v>
      </c>
      <c r="C1033" t="s">
        <v>847</v>
      </c>
      <c r="D1033" s="3">
        <v>45996</v>
      </c>
      <c r="E1033" s="3">
        <v>46295</v>
      </c>
      <c r="F1033" t="s">
        <v>418</v>
      </c>
      <c r="G1033" t="s">
        <v>1494</v>
      </c>
      <c r="H1033" t="s">
        <v>22</v>
      </c>
      <c r="I1033" t="s">
        <v>63</v>
      </c>
      <c r="J1033" t="s">
        <v>1491</v>
      </c>
      <c r="K1033" t="s">
        <v>31</v>
      </c>
      <c r="L1033" s="4">
        <v>187</v>
      </c>
      <c r="M1033" t="s">
        <v>850</v>
      </c>
      <c r="N1033" t="s">
        <v>46</v>
      </c>
      <c r="O1033" s="4">
        <v>3</v>
      </c>
      <c r="P1033">
        <v>0</v>
      </c>
      <c r="Q1033" s="4">
        <v>3</v>
      </c>
      <c r="R1033" s="12">
        <f t="shared" si="16"/>
        <v>561</v>
      </c>
      <c r="T1033" t="s">
        <v>71</v>
      </c>
      <c r="U1033" t="s">
        <v>849</v>
      </c>
      <c r="V1033" s="4">
        <v>187</v>
      </c>
      <c r="W1033">
        <v>0</v>
      </c>
    </row>
    <row r="1034" spans="1:23" hidden="1" x14ac:dyDescent="0.25">
      <c r="A1034" s="2">
        <v>46090.545312499999</v>
      </c>
      <c r="B1034">
        <v>4646</v>
      </c>
      <c r="C1034" t="s">
        <v>851</v>
      </c>
      <c r="D1034" s="3">
        <v>46090</v>
      </c>
      <c r="E1034" s="3">
        <v>46099</v>
      </c>
      <c r="F1034" t="s">
        <v>79</v>
      </c>
      <c r="H1034" t="s">
        <v>22</v>
      </c>
      <c r="I1034" t="s">
        <v>80</v>
      </c>
      <c r="K1034" t="s">
        <v>31</v>
      </c>
      <c r="L1034" s="4">
        <v>46</v>
      </c>
      <c r="M1034" t="s">
        <v>852</v>
      </c>
      <c r="N1034" t="s">
        <v>46</v>
      </c>
      <c r="O1034" s="4">
        <v>150</v>
      </c>
      <c r="P1034">
        <v>0</v>
      </c>
      <c r="Q1034" s="4">
        <v>150</v>
      </c>
      <c r="R1034" s="12">
        <f t="shared" si="16"/>
        <v>6900</v>
      </c>
      <c r="T1034" t="s">
        <v>151</v>
      </c>
      <c r="U1034" t="s">
        <v>853</v>
      </c>
      <c r="V1034" s="4">
        <v>46</v>
      </c>
      <c r="W1034">
        <v>0</v>
      </c>
    </row>
    <row r="1035" spans="1:23" hidden="1" x14ac:dyDescent="0.25">
      <c r="A1035" s="2">
        <v>45873.64135416667</v>
      </c>
      <c r="B1035">
        <v>3961</v>
      </c>
      <c r="C1035" t="s">
        <v>854</v>
      </c>
      <c r="D1035" s="3">
        <v>45873</v>
      </c>
      <c r="E1035" s="3">
        <v>46111</v>
      </c>
      <c r="F1035" t="s">
        <v>21</v>
      </c>
      <c r="H1035" t="s">
        <v>22</v>
      </c>
      <c r="I1035" t="s">
        <v>23</v>
      </c>
      <c r="J1035" t="s">
        <v>1490</v>
      </c>
      <c r="K1035" t="s">
        <v>24</v>
      </c>
      <c r="L1035" s="4">
        <v>18</v>
      </c>
      <c r="M1035" t="s">
        <v>855</v>
      </c>
      <c r="N1035" t="s">
        <v>26</v>
      </c>
      <c r="O1035" s="4">
        <v>1260</v>
      </c>
      <c r="P1035">
        <v>0</v>
      </c>
      <c r="Q1035" s="4">
        <v>1260</v>
      </c>
      <c r="R1035" s="12">
        <f t="shared" si="16"/>
        <v>22680</v>
      </c>
      <c r="T1035" t="s">
        <v>27</v>
      </c>
      <c r="U1035" t="s">
        <v>856</v>
      </c>
      <c r="V1035" s="4">
        <v>18</v>
      </c>
      <c r="W1035">
        <v>0</v>
      </c>
    </row>
    <row r="1036" spans="1:23" hidden="1" x14ac:dyDescent="0.25">
      <c r="A1036" s="2">
        <v>45873.64135416667</v>
      </c>
      <c r="B1036">
        <v>3961</v>
      </c>
      <c r="C1036" t="s">
        <v>854</v>
      </c>
      <c r="D1036" s="3">
        <v>45873</v>
      </c>
      <c r="E1036" s="3">
        <v>46111</v>
      </c>
      <c r="F1036" t="s">
        <v>21</v>
      </c>
      <c r="H1036" t="s">
        <v>22</v>
      </c>
      <c r="I1036" t="s">
        <v>32</v>
      </c>
      <c r="J1036" t="s">
        <v>1490</v>
      </c>
      <c r="K1036" t="s">
        <v>24</v>
      </c>
      <c r="L1036" s="4">
        <v>25</v>
      </c>
      <c r="M1036" t="s">
        <v>855</v>
      </c>
      <c r="N1036" t="s">
        <v>26</v>
      </c>
      <c r="O1036" s="4">
        <v>1260</v>
      </c>
      <c r="P1036">
        <v>0</v>
      </c>
      <c r="Q1036" s="4">
        <v>1260</v>
      </c>
      <c r="R1036" s="12">
        <f t="shared" si="16"/>
        <v>31500</v>
      </c>
      <c r="T1036" t="s">
        <v>27</v>
      </c>
      <c r="U1036" t="s">
        <v>856</v>
      </c>
      <c r="V1036" s="4">
        <v>25</v>
      </c>
      <c r="W1036">
        <v>0</v>
      </c>
    </row>
    <row r="1037" spans="1:23" hidden="1" x14ac:dyDescent="0.25">
      <c r="A1037" s="2">
        <v>45873.64135416667</v>
      </c>
      <c r="B1037">
        <v>3961</v>
      </c>
      <c r="C1037" t="s">
        <v>854</v>
      </c>
      <c r="D1037" s="3">
        <v>45873</v>
      </c>
      <c r="E1037" s="3">
        <v>46111</v>
      </c>
      <c r="F1037" t="s">
        <v>21</v>
      </c>
      <c r="H1037" t="s">
        <v>22</v>
      </c>
      <c r="I1037" t="s">
        <v>37</v>
      </c>
      <c r="J1037" t="s">
        <v>1490</v>
      </c>
      <c r="K1037" t="s">
        <v>31</v>
      </c>
      <c r="L1037" s="4">
        <v>95</v>
      </c>
      <c r="M1037" t="s">
        <v>855</v>
      </c>
      <c r="N1037" t="s">
        <v>26</v>
      </c>
      <c r="O1037" s="4">
        <v>132</v>
      </c>
      <c r="P1037">
        <v>0</v>
      </c>
      <c r="Q1037" s="4">
        <v>132</v>
      </c>
      <c r="R1037" s="12">
        <f t="shared" si="16"/>
        <v>12540</v>
      </c>
      <c r="T1037" t="s">
        <v>27</v>
      </c>
      <c r="U1037" t="s">
        <v>856</v>
      </c>
      <c r="V1037" s="4">
        <v>95</v>
      </c>
      <c r="W1037">
        <v>0</v>
      </c>
    </row>
    <row r="1038" spans="1:23" hidden="1" x14ac:dyDescent="0.25">
      <c r="A1038" s="2">
        <v>45873.64135416667</v>
      </c>
      <c r="B1038">
        <v>3961</v>
      </c>
      <c r="C1038" t="s">
        <v>854</v>
      </c>
      <c r="D1038" s="3">
        <v>45873</v>
      </c>
      <c r="E1038" s="3">
        <v>46111</v>
      </c>
      <c r="F1038" t="s">
        <v>21</v>
      </c>
      <c r="H1038" t="s">
        <v>22</v>
      </c>
      <c r="I1038" t="s">
        <v>30</v>
      </c>
      <c r="J1038" t="s">
        <v>1490</v>
      </c>
      <c r="K1038" t="s">
        <v>31</v>
      </c>
      <c r="L1038" s="4">
        <v>25</v>
      </c>
      <c r="M1038" t="s">
        <v>855</v>
      </c>
      <c r="N1038" t="s">
        <v>26</v>
      </c>
      <c r="O1038" s="4">
        <v>2520</v>
      </c>
      <c r="P1038">
        <v>0</v>
      </c>
      <c r="Q1038" s="4">
        <v>2520</v>
      </c>
      <c r="R1038" s="12">
        <f t="shared" si="16"/>
        <v>63000</v>
      </c>
      <c r="T1038" t="s">
        <v>27</v>
      </c>
      <c r="U1038" t="s">
        <v>856</v>
      </c>
      <c r="V1038" s="4">
        <v>25</v>
      </c>
      <c r="W1038">
        <v>0</v>
      </c>
    </row>
    <row r="1039" spans="1:23" hidden="1" x14ac:dyDescent="0.25">
      <c r="A1039" s="2">
        <v>45873.64135416667</v>
      </c>
      <c r="B1039">
        <v>3961</v>
      </c>
      <c r="C1039" t="s">
        <v>854</v>
      </c>
      <c r="D1039" s="3">
        <v>45873</v>
      </c>
      <c r="E1039" s="3">
        <v>46111</v>
      </c>
      <c r="F1039" t="s">
        <v>21</v>
      </c>
      <c r="H1039" t="s">
        <v>22</v>
      </c>
      <c r="I1039" t="s">
        <v>29</v>
      </c>
      <c r="J1039" t="s">
        <v>1490</v>
      </c>
      <c r="K1039" t="s">
        <v>24</v>
      </c>
      <c r="L1039" s="4">
        <v>170</v>
      </c>
      <c r="M1039" t="s">
        <v>855</v>
      </c>
      <c r="N1039" t="s">
        <v>26</v>
      </c>
      <c r="O1039" s="4">
        <v>260</v>
      </c>
      <c r="P1039">
        <v>0</v>
      </c>
      <c r="Q1039" s="4">
        <v>260</v>
      </c>
      <c r="R1039" s="12">
        <f t="shared" si="16"/>
        <v>44200</v>
      </c>
      <c r="T1039" t="s">
        <v>27</v>
      </c>
      <c r="U1039" t="s">
        <v>856</v>
      </c>
      <c r="V1039" s="4">
        <v>170</v>
      </c>
      <c r="W1039">
        <v>0</v>
      </c>
    </row>
    <row r="1040" spans="1:23" hidden="1" x14ac:dyDescent="0.25">
      <c r="A1040" s="2">
        <v>45873.64135416667</v>
      </c>
      <c r="B1040">
        <v>3961</v>
      </c>
      <c r="C1040" t="s">
        <v>854</v>
      </c>
      <c r="D1040" s="3">
        <v>45873</v>
      </c>
      <c r="E1040" s="3">
        <v>46111</v>
      </c>
      <c r="F1040" t="s">
        <v>21</v>
      </c>
      <c r="H1040" t="s">
        <v>22</v>
      </c>
      <c r="I1040" t="s">
        <v>35</v>
      </c>
      <c r="J1040" t="s">
        <v>1490</v>
      </c>
      <c r="K1040" t="s">
        <v>24</v>
      </c>
      <c r="L1040" s="4">
        <v>73</v>
      </c>
      <c r="M1040" t="s">
        <v>855</v>
      </c>
      <c r="N1040" t="s">
        <v>26</v>
      </c>
      <c r="O1040" s="4">
        <v>315</v>
      </c>
      <c r="P1040">
        <v>0</v>
      </c>
      <c r="Q1040" s="4">
        <v>315</v>
      </c>
      <c r="R1040" s="12">
        <f t="shared" si="16"/>
        <v>22995</v>
      </c>
      <c r="T1040" t="s">
        <v>27</v>
      </c>
      <c r="U1040" t="s">
        <v>856</v>
      </c>
      <c r="V1040" s="4">
        <v>73</v>
      </c>
      <c r="W1040">
        <v>0</v>
      </c>
    </row>
    <row r="1041" spans="1:23" hidden="1" x14ac:dyDescent="0.25">
      <c r="A1041" s="2">
        <v>45873.64135416667</v>
      </c>
      <c r="B1041">
        <v>3961</v>
      </c>
      <c r="C1041" t="s">
        <v>854</v>
      </c>
      <c r="D1041" s="3">
        <v>45873</v>
      </c>
      <c r="E1041" s="3">
        <v>46111</v>
      </c>
      <c r="F1041" t="s">
        <v>21</v>
      </c>
      <c r="H1041" t="s">
        <v>22</v>
      </c>
      <c r="I1041" t="s">
        <v>181</v>
      </c>
      <c r="J1041" t="s">
        <v>1490</v>
      </c>
      <c r="K1041" t="s">
        <v>24</v>
      </c>
      <c r="L1041" s="4">
        <v>87</v>
      </c>
      <c r="M1041" t="s">
        <v>855</v>
      </c>
      <c r="N1041" t="s">
        <v>26</v>
      </c>
      <c r="O1041" s="4">
        <v>380</v>
      </c>
      <c r="P1041">
        <v>0</v>
      </c>
      <c r="Q1041" s="4">
        <v>380</v>
      </c>
      <c r="R1041" s="12">
        <f t="shared" si="16"/>
        <v>33060</v>
      </c>
      <c r="T1041" t="s">
        <v>27</v>
      </c>
      <c r="U1041" t="s">
        <v>856</v>
      </c>
      <c r="V1041" s="4">
        <v>87</v>
      </c>
      <c r="W1041">
        <v>0</v>
      </c>
    </row>
    <row r="1042" spans="1:23" hidden="1" x14ac:dyDescent="0.25">
      <c r="A1042" s="2">
        <v>45873.64135416667</v>
      </c>
      <c r="B1042">
        <v>3961</v>
      </c>
      <c r="C1042" t="s">
        <v>854</v>
      </c>
      <c r="D1042" s="3">
        <v>45873</v>
      </c>
      <c r="E1042" s="3">
        <v>46111</v>
      </c>
      <c r="F1042" t="s">
        <v>21</v>
      </c>
      <c r="H1042" t="s">
        <v>22</v>
      </c>
      <c r="I1042" t="s">
        <v>34</v>
      </c>
      <c r="J1042" t="s">
        <v>1490</v>
      </c>
      <c r="K1042" t="s">
        <v>31</v>
      </c>
      <c r="L1042" s="4">
        <v>27</v>
      </c>
      <c r="M1042" t="s">
        <v>855</v>
      </c>
      <c r="N1042" t="s">
        <v>26</v>
      </c>
      <c r="O1042" s="4">
        <v>1260</v>
      </c>
      <c r="P1042">
        <v>0</v>
      </c>
      <c r="Q1042" s="4">
        <v>1260</v>
      </c>
      <c r="R1042" s="12">
        <f t="shared" si="16"/>
        <v>34020</v>
      </c>
      <c r="T1042" t="s">
        <v>27</v>
      </c>
      <c r="U1042" t="s">
        <v>856</v>
      </c>
      <c r="V1042" s="4">
        <v>27</v>
      </c>
      <c r="W1042">
        <v>0</v>
      </c>
    </row>
    <row r="1043" spans="1:23" hidden="1" x14ac:dyDescent="0.25">
      <c r="A1043" s="2">
        <v>45873.64135416667</v>
      </c>
      <c r="B1043">
        <v>3961</v>
      </c>
      <c r="C1043" t="s">
        <v>854</v>
      </c>
      <c r="D1043" s="3">
        <v>45873</v>
      </c>
      <c r="E1043" s="3">
        <v>46111</v>
      </c>
      <c r="F1043" t="s">
        <v>21</v>
      </c>
      <c r="H1043" t="s">
        <v>22</v>
      </c>
      <c r="I1043" t="s">
        <v>36</v>
      </c>
      <c r="J1043" t="s">
        <v>1490</v>
      </c>
      <c r="K1043" t="s">
        <v>24</v>
      </c>
      <c r="L1043" s="4">
        <v>73</v>
      </c>
      <c r="M1043" t="s">
        <v>855</v>
      </c>
      <c r="N1043" t="s">
        <v>26</v>
      </c>
      <c r="O1043" s="4">
        <v>190</v>
      </c>
      <c r="P1043">
        <v>0</v>
      </c>
      <c r="Q1043" s="4">
        <v>190</v>
      </c>
      <c r="R1043" s="12">
        <f t="shared" si="16"/>
        <v>13870</v>
      </c>
      <c r="T1043" t="s">
        <v>27</v>
      </c>
      <c r="U1043" t="s">
        <v>856</v>
      </c>
      <c r="V1043" s="4">
        <v>73</v>
      </c>
      <c r="W1043">
        <v>0</v>
      </c>
    </row>
    <row r="1044" spans="1:23" hidden="1" x14ac:dyDescent="0.25">
      <c r="A1044" s="2">
        <v>45873.64135416667</v>
      </c>
      <c r="B1044">
        <v>3961</v>
      </c>
      <c r="C1044" t="s">
        <v>854</v>
      </c>
      <c r="D1044" s="3">
        <v>45873</v>
      </c>
      <c r="E1044" s="3">
        <v>46111</v>
      </c>
      <c r="F1044" t="s">
        <v>21</v>
      </c>
      <c r="H1044" t="s">
        <v>22</v>
      </c>
      <c r="I1044" t="s">
        <v>33</v>
      </c>
      <c r="J1044" t="s">
        <v>1490</v>
      </c>
      <c r="K1044" t="s">
        <v>31</v>
      </c>
      <c r="L1044" s="4">
        <v>28</v>
      </c>
      <c r="M1044" t="s">
        <v>855</v>
      </c>
      <c r="N1044" t="s">
        <v>26</v>
      </c>
      <c r="O1044" s="4">
        <v>1900</v>
      </c>
      <c r="P1044">
        <v>0</v>
      </c>
      <c r="Q1044" s="4">
        <v>1900</v>
      </c>
      <c r="R1044" s="12">
        <f t="shared" si="16"/>
        <v>53200</v>
      </c>
      <c r="T1044" t="s">
        <v>27</v>
      </c>
      <c r="U1044" t="s">
        <v>856</v>
      </c>
      <c r="V1044" s="4">
        <v>28</v>
      </c>
      <c r="W1044">
        <v>0</v>
      </c>
    </row>
    <row r="1045" spans="1:23" hidden="1" x14ac:dyDescent="0.25">
      <c r="A1045" s="2">
        <v>45873.656608796293</v>
      </c>
      <c r="B1045">
        <v>3962</v>
      </c>
      <c r="C1045" t="s">
        <v>854</v>
      </c>
      <c r="D1045" s="3">
        <v>45873</v>
      </c>
      <c r="E1045" s="3">
        <v>46111</v>
      </c>
      <c r="F1045" t="s">
        <v>21</v>
      </c>
      <c r="G1045" t="s">
        <v>1493</v>
      </c>
      <c r="H1045" t="s">
        <v>22</v>
      </c>
      <c r="I1045" t="s">
        <v>63</v>
      </c>
      <c r="J1045" t="s">
        <v>1491</v>
      </c>
      <c r="K1045" t="s">
        <v>31</v>
      </c>
      <c r="L1045" s="4">
        <v>205</v>
      </c>
      <c r="M1045" t="s">
        <v>857</v>
      </c>
      <c r="N1045" t="s">
        <v>26</v>
      </c>
      <c r="O1045" s="4">
        <v>126</v>
      </c>
      <c r="P1045">
        <v>0</v>
      </c>
      <c r="Q1045" s="4">
        <v>126</v>
      </c>
      <c r="R1045" s="12">
        <f t="shared" si="16"/>
        <v>25830</v>
      </c>
      <c r="T1045" t="s">
        <v>27</v>
      </c>
      <c r="U1045" t="s">
        <v>856</v>
      </c>
      <c r="V1045" s="4">
        <v>205</v>
      </c>
      <c r="W1045">
        <v>0</v>
      </c>
    </row>
    <row r="1046" spans="1:23" hidden="1" x14ac:dyDescent="0.25">
      <c r="A1046" s="2">
        <v>45873.656608796293</v>
      </c>
      <c r="B1046">
        <v>3962</v>
      </c>
      <c r="C1046" t="s">
        <v>854</v>
      </c>
      <c r="D1046" s="3">
        <v>45873</v>
      </c>
      <c r="E1046" s="3">
        <v>46111</v>
      </c>
      <c r="F1046" t="s">
        <v>21</v>
      </c>
      <c r="G1046" t="s">
        <v>1493</v>
      </c>
      <c r="H1046" t="s">
        <v>22</v>
      </c>
      <c r="I1046" t="s">
        <v>40</v>
      </c>
      <c r="J1046" t="s">
        <v>1491</v>
      </c>
      <c r="K1046" t="s">
        <v>24</v>
      </c>
      <c r="L1046" s="4">
        <v>345</v>
      </c>
      <c r="M1046" t="s">
        <v>857</v>
      </c>
      <c r="N1046" t="s">
        <v>26</v>
      </c>
      <c r="O1046" s="4">
        <v>63</v>
      </c>
      <c r="P1046">
        <v>0</v>
      </c>
      <c r="Q1046" s="4">
        <v>63</v>
      </c>
      <c r="R1046" s="12">
        <f t="shared" si="16"/>
        <v>21735</v>
      </c>
      <c r="T1046" t="s">
        <v>27</v>
      </c>
      <c r="U1046" t="s">
        <v>856</v>
      </c>
      <c r="V1046" s="4">
        <v>345</v>
      </c>
      <c r="W1046">
        <v>0</v>
      </c>
    </row>
    <row r="1047" spans="1:23" hidden="1" x14ac:dyDescent="0.25">
      <c r="A1047" s="2">
        <v>45873.656608796293</v>
      </c>
      <c r="B1047">
        <v>3962</v>
      </c>
      <c r="C1047" t="s">
        <v>854</v>
      </c>
      <c r="D1047" s="3">
        <v>45873</v>
      </c>
      <c r="E1047" s="3">
        <v>46111</v>
      </c>
      <c r="F1047" t="s">
        <v>21</v>
      </c>
      <c r="G1047" t="s">
        <v>1493</v>
      </c>
      <c r="H1047" t="s">
        <v>22</v>
      </c>
      <c r="I1047" t="s">
        <v>41</v>
      </c>
      <c r="J1047" t="s">
        <v>1491</v>
      </c>
      <c r="K1047" t="s">
        <v>24</v>
      </c>
      <c r="L1047" s="4">
        <v>345</v>
      </c>
      <c r="M1047" t="s">
        <v>857</v>
      </c>
      <c r="N1047" t="s">
        <v>26</v>
      </c>
      <c r="O1047" s="4">
        <v>63</v>
      </c>
      <c r="P1047">
        <v>0</v>
      </c>
      <c r="Q1047" s="4">
        <v>63</v>
      </c>
      <c r="R1047" s="12">
        <f t="shared" si="16"/>
        <v>21735</v>
      </c>
      <c r="T1047" t="s">
        <v>27</v>
      </c>
      <c r="U1047" t="s">
        <v>856</v>
      </c>
      <c r="V1047" s="4">
        <v>345</v>
      </c>
      <c r="W1047">
        <v>0</v>
      </c>
    </row>
    <row r="1048" spans="1:23" hidden="1" x14ac:dyDescent="0.25">
      <c r="A1048" s="2">
        <v>45873.656608796293</v>
      </c>
      <c r="B1048">
        <v>3962</v>
      </c>
      <c r="C1048" t="s">
        <v>854</v>
      </c>
      <c r="D1048" s="3">
        <v>45873</v>
      </c>
      <c r="E1048" s="3">
        <v>46111</v>
      </c>
      <c r="F1048" t="s">
        <v>21</v>
      </c>
      <c r="G1048" t="s">
        <v>1493</v>
      </c>
      <c r="H1048" t="s">
        <v>22</v>
      </c>
      <c r="I1048" t="s">
        <v>38</v>
      </c>
      <c r="J1048" t="s">
        <v>1491</v>
      </c>
      <c r="K1048" t="s">
        <v>24</v>
      </c>
      <c r="L1048" s="4">
        <v>52</v>
      </c>
      <c r="M1048" t="s">
        <v>857</v>
      </c>
      <c r="N1048" t="s">
        <v>26</v>
      </c>
      <c r="O1048" s="4">
        <v>126</v>
      </c>
      <c r="P1048">
        <v>0</v>
      </c>
      <c r="Q1048" s="4">
        <v>126</v>
      </c>
      <c r="R1048" s="12">
        <f t="shared" si="16"/>
        <v>6552</v>
      </c>
      <c r="T1048" t="s">
        <v>27</v>
      </c>
      <c r="U1048" t="s">
        <v>856</v>
      </c>
      <c r="V1048" s="4">
        <v>52</v>
      </c>
      <c r="W1048">
        <v>0</v>
      </c>
    </row>
    <row r="1049" spans="1:23" hidden="1" x14ac:dyDescent="0.25">
      <c r="A1049" s="2">
        <v>45873.656608796293</v>
      </c>
      <c r="B1049">
        <v>3962</v>
      </c>
      <c r="C1049" t="s">
        <v>854</v>
      </c>
      <c r="D1049" s="3">
        <v>45873</v>
      </c>
      <c r="E1049" s="3">
        <v>46111</v>
      </c>
      <c r="F1049" t="s">
        <v>21</v>
      </c>
      <c r="G1049" t="s">
        <v>1493</v>
      </c>
      <c r="H1049" t="s">
        <v>22</v>
      </c>
      <c r="I1049" t="s">
        <v>43</v>
      </c>
      <c r="J1049" t="s">
        <v>1491</v>
      </c>
      <c r="K1049" t="s">
        <v>24</v>
      </c>
      <c r="L1049" s="4">
        <v>48</v>
      </c>
      <c r="M1049" t="s">
        <v>857</v>
      </c>
      <c r="N1049" t="s">
        <v>26</v>
      </c>
      <c r="O1049" s="4">
        <v>126</v>
      </c>
      <c r="P1049">
        <v>0</v>
      </c>
      <c r="Q1049" s="4">
        <v>126</v>
      </c>
      <c r="R1049" s="12">
        <f t="shared" si="16"/>
        <v>6048</v>
      </c>
      <c r="T1049" t="s">
        <v>27</v>
      </c>
      <c r="U1049" t="s">
        <v>856</v>
      </c>
      <c r="V1049" s="4">
        <v>48</v>
      </c>
      <c r="W1049">
        <v>0</v>
      </c>
    </row>
    <row r="1050" spans="1:23" hidden="1" x14ac:dyDescent="0.25">
      <c r="A1050" s="2">
        <v>45873.656608796293</v>
      </c>
      <c r="B1050">
        <v>3962</v>
      </c>
      <c r="C1050" t="s">
        <v>854</v>
      </c>
      <c r="D1050" s="3">
        <v>45873</v>
      </c>
      <c r="E1050" s="3">
        <v>46111</v>
      </c>
      <c r="F1050" t="s">
        <v>21</v>
      </c>
      <c r="H1050" t="s">
        <v>22</v>
      </c>
      <c r="I1050" t="s">
        <v>42</v>
      </c>
      <c r="J1050" t="s">
        <v>1490</v>
      </c>
      <c r="K1050" t="s">
        <v>24</v>
      </c>
      <c r="L1050" s="4">
        <v>250</v>
      </c>
      <c r="M1050" t="s">
        <v>857</v>
      </c>
      <c r="N1050" t="s">
        <v>26</v>
      </c>
      <c r="O1050" s="4">
        <v>130</v>
      </c>
      <c r="P1050">
        <v>0</v>
      </c>
      <c r="Q1050" s="4">
        <v>130</v>
      </c>
      <c r="R1050" s="12">
        <f t="shared" si="16"/>
        <v>32500</v>
      </c>
      <c r="T1050" t="s">
        <v>27</v>
      </c>
      <c r="U1050" t="s">
        <v>856</v>
      </c>
      <c r="V1050" s="4">
        <v>250</v>
      </c>
      <c r="W1050">
        <v>0</v>
      </c>
    </row>
    <row r="1051" spans="1:23" hidden="1" x14ac:dyDescent="0.25">
      <c r="A1051" s="2">
        <v>45873.669212962966</v>
      </c>
      <c r="B1051">
        <v>3963</v>
      </c>
      <c r="C1051" t="s">
        <v>854</v>
      </c>
      <c r="D1051" s="3">
        <v>45873</v>
      </c>
      <c r="E1051" s="3">
        <v>46264</v>
      </c>
      <c r="F1051" t="s">
        <v>21</v>
      </c>
      <c r="H1051" t="s">
        <v>22</v>
      </c>
      <c r="I1051" t="s">
        <v>30</v>
      </c>
      <c r="J1051" t="s">
        <v>1490</v>
      </c>
      <c r="K1051" t="s">
        <v>31</v>
      </c>
      <c r="L1051" s="4">
        <v>25</v>
      </c>
      <c r="M1051" t="s">
        <v>858</v>
      </c>
      <c r="N1051" t="s">
        <v>46</v>
      </c>
      <c r="O1051" s="4">
        <v>2520</v>
      </c>
      <c r="P1051">
        <v>0</v>
      </c>
      <c r="Q1051" s="4">
        <v>2520</v>
      </c>
      <c r="R1051" s="12">
        <f t="shared" si="16"/>
        <v>63000</v>
      </c>
      <c r="T1051" t="s">
        <v>27</v>
      </c>
      <c r="U1051" t="s">
        <v>856</v>
      </c>
      <c r="V1051" s="4">
        <v>25</v>
      </c>
      <c r="W1051">
        <v>0</v>
      </c>
    </row>
    <row r="1052" spans="1:23" hidden="1" x14ac:dyDescent="0.25">
      <c r="A1052" s="2">
        <v>45873.669212962966</v>
      </c>
      <c r="B1052">
        <v>3963</v>
      </c>
      <c r="C1052" t="s">
        <v>854</v>
      </c>
      <c r="D1052" s="3">
        <v>45873</v>
      </c>
      <c r="E1052" s="3">
        <v>46264</v>
      </c>
      <c r="F1052" t="s">
        <v>21</v>
      </c>
      <c r="H1052" t="s">
        <v>22</v>
      </c>
      <c r="I1052" t="s">
        <v>32</v>
      </c>
      <c r="J1052" t="s">
        <v>1490</v>
      </c>
      <c r="K1052" t="s">
        <v>24</v>
      </c>
      <c r="L1052" s="4">
        <v>25</v>
      </c>
      <c r="M1052" t="s">
        <v>858</v>
      </c>
      <c r="N1052" t="s">
        <v>46</v>
      </c>
      <c r="O1052" s="4">
        <v>1260</v>
      </c>
      <c r="P1052" s="4">
        <v>360</v>
      </c>
      <c r="Q1052" s="4">
        <v>900</v>
      </c>
      <c r="R1052" s="12">
        <f t="shared" si="16"/>
        <v>22500</v>
      </c>
      <c r="T1052" t="s">
        <v>27</v>
      </c>
      <c r="U1052" t="s">
        <v>856</v>
      </c>
      <c r="V1052" s="4">
        <v>25</v>
      </c>
      <c r="W1052">
        <v>0</v>
      </c>
    </row>
    <row r="1053" spans="1:23" hidden="1" x14ac:dyDescent="0.25">
      <c r="A1053" s="2">
        <v>45873.669212962966</v>
      </c>
      <c r="B1053">
        <v>3963</v>
      </c>
      <c r="C1053" t="s">
        <v>854</v>
      </c>
      <c r="D1053" s="3">
        <v>45873</v>
      </c>
      <c r="E1053" s="3">
        <v>46264</v>
      </c>
      <c r="F1053" t="s">
        <v>21</v>
      </c>
      <c r="H1053" t="s">
        <v>22</v>
      </c>
      <c r="I1053" t="s">
        <v>33</v>
      </c>
      <c r="J1053" t="s">
        <v>1490</v>
      </c>
      <c r="K1053" t="s">
        <v>31</v>
      </c>
      <c r="L1053" s="4">
        <v>28</v>
      </c>
      <c r="M1053" t="s">
        <v>858</v>
      </c>
      <c r="N1053" t="s">
        <v>46</v>
      </c>
      <c r="O1053" s="4">
        <v>1890</v>
      </c>
      <c r="P1053">
        <v>0</v>
      </c>
      <c r="Q1053" s="4">
        <v>1890</v>
      </c>
      <c r="R1053" s="12">
        <f t="shared" si="16"/>
        <v>52920</v>
      </c>
      <c r="T1053" t="s">
        <v>27</v>
      </c>
      <c r="U1053" t="s">
        <v>856</v>
      </c>
      <c r="V1053" s="4">
        <v>28</v>
      </c>
      <c r="W1053">
        <v>0</v>
      </c>
    </row>
    <row r="1054" spans="1:23" hidden="1" x14ac:dyDescent="0.25">
      <c r="A1054" s="2">
        <v>45873.669212962966</v>
      </c>
      <c r="B1054">
        <v>3963</v>
      </c>
      <c r="C1054" t="s">
        <v>854</v>
      </c>
      <c r="D1054" s="3">
        <v>45873</v>
      </c>
      <c r="E1054" s="3">
        <v>46264</v>
      </c>
      <c r="F1054" t="s">
        <v>21</v>
      </c>
      <c r="H1054" t="s">
        <v>22</v>
      </c>
      <c r="I1054" t="s">
        <v>23</v>
      </c>
      <c r="J1054" t="s">
        <v>1490</v>
      </c>
      <c r="K1054" t="s">
        <v>24</v>
      </c>
      <c r="L1054" s="4">
        <v>18</v>
      </c>
      <c r="M1054" t="s">
        <v>858</v>
      </c>
      <c r="N1054" t="s">
        <v>46</v>
      </c>
      <c r="O1054" s="4">
        <v>1900</v>
      </c>
      <c r="P1054">
        <v>0</v>
      </c>
      <c r="Q1054" s="4">
        <v>1900</v>
      </c>
      <c r="R1054" s="12">
        <f t="shared" si="16"/>
        <v>34200</v>
      </c>
      <c r="T1054" t="s">
        <v>27</v>
      </c>
      <c r="U1054" t="s">
        <v>856</v>
      </c>
      <c r="V1054" s="4">
        <v>18</v>
      </c>
      <c r="W1054">
        <v>0</v>
      </c>
    </row>
    <row r="1055" spans="1:23" hidden="1" x14ac:dyDescent="0.25">
      <c r="A1055" s="2">
        <v>45873.669212962966</v>
      </c>
      <c r="B1055">
        <v>3963</v>
      </c>
      <c r="C1055" t="s">
        <v>854</v>
      </c>
      <c r="D1055" s="3">
        <v>45873</v>
      </c>
      <c r="E1055" s="3">
        <v>46264</v>
      </c>
      <c r="F1055" t="s">
        <v>21</v>
      </c>
      <c r="G1055" t="s">
        <v>1493</v>
      </c>
      <c r="H1055" t="s">
        <v>22</v>
      </c>
      <c r="I1055" t="s">
        <v>63</v>
      </c>
      <c r="J1055" t="s">
        <v>1491</v>
      </c>
      <c r="K1055" t="s">
        <v>31</v>
      </c>
      <c r="L1055" s="4">
        <v>205</v>
      </c>
      <c r="M1055" t="s">
        <v>858</v>
      </c>
      <c r="N1055" t="s">
        <v>46</v>
      </c>
      <c r="O1055" s="4">
        <v>101</v>
      </c>
      <c r="P1055">
        <v>0</v>
      </c>
      <c r="Q1055" s="4">
        <v>101</v>
      </c>
      <c r="R1055" s="12">
        <f t="shared" si="16"/>
        <v>20705</v>
      </c>
      <c r="T1055" t="s">
        <v>27</v>
      </c>
      <c r="U1055" t="s">
        <v>856</v>
      </c>
      <c r="V1055" s="4">
        <v>205</v>
      </c>
      <c r="W1055">
        <v>0</v>
      </c>
    </row>
    <row r="1056" spans="1:23" hidden="1" x14ac:dyDescent="0.25">
      <c r="A1056" s="2">
        <v>45873.669212962966</v>
      </c>
      <c r="B1056">
        <v>3963</v>
      </c>
      <c r="C1056" t="s">
        <v>854</v>
      </c>
      <c r="D1056" s="3">
        <v>45873</v>
      </c>
      <c r="E1056" s="3">
        <v>46264</v>
      </c>
      <c r="F1056" t="s">
        <v>21</v>
      </c>
      <c r="G1056" t="s">
        <v>1493</v>
      </c>
      <c r="H1056" t="s">
        <v>22</v>
      </c>
      <c r="I1056" t="s">
        <v>40</v>
      </c>
      <c r="J1056" t="s">
        <v>1491</v>
      </c>
      <c r="K1056" t="s">
        <v>24</v>
      </c>
      <c r="L1056" s="4">
        <v>345</v>
      </c>
      <c r="M1056" t="s">
        <v>858</v>
      </c>
      <c r="N1056" t="s">
        <v>46</v>
      </c>
      <c r="O1056" s="4">
        <v>26</v>
      </c>
      <c r="P1056">
        <v>0</v>
      </c>
      <c r="Q1056" s="4">
        <v>26</v>
      </c>
      <c r="R1056" s="12">
        <f t="shared" si="16"/>
        <v>8970</v>
      </c>
      <c r="T1056" t="s">
        <v>27</v>
      </c>
      <c r="U1056" t="s">
        <v>856</v>
      </c>
      <c r="V1056" s="4">
        <v>345</v>
      </c>
      <c r="W1056">
        <v>0</v>
      </c>
    </row>
    <row r="1057" spans="1:23" hidden="1" x14ac:dyDescent="0.25">
      <c r="A1057" s="2">
        <v>45873.669212962966</v>
      </c>
      <c r="B1057">
        <v>3963</v>
      </c>
      <c r="C1057" t="s">
        <v>854</v>
      </c>
      <c r="D1057" s="3">
        <v>45873</v>
      </c>
      <c r="E1057" s="3">
        <v>46264</v>
      </c>
      <c r="F1057" t="s">
        <v>21</v>
      </c>
      <c r="G1057" t="s">
        <v>1493</v>
      </c>
      <c r="H1057" t="s">
        <v>22</v>
      </c>
      <c r="I1057" t="s">
        <v>41</v>
      </c>
      <c r="J1057" t="s">
        <v>1491</v>
      </c>
      <c r="K1057" t="s">
        <v>24</v>
      </c>
      <c r="L1057" s="4">
        <v>345</v>
      </c>
      <c r="M1057" t="s">
        <v>858</v>
      </c>
      <c r="N1057" t="s">
        <v>46</v>
      </c>
      <c r="O1057" s="4">
        <v>26</v>
      </c>
      <c r="P1057">
        <v>0</v>
      </c>
      <c r="Q1057" s="4">
        <v>26</v>
      </c>
      <c r="R1057" s="12">
        <f t="shared" si="16"/>
        <v>8970</v>
      </c>
      <c r="T1057" t="s">
        <v>27</v>
      </c>
      <c r="U1057" t="s">
        <v>856</v>
      </c>
      <c r="V1057" s="4">
        <v>345</v>
      </c>
      <c r="W1057">
        <v>0</v>
      </c>
    </row>
    <row r="1058" spans="1:23" hidden="1" x14ac:dyDescent="0.25">
      <c r="A1058" s="2">
        <v>45873.669212962966</v>
      </c>
      <c r="B1058">
        <v>3963</v>
      </c>
      <c r="C1058" t="s">
        <v>854</v>
      </c>
      <c r="D1058" s="3">
        <v>45873</v>
      </c>
      <c r="E1058" s="3">
        <v>46264</v>
      </c>
      <c r="F1058" t="s">
        <v>21</v>
      </c>
      <c r="G1058" t="s">
        <v>1493</v>
      </c>
      <c r="H1058" t="s">
        <v>22</v>
      </c>
      <c r="I1058" t="s">
        <v>38</v>
      </c>
      <c r="J1058" t="s">
        <v>1491</v>
      </c>
      <c r="K1058" t="s">
        <v>24</v>
      </c>
      <c r="L1058" s="4">
        <v>52</v>
      </c>
      <c r="M1058" t="s">
        <v>858</v>
      </c>
      <c r="N1058" t="s">
        <v>46</v>
      </c>
      <c r="O1058" s="4">
        <v>126</v>
      </c>
      <c r="P1058">
        <v>0</v>
      </c>
      <c r="Q1058" s="4">
        <v>126</v>
      </c>
      <c r="R1058" s="12">
        <f t="shared" si="16"/>
        <v>6552</v>
      </c>
      <c r="T1058" t="s">
        <v>27</v>
      </c>
      <c r="U1058" t="s">
        <v>856</v>
      </c>
      <c r="V1058" s="4">
        <v>52</v>
      </c>
      <c r="W1058">
        <v>0</v>
      </c>
    </row>
    <row r="1059" spans="1:23" hidden="1" x14ac:dyDescent="0.25">
      <c r="A1059" s="2">
        <v>45873.669212962966</v>
      </c>
      <c r="B1059">
        <v>3963</v>
      </c>
      <c r="C1059" t="s">
        <v>854</v>
      </c>
      <c r="D1059" s="3">
        <v>45873</v>
      </c>
      <c r="E1059" s="3">
        <v>46264</v>
      </c>
      <c r="F1059" t="s">
        <v>21</v>
      </c>
      <c r="H1059" t="s">
        <v>22</v>
      </c>
      <c r="I1059" t="s">
        <v>42</v>
      </c>
      <c r="J1059" t="s">
        <v>1490</v>
      </c>
      <c r="K1059" t="s">
        <v>24</v>
      </c>
      <c r="L1059" s="4">
        <v>245</v>
      </c>
      <c r="M1059" t="s">
        <v>858</v>
      </c>
      <c r="N1059" t="s">
        <v>46</v>
      </c>
      <c r="O1059" s="4">
        <v>130</v>
      </c>
      <c r="P1059">
        <v>0</v>
      </c>
      <c r="Q1059" s="4">
        <v>130</v>
      </c>
      <c r="R1059" s="12">
        <f t="shared" si="16"/>
        <v>31850</v>
      </c>
      <c r="T1059" t="s">
        <v>27</v>
      </c>
      <c r="U1059" t="s">
        <v>856</v>
      </c>
      <c r="V1059" s="4">
        <v>245</v>
      </c>
      <c r="W1059">
        <v>0</v>
      </c>
    </row>
    <row r="1060" spans="1:23" hidden="1" x14ac:dyDescent="0.25">
      <c r="A1060" s="2">
        <v>45873.669212962966</v>
      </c>
      <c r="B1060">
        <v>3963</v>
      </c>
      <c r="C1060" t="s">
        <v>854</v>
      </c>
      <c r="D1060" s="3">
        <v>45873</v>
      </c>
      <c r="E1060" s="3">
        <v>46264</v>
      </c>
      <c r="F1060" t="s">
        <v>21</v>
      </c>
      <c r="H1060" t="s">
        <v>22</v>
      </c>
      <c r="I1060" t="s">
        <v>35</v>
      </c>
      <c r="J1060" t="s">
        <v>1490</v>
      </c>
      <c r="K1060" t="s">
        <v>24</v>
      </c>
      <c r="L1060" s="4">
        <v>73</v>
      </c>
      <c r="M1060" t="s">
        <v>858</v>
      </c>
      <c r="N1060" t="s">
        <v>46</v>
      </c>
      <c r="O1060" s="4">
        <v>260</v>
      </c>
      <c r="P1060">
        <v>0</v>
      </c>
      <c r="Q1060" s="4">
        <v>260</v>
      </c>
      <c r="R1060" s="12">
        <f t="shared" si="16"/>
        <v>18980</v>
      </c>
      <c r="T1060" t="s">
        <v>27</v>
      </c>
      <c r="U1060" t="s">
        <v>856</v>
      </c>
      <c r="V1060" s="4">
        <v>73</v>
      </c>
      <c r="W1060">
        <v>0</v>
      </c>
    </row>
    <row r="1061" spans="1:23" hidden="1" x14ac:dyDescent="0.25">
      <c r="A1061" s="2">
        <v>45873.669212962966</v>
      </c>
      <c r="B1061">
        <v>3963</v>
      </c>
      <c r="C1061" t="s">
        <v>854</v>
      </c>
      <c r="D1061" s="3">
        <v>45873</v>
      </c>
      <c r="E1061" s="3">
        <v>46264</v>
      </c>
      <c r="F1061" t="s">
        <v>21</v>
      </c>
      <c r="H1061" t="s">
        <v>22</v>
      </c>
      <c r="I1061" t="s">
        <v>36</v>
      </c>
      <c r="J1061" t="s">
        <v>1490</v>
      </c>
      <c r="K1061" t="s">
        <v>24</v>
      </c>
      <c r="L1061" s="4">
        <v>73</v>
      </c>
      <c r="M1061" t="s">
        <v>858</v>
      </c>
      <c r="N1061" t="s">
        <v>46</v>
      </c>
      <c r="O1061" s="4">
        <v>130</v>
      </c>
      <c r="P1061">
        <v>0</v>
      </c>
      <c r="Q1061" s="4">
        <v>130</v>
      </c>
      <c r="R1061" s="12">
        <f t="shared" si="16"/>
        <v>9490</v>
      </c>
      <c r="T1061" t="s">
        <v>27</v>
      </c>
      <c r="U1061" t="s">
        <v>856</v>
      </c>
      <c r="V1061" s="4">
        <v>73</v>
      </c>
      <c r="W1061">
        <v>0</v>
      </c>
    </row>
    <row r="1062" spans="1:23" hidden="1" x14ac:dyDescent="0.25">
      <c r="A1062" s="2">
        <v>45873.669212962966</v>
      </c>
      <c r="B1062">
        <v>3963</v>
      </c>
      <c r="C1062" t="s">
        <v>854</v>
      </c>
      <c r="D1062" s="3">
        <v>45873</v>
      </c>
      <c r="E1062" s="3">
        <v>46264</v>
      </c>
      <c r="F1062" t="s">
        <v>21</v>
      </c>
      <c r="H1062" t="s">
        <v>22</v>
      </c>
      <c r="I1062" t="s">
        <v>29</v>
      </c>
      <c r="J1062" t="s">
        <v>1490</v>
      </c>
      <c r="K1062" t="s">
        <v>24</v>
      </c>
      <c r="L1062" s="4">
        <v>170</v>
      </c>
      <c r="M1062" t="s">
        <v>858</v>
      </c>
      <c r="N1062" t="s">
        <v>46</v>
      </c>
      <c r="O1062" s="4">
        <v>140</v>
      </c>
      <c r="P1062">
        <v>0</v>
      </c>
      <c r="Q1062" s="4">
        <v>140</v>
      </c>
      <c r="R1062" s="12">
        <f t="shared" si="16"/>
        <v>23800</v>
      </c>
      <c r="T1062" t="s">
        <v>27</v>
      </c>
      <c r="U1062" t="s">
        <v>856</v>
      </c>
      <c r="V1062" s="4">
        <v>170</v>
      </c>
      <c r="W1062">
        <v>0</v>
      </c>
    </row>
    <row r="1063" spans="1:23" hidden="1" x14ac:dyDescent="0.25">
      <c r="A1063" s="2">
        <v>45925.430659722224</v>
      </c>
      <c r="B1063">
        <v>4090</v>
      </c>
      <c r="C1063" t="s">
        <v>854</v>
      </c>
      <c r="D1063" s="3">
        <v>45925</v>
      </c>
      <c r="E1063" s="3">
        <v>46111</v>
      </c>
      <c r="F1063" t="s">
        <v>21</v>
      </c>
      <c r="H1063" t="s">
        <v>22</v>
      </c>
      <c r="I1063" t="s">
        <v>335</v>
      </c>
      <c r="K1063" t="s">
        <v>24</v>
      </c>
      <c r="L1063" s="4">
        <v>11</v>
      </c>
      <c r="M1063" t="s">
        <v>859</v>
      </c>
      <c r="N1063" t="s">
        <v>26</v>
      </c>
      <c r="O1063" s="4">
        <v>500</v>
      </c>
      <c r="P1063">
        <v>0</v>
      </c>
      <c r="Q1063" s="4">
        <v>500</v>
      </c>
      <c r="R1063" s="12">
        <f t="shared" si="16"/>
        <v>5500</v>
      </c>
      <c r="T1063" t="s">
        <v>27</v>
      </c>
      <c r="U1063" t="s">
        <v>856</v>
      </c>
      <c r="V1063" s="4">
        <v>11</v>
      </c>
      <c r="W1063">
        <v>0</v>
      </c>
    </row>
    <row r="1064" spans="1:23" hidden="1" x14ac:dyDescent="0.25">
      <c r="A1064" s="2">
        <v>45944.68917824074</v>
      </c>
      <c r="B1064">
        <v>4160</v>
      </c>
      <c r="C1064" t="s">
        <v>854</v>
      </c>
      <c r="D1064" s="3">
        <v>45944</v>
      </c>
      <c r="E1064" s="3">
        <v>46111</v>
      </c>
      <c r="F1064" t="s">
        <v>21</v>
      </c>
      <c r="G1064" t="s">
        <v>1493</v>
      </c>
      <c r="H1064" t="s">
        <v>22</v>
      </c>
      <c r="I1064" t="s">
        <v>43</v>
      </c>
      <c r="J1064" t="s">
        <v>1491</v>
      </c>
      <c r="K1064" t="s">
        <v>24</v>
      </c>
      <c r="L1064" s="4">
        <v>48</v>
      </c>
      <c r="M1064" t="s">
        <v>860</v>
      </c>
      <c r="N1064" t="s">
        <v>26</v>
      </c>
      <c r="O1064" s="4">
        <v>72</v>
      </c>
      <c r="P1064">
        <v>0</v>
      </c>
      <c r="Q1064" s="4">
        <v>72</v>
      </c>
      <c r="R1064" s="12">
        <f t="shared" si="16"/>
        <v>3456</v>
      </c>
      <c r="T1064" t="s">
        <v>27</v>
      </c>
      <c r="U1064" t="s">
        <v>856</v>
      </c>
      <c r="V1064" s="4">
        <v>48</v>
      </c>
      <c r="W1064">
        <v>0</v>
      </c>
    </row>
    <row r="1065" spans="1:23" hidden="1" x14ac:dyDescent="0.25">
      <c r="A1065" s="2">
        <v>45945.542928240742</v>
      </c>
      <c r="B1065">
        <v>4164</v>
      </c>
      <c r="C1065" t="s">
        <v>854</v>
      </c>
      <c r="D1065" s="3">
        <v>45945</v>
      </c>
      <c r="E1065" s="3">
        <v>46111</v>
      </c>
      <c r="F1065" t="s">
        <v>21</v>
      </c>
      <c r="H1065" t="s">
        <v>22</v>
      </c>
      <c r="I1065" t="s">
        <v>335</v>
      </c>
      <c r="K1065" t="s">
        <v>24</v>
      </c>
      <c r="L1065" s="4">
        <v>11</v>
      </c>
      <c r="M1065" t="s">
        <v>861</v>
      </c>
      <c r="N1065" t="s">
        <v>26</v>
      </c>
      <c r="O1065" s="4">
        <v>250</v>
      </c>
      <c r="P1065">
        <v>0</v>
      </c>
      <c r="Q1065" s="4">
        <v>250</v>
      </c>
      <c r="R1065" s="12">
        <f t="shared" si="16"/>
        <v>2750</v>
      </c>
      <c r="T1065" t="s">
        <v>27</v>
      </c>
      <c r="U1065" t="s">
        <v>856</v>
      </c>
      <c r="V1065" s="4">
        <v>11</v>
      </c>
      <c r="W1065">
        <v>0</v>
      </c>
    </row>
    <row r="1066" spans="1:23" hidden="1" x14ac:dyDescent="0.25">
      <c r="A1066" s="2">
        <v>45975.350162037037</v>
      </c>
      <c r="B1066">
        <v>4267</v>
      </c>
      <c r="C1066" t="s">
        <v>854</v>
      </c>
      <c r="D1066" s="3">
        <v>45975</v>
      </c>
      <c r="E1066" s="3">
        <v>46111</v>
      </c>
      <c r="F1066" t="s">
        <v>21</v>
      </c>
      <c r="H1066" t="s">
        <v>22</v>
      </c>
      <c r="I1066" t="s">
        <v>32</v>
      </c>
      <c r="J1066" t="s">
        <v>1490</v>
      </c>
      <c r="K1066" t="s">
        <v>24</v>
      </c>
      <c r="L1066" s="4">
        <v>25</v>
      </c>
      <c r="M1066" t="s">
        <v>862</v>
      </c>
      <c r="N1066" t="s">
        <v>26</v>
      </c>
      <c r="O1066" s="4">
        <v>320</v>
      </c>
      <c r="P1066">
        <v>0</v>
      </c>
      <c r="Q1066" s="4">
        <v>320</v>
      </c>
      <c r="R1066" s="12">
        <f t="shared" si="16"/>
        <v>8000</v>
      </c>
      <c r="T1066" t="s">
        <v>27</v>
      </c>
      <c r="U1066" t="s">
        <v>856</v>
      </c>
      <c r="V1066" s="4">
        <v>25</v>
      </c>
      <c r="W1066">
        <v>0</v>
      </c>
    </row>
    <row r="1067" spans="1:23" hidden="1" x14ac:dyDescent="0.25">
      <c r="A1067" s="2">
        <v>45975.350162037037</v>
      </c>
      <c r="B1067">
        <v>4267</v>
      </c>
      <c r="C1067" t="s">
        <v>854</v>
      </c>
      <c r="D1067" s="3">
        <v>45975</v>
      </c>
      <c r="E1067" s="3">
        <v>46111</v>
      </c>
      <c r="F1067" t="s">
        <v>21</v>
      </c>
      <c r="H1067" t="s">
        <v>22</v>
      </c>
      <c r="I1067" t="s">
        <v>278</v>
      </c>
      <c r="K1067" t="s">
        <v>24</v>
      </c>
      <c r="L1067" s="4">
        <v>24</v>
      </c>
      <c r="M1067" t="s">
        <v>862</v>
      </c>
      <c r="N1067" t="s">
        <v>26</v>
      </c>
      <c r="O1067" s="4">
        <v>60</v>
      </c>
      <c r="P1067">
        <v>0</v>
      </c>
      <c r="Q1067" s="4">
        <v>60</v>
      </c>
      <c r="R1067" s="12">
        <f t="shared" si="16"/>
        <v>1440</v>
      </c>
      <c r="T1067" t="s">
        <v>27</v>
      </c>
      <c r="U1067" t="s">
        <v>856</v>
      </c>
      <c r="V1067" s="4">
        <v>24</v>
      </c>
      <c r="W1067">
        <v>0</v>
      </c>
    </row>
    <row r="1068" spans="1:23" hidden="1" x14ac:dyDescent="0.25">
      <c r="A1068" s="2">
        <v>45975.350162037037</v>
      </c>
      <c r="B1068">
        <v>4267</v>
      </c>
      <c r="C1068" t="s">
        <v>854</v>
      </c>
      <c r="D1068" s="3">
        <v>45975</v>
      </c>
      <c r="E1068" s="3">
        <v>46111</v>
      </c>
      <c r="F1068" t="s">
        <v>21</v>
      </c>
      <c r="H1068" t="s">
        <v>22</v>
      </c>
      <c r="I1068" t="s">
        <v>863</v>
      </c>
      <c r="K1068" t="s">
        <v>31</v>
      </c>
      <c r="L1068" s="4">
        <v>70</v>
      </c>
      <c r="M1068" t="s">
        <v>862</v>
      </c>
      <c r="N1068" t="s">
        <v>26</v>
      </c>
      <c r="O1068" s="4">
        <v>20</v>
      </c>
      <c r="P1068">
        <v>0</v>
      </c>
      <c r="Q1068" s="4">
        <v>20</v>
      </c>
      <c r="R1068" s="12">
        <f t="shared" si="16"/>
        <v>1400</v>
      </c>
      <c r="T1068" t="s">
        <v>27</v>
      </c>
      <c r="U1068" t="s">
        <v>856</v>
      </c>
      <c r="V1068" s="4">
        <v>70</v>
      </c>
      <c r="W1068">
        <v>0</v>
      </c>
    </row>
    <row r="1069" spans="1:23" hidden="1" x14ac:dyDescent="0.25">
      <c r="A1069" s="2">
        <v>45975.350162037037</v>
      </c>
      <c r="B1069">
        <v>4267</v>
      </c>
      <c r="C1069" t="s">
        <v>854</v>
      </c>
      <c r="D1069" s="3">
        <v>45975</v>
      </c>
      <c r="E1069" s="3">
        <v>46111</v>
      </c>
      <c r="F1069" t="s">
        <v>21</v>
      </c>
      <c r="H1069" t="s">
        <v>22</v>
      </c>
      <c r="I1069" t="s">
        <v>23</v>
      </c>
      <c r="J1069" t="s">
        <v>1490</v>
      </c>
      <c r="K1069" t="s">
        <v>24</v>
      </c>
      <c r="L1069" s="4">
        <v>18</v>
      </c>
      <c r="M1069" t="s">
        <v>862</v>
      </c>
      <c r="N1069" t="s">
        <v>26</v>
      </c>
      <c r="O1069" s="4">
        <v>320</v>
      </c>
      <c r="P1069">
        <v>0</v>
      </c>
      <c r="Q1069" s="4">
        <v>320</v>
      </c>
      <c r="R1069" s="12">
        <f t="shared" si="16"/>
        <v>5760</v>
      </c>
      <c r="T1069" t="s">
        <v>27</v>
      </c>
      <c r="U1069" t="s">
        <v>856</v>
      </c>
      <c r="V1069" s="4">
        <v>18</v>
      </c>
      <c r="W1069">
        <v>0</v>
      </c>
    </row>
    <row r="1070" spans="1:23" hidden="1" x14ac:dyDescent="0.25">
      <c r="A1070" s="2">
        <v>45988.343113425923</v>
      </c>
      <c r="B1070">
        <v>4305</v>
      </c>
      <c r="C1070" t="s">
        <v>854</v>
      </c>
      <c r="D1070" s="3">
        <v>45988</v>
      </c>
      <c r="E1070" s="3">
        <v>46111</v>
      </c>
      <c r="F1070" t="s">
        <v>21</v>
      </c>
      <c r="H1070" t="s">
        <v>22</v>
      </c>
      <c r="I1070" t="s">
        <v>738</v>
      </c>
      <c r="K1070" t="s">
        <v>24</v>
      </c>
      <c r="L1070" s="4">
        <v>72.5</v>
      </c>
      <c r="N1070" t="s">
        <v>26</v>
      </c>
      <c r="O1070" s="4">
        <v>20</v>
      </c>
      <c r="P1070">
        <v>0</v>
      </c>
      <c r="Q1070" s="4">
        <v>20</v>
      </c>
      <c r="R1070" s="12">
        <f t="shared" si="16"/>
        <v>1450</v>
      </c>
      <c r="T1070" t="s">
        <v>27</v>
      </c>
      <c r="U1070" t="s">
        <v>856</v>
      </c>
      <c r="V1070" s="4">
        <v>72.5</v>
      </c>
      <c r="W1070">
        <v>0</v>
      </c>
    </row>
    <row r="1071" spans="1:23" hidden="1" x14ac:dyDescent="0.25">
      <c r="A1071" s="2">
        <v>45988.343113425923</v>
      </c>
      <c r="B1071">
        <v>4305</v>
      </c>
      <c r="C1071" t="s">
        <v>854</v>
      </c>
      <c r="D1071" s="3">
        <v>45988</v>
      </c>
      <c r="E1071" s="3">
        <v>46111</v>
      </c>
      <c r="F1071" t="s">
        <v>21</v>
      </c>
      <c r="H1071" t="s">
        <v>22</v>
      </c>
      <c r="I1071" t="s">
        <v>277</v>
      </c>
      <c r="K1071" t="s">
        <v>31</v>
      </c>
      <c r="L1071" s="4">
        <v>280</v>
      </c>
      <c r="N1071" t="s">
        <v>26</v>
      </c>
      <c r="O1071" s="4">
        <v>3</v>
      </c>
      <c r="P1071">
        <v>0</v>
      </c>
      <c r="Q1071" s="4">
        <v>3</v>
      </c>
      <c r="R1071" s="12">
        <f t="shared" si="16"/>
        <v>840</v>
      </c>
      <c r="T1071" t="s">
        <v>27</v>
      </c>
      <c r="U1071" t="s">
        <v>856</v>
      </c>
      <c r="V1071" s="4">
        <v>280</v>
      </c>
      <c r="W1071">
        <v>0</v>
      </c>
    </row>
    <row r="1072" spans="1:23" hidden="1" x14ac:dyDescent="0.25">
      <c r="A1072" s="2">
        <v>45988.343113425923</v>
      </c>
      <c r="B1072">
        <v>4305</v>
      </c>
      <c r="C1072" t="s">
        <v>854</v>
      </c>
      <c r="D1072" s="3">
        <v>45988</v>
      </c>
      <c r="E1072" s="3">
        <v>46111</v>
      </c>
      <c r="F1072" t="s">
        <v>21</v>
      </c>
      <c r="H1072" t="s">
        <v>22</v>
      </c>
      <c r="I1072" t="s">
        <v>272</v>
      </c>
      <c r="K1072" t="s">
        <v>31</v>
      </c>
      <c r="L1072" s="4">
        <v>28</v>
      </c>
      <c r="N1072" t="s">
        <v>26</v>
      </c>
      <c r="O1072" s="4">
        <v>40</v>
      </c>
      <c r="P1072">
        <v>0</v>
      </c>
      <c r="Q1072" s="4">
        <v>40</v>
      </c>
      <c r="R1072" s="12">
        <f t="shared" si="16"/>
        <v>1120</v>
      </c>
      <c r="T1072" t="s">
        <v>27</v>
      </c>
      <c r="U1072" t="s">
        <v>856</v>
      </c>
      <c r="V1072" s="4">
        <v>28</v>
      </c>
      <c r="W1072">
        <v>0</v>
      </c>
    </row>
    <row r="1073" spans="1:23" hidden="1" x14ac:dyDescent="0.25">
      <c r="A1073" s="2">
        <v>45988.343113425923</v>
      </c>
      <c r="B1073">
        <v>4305</v>
      </c>
      <c r="C1073" t="s">
        <v>854</v>
      </c>
      <c r="D1073" s="3">
        <v>45988</v>
      </c>
      <c r="E1073" s="3">
        <v>46111</v>
      </c>
      <c r="F1073" t="s">
        <v>21</v>
      </c>
      <c r="H1073" t="s">
        <v>22</v>
      </c>
      <c r="I1073" t="s">
        <v>276</v>
      </c>
      <c r="K1073" t="s">
        <v>31</v>
      </c>
      <c r="L1073" s="4">
        <v>28</v>
      </c>
      <c r="N1073" t="s">
        <v>26</v>
      </c>
      <c r="O1073" s="4">
        <v>50</v>
      </c>
      <c r="P1073">
        <v>0</v>
      </c>
      <c r="Q1073" s="4">
        <v>50</v>
      </c>
      <c r="R1073" s="12">
        <f t="shared" si="16"/>
        <v>1400</v>
      </c>
      <c r="T1073" t="s">
        <v>27</v>
      </c>
      <c r="U1073" t="s">
        <v>856</v>
      </c>
      <c r="V1073" s="4">
        <v>28</v>
      </c>
      <c r="W1073">
        <v>0</v>
      </c>
    </row>
    <row r="1074" spans="1:23" hidden="1" x14ac:dyDescent="0.25">
      <c r="A1074" s="2">
        <v>45988.382673611108</v>
      </c>
      <c r="B1074">
        <v>4307</v>
      </c>
      <c r="C1074" t="s">
        <v>854</v>
      </c>
      <c r="D1074" s="3">
        <v>45988</v>
      </c>
      <c r="E1074" s="3">
        <v>46111</v>
      </c>
      <c r="F1074" t="s">
        <v>21</v>
      </c>
      <c r="H1074" t="s">
        <v>22</v>
      </c>
      <c r="I1074" t="s">
        <v>32</v>
      </c>
      <c r="J1074" t="s">
        <v>1490</v>
      </c>
      <c r="K1074" t="s">
        <v>24</v>
      </c>
      <c r="L1074" s="4">
        <v>23.5</v>
      </c>
      <c r="N1074" t="s">
        <v>26</v>
      </c>
      <c r="O1074" s="4">
        <v>120</v>
      </c>
      <c r="P1074">
        <v>0</v>
      </c>
      <c r="Q1074" s="4">
        <v>120</v>
      </c>
      <c r="R1074" s="12">
        <f t="shared" si="16"/>
        <v>2820</v>
      </c>
      <c r="T1074" t="s">
        <v>27</v>
      </c>
      <c r="U1074" t="s">
        <v>856</v>
      </c>
      <c r="V1074" s="4">
        <v>23.5</v>
      </c>
      <c r="W1074">
        <v>0</v>
      </c>
    </row>
    <row r="1075" spans="1:23" hidden="1" x14ac:dyDescent="0.25">
      <c r="A1075" s="2">
        <v>46036.413506944446</v>
      </c>
      <c r="B1075">
        <v>4444</v>
      </c>
      <c r="C1075" t="s">
        <v>854</v>
      </c>
      <c r="D1075" s="3">
        <v>46036</v>
      </c>
      <c r="E1075" s="3">
        <v>46111</v>
      </c>
      <c r="F1075" t="s">
        <v>21</v>
      </c>
      <c r="G1075" t="s">
        <v>1493</v>
      </c>
      <c r="H1075" t="s">
        <v>22</v>
      </c>
      <c r="I1075" t="s">
        <v>92</v>
      </c>
      <c r="J1075" t="s">
        <v>1491</v>
      </c>
      <c r="K1075" t="s">
        <v>31</v>
      </c>
      <c r="L1075" s="4">
        <v>350</v>
      </c>
      <c r="M1075" t="s">
        <v>864</v>
      </c>
      <c r="N1075" t="s">
        <v>26</v>
      </c>
      <c r="O1075" s="4">
        <v>15</v>
      </c>
      <c r="P1075">
        <v>0</v>
      </c>
      <c r="Q1075" s="4">
        <v>15</v>
      </c>
      <c r="R1075" s="12">
        <f t="shared" si="16"/>
        <v>5250</v>
      </c>
      <c r="T1075" t="s">
        <v>27</v>
      </c>
      <c r="U1075" t="s">
        <v>856</v>
      </c>
      <c r="V1075" s="4">
        <v>350</v>
      </c>
      <c r="W1075">
        <v>0</v>
      </c>
    </row>
    <row r="1076" spans="1:23" hidden="1" x14ac:dyDescent="0.25">
      <c r="A1076" s="2">
        <v>46072.555127314816</v>
      </c>
      <c r="B1076">
        <v>4586</v>
      </c>
      <c r="C1076" t="s">
        <v>854</v>
      </c>
      <c r="D1076" s="3">
        <v>46072</v>
      </c>
      <c r="E1076" s="3">
        <v>46264</v>
      </c>
      <c r="F1076" t="s">
        <v>21</v>
      </c>
      <c r="H1076" t="s">
        <v>22</v>
      </c>
      <c r="I1076" t="s">
        <v>258</v>
      </c>
      <c r="J1076" t="s">
        <v>1490</v>
      </c>
      <c r="K1076" t="s">
        <v>24</v>
      </c>
      <c r="L1076" s="4">
        <v>11</v>
      </c>
      <c r="M1076" t="s">
        <v>865</v>
      </c>
      <c r="N1076" t="s">
        <v>46</v>
      </c>
      <c r="O1076" s="4">
        <v>6000</v>
      </c>
      <c r="P1076">
        <v>0</v>
      </c>
      <c r="Q1076" s="4">
        <v>6000</v>
      </c>
      <c r="R1076" s="12">
        <f t="shared" si="16"/>
        <v>66000</v>
      </c>
      <c r="T1076" t="s">
        <v>27</v>
      </c>
      <c r="U1076" t="s">
        <v>856</v>
      </c>
      <c r="V1076" s="4">
        <v>11</v>
      </c>
      <c r="W1076">
        <v>0</v>
      </c>
    </row>
    <row r="1077" spans="1:23" hidden="1" x14ac:dyDescent="0.25">
      <c r="A1077" s="2">
        <v>46072.555127314816</v>
      </c>
      <c r="B1077">
        <v>4586</v>
      </c>
      <c r="C1077" t="s">
        <v>854</v>
      </c>
      <c r="D1077" s="3">
        <v>46072</v>
      </c>
      <c r="E1077" s="3">
        <v>46264</v>
      </c>
      <c r="F1077" t="s">
        <v>21</v>
      </c>
      <c r="H1077" t="s">
        <v>22</v>
      </c>
      <c r="I1077" t="s">
        <v>866</v>
      </c>
      <c r="K1077" t="s">
        <v>24</v>
      </c>
      <c r="L1077" s="4">
        <v>11</v>
      </c>
      <c r="M1077" t="s">
        <v>865</v>
      </c>
      <c r="N1077" t="s">
        <v>46</v>
      </c>
      <c r="O1077" s="4">
        <v>1000</v>
      </c>
      <c r="P1077">
        <v>0</v>
      </c>
      <c r="Q1077" s="4">
        <v>1000</v>
      </c>
      <c r="R1077" s="12">
        <f t="shared" si="16"/>
        <v>11000</v>
      </c>
      <c r="T1077" t="s">
        <v>27</v>
      </c>
      <c r="U1077" t="s">
        <v>856</v>
      </c>
      <c r="V1077" s="4">
        <v>11</v>
      </c>
      <c r="W1077">
        <v>0</v>
      </c>
    </row>
    <row r="1078" spans="1:23" hidden="1" x14ac:dyDescent="0.25">
      <c r="A1078" s="2">
        <v>46085.561724537038</v>
      </c>
      <c r="B1078">
        <v>4626</v>
      </c>
      <c r="C1078" t="s">
        <v>854</v>
      </c>
      <c r="D1078" s="3">
        <v>46085</v>
      </c>
      <c r="E1078" s="3">
        <v>46264</v>
      </c>
      <c r="F1078" t="s">
        <v>21</v>
      </c>
      <c r="H1078" t="s">
        <v>22</v>
      </c>
      <c r="I1078" t="s">
        <v>33</v>
      </c>
      <c r="J1078" t="s">
        <v>1490</v>
      </c>
      <c r="K1078" t="s">
        <v>31</v>
      </c>
      <c r="L1078" s="4">
        <v>26</v>
      </c>
      <c r="M1078" t="s">
        <v>867</v>
      </c>
      <c r="N1078" t="s">
        <v>46</v>
      </c>
      <c r="O1078" s="4">
        <v>1000</v>
      </c>
      <c r="P1078" s="4">
        <v>280</v>
      </c>
      <c r="Q1078" s="4">
        <v>720</v>
      </c>
      <c r="R1078" s="12">
        <f t="shared" si="16"/>
        <v>18720</v>
      </c>
      <c r="T1078" t="s">
        <v>27</v>
      </c>
      <c r="U1078" t="s">
        <v>856</v>
      </c>
      <c r="V1078" s="4">
        <v>26</v>
      </c>
      <c r="W1078">
        <v>0</v>
      </c>
    </row>
    <row r="1079" spans="1:23" hidden="1" x14ac:dyDescent="0.25">
      <c r="A1079" s="2">
        <v>45994.439293981479</v>
      </c>
      <c r="B1079">
        <v>4317</v>
      </c>
      <c r="C1079" t="s">
        <v>868</v>
      </c>
      <c r="D1079" s="3">
        <v>45994</v>
      </c>
      <c r="E1079" s="3">
        <v>46142</v>
      </c>
      <c r="F1079" t="s">
        <v>85</v>
      </c>
      <c r="H1079" t="s">
        <v>22</v>
      </c>
      <c r="I1079" t="s">
        <v>32</v>
      </c>
      <c r="J1079" t="s">
        <v>1490</v>
      </c>
      <c r="K1079" t="s">
        <v>24</v>
      </c>
      <c r="L1079" s="4">
        <v>25</v>
      </c>
      <c r="M1079" t="s">
        <v>869</v>
      </c>
      <c r="N1079" t="s">
        <v>26</v>
      </c>
      <c r="O1079" s="4">
        <v>100</v>
      </c>
      <c r="P1079">
        <v>0</v>
      </c>
      <c r="Q1079" s="4">
        <v>100</v>
      </c>
      <c r="R1079" s="12">
        <f t="shared" si="16"/>
        <v>2500</v>
      </c>
      <c r="T1079" t="s">
        <v>230</v>
      </c>
      <c r="U1079" t="s">
        <v>870</v>
      </c>
      <c r="V1079" s="4">
        <v>25</v>
      </c>
      <c r="W1079">
        <v>0</v>
      </c>
    </row>
    <row r="1080" spans="1:23" hidden="1" x14ac:dyDescent="0.25">
      <c r="A1080" s="2">
        <v>46007.677824074075</v>
      </c>
      <c r="B1080">
        <v>4365</v>
      </c>
      <c r="C1080" t="s">
        <v>868</v>
      </c>
      <c r="D1080" s="3">
        <v>46007</v>
      </c>
      <c r="E1080" s="3">
        <v>46142</v>
      </c>
      <c r="F1080" t="s">
        <v>85</v>
      </c>
      <c r="H1080" t="s">
        <v>22</v>
      </c>
      <c r="I1080" t="s">
        <v>181</v>
      </c>
      <c r="J1080" t="s">
        <v>1490</v>
      </c>
      <c r="K1080" t="s">
        <v>24</v>
      </c>
      <c r="L1080" s="4">
        <v>95</v>
      </c>
      <c r="M1080" t="s">
        <v>871</v>
      </c>
      <c r="N1080" t="s">
        <v>26</v>
      </c>
      <c r="O1080" s="4">
        <v>40</v>
      </c>
      <c r="P1080">
        <v>0</v>
      </c>
      <c r="Q1080" s="4">
        <v>40</v>
      </c>
      <c r="R1080" s="12">
        <f t="shared" si="16"/>
        <v>3800</v>
      </c>
      <c r="T1080" t="s">
        <v>230</v>
      </c>
      <c r="U1080" t="s">
        <v>870</v>
      </c>
      <c r="V1080" s="4">
        <v>95</v>
      </c>
      <c r="W1080">
        <v>0</v>
      </c>
    </row>
    <row r="1081" spans="1:23" hidden="1" x14ac:dyDescent="0.25">
      <c r="A1081" s="2">
        <v>46007.677824074075</v>
      </c>
      <c r="B1081">
        <v>4365</v>
      </c>
      <c r="C1081" t="s">
        <v>868</v>
      </c>
      <c r="D1081" s="3">
        <v>46007</v>
      </c>
      <c r="E1081" s="3">
        <v>46142</v>
      </c>
      <c r="F1081" t="s">
        <v>85</v>
      </c>
      <c r="H1081" t="s">
        <v>22</v>
      </c>
      <c r="I1081" t="s">
        <v>34</v>
      </c>
      <c r="J1081" t="s">
        <v>1490</v>
      </c>
      <c r="K1081" t="s">
        <v>31</v>
      </c>
      <c r="L1081" s="4">
        <v>25</v>
      </c>
      <c r="M1081" t="s">
        <v>871</v>
      </c>
      <c r="N1081" t="s">
        <v>26</v>
      </c>
      <c r="O1081" s="4">
        <v>280</v>
      </c>
      <c r="P1081">
        <v>0</v>
      </c>
      <c r="Q1081" s="4">
        <v>280</v>
      </c>
      <c r="R1081" s="12">
        <f t="shared" si="16"/>
        <v>7000</v>
      </c>
      <c r="T1081" t="s">
        <v>230</v>
      </c>
      <c r="U1081" t="s">
        <v>870</v>
      </c>
      <c r="V1081" s="4">
        <v>25</v>
      </c>
      <c r="W1081">
        <v>0</v>
      </c>
    </row>
    <row r="1082" spans="1:23" hidden="1" x14ac:dyDescent="0.25">
      <c r="A1082" s="2">
        <v>46034.623437499999</v>
      </c>
      <c r="B1082">
        <v>4430</v>
      </c>
      <c r="C1082" t="s">
        <v>868</v>
      </c>
      <c r="D1082" s="3">
        <v>46034</v>
      </c>
      <c r="E1082" s="3">
        <v>46142</v>
      </c>
      <c r="F1082" t="s">
        <v>85</v>
      </c>
      <c r="H1082" t="s">
        <v>22</v>
      </c>
      <c r="I1082" t="s">
        <v>181</v>
      </c>
      <c r="J1082" t="s">
        <v>1490</v>
      </c>
      <c r="K1082" t="s">
        <v>24</v>
      </c>
      <c r="L1082" s="4">
        <v>95</v>
      </c>
      <c r="M1082" t="s">
        <v>872</v>
      </c>
      <c r="N1082" t="s">
        <v>26</v>
      </c>
      <c r="O1082" s="4">
        <v>80</v>
      </c>
      <c r="P1082">
        <v>0</v>
      </c>
      <c r="Q1082" s="4">
        <v>80</v>
      </c>
      <c r="R1082" s="12">
        <f t="shared" si="16"/>
        <v>7600</v>
      </c>
      <c r="T1082" t="s">
        <v>230</v>
      </c>
      <c r="U1082" t="s">
        <v>870</v>
      </c>
      <c r="V1082" s="4">
        <v>95</v>
      </c>
      <c r="W1082">
        <v>0</v>
      </c>
    </row>
    <row r="1083" spans="1:23" hidden="1" x14ac:dyDescent="0.25">
      <c r="A1083" s="2">
        <v>46034.623437499999</v>
      </c>
      <c r="B1083">
        <v>4430</v>
      </c>
      <c r="C1083" t="s">
        <v>868</v>
      </c>
      <c r="D1083" s="3">
        <v>46034</v>
      </c>
      <c r="E1083" s="3">
        <v>46142</v>
      </c>
      <c r="F1083" t="s">
        <v>85</v>
      </c>
      <c r="H1083" t="s">
        <v>22</v>
      </c>
      <c r="I1083" t="s">
        <v>34</v>
      </c>
      <c r="J1083" t="s">
        <v>1490</v>
      </c>
      <c r="K1083" t="s">
        <v>31</v>
      </c>
      <c r="L1083" s="4">
        <v>25</v>
      </c>
      <c r="M1083" t="s">
        <v>872</v>
      </c>
      <c r="N1083" t="s">
        <v>26</v>
      </c>
      <c r="O1083" s="4">
        <v>520</v>
      </c>
      <c r="P1083">
        <v>0</v>
      </c>
      <c r="Q1083" s="4">
        <v>520</v>
      </c>
      <c r="R1083" s="12">
        <f t="shared" si="16"/>
        <v>13000</v>
      </c>
      <c r="T1083" t="s">
        <v>230</v>
      </c>
      <c r="U1083" t="s">
        <v>870</v>
      </c>
      <c r="V1083" s="4">
        <v>25</v>
      </c>
      <c r="W1083">
        <v>0</v>
      </c>
    </row>
    <row r="1084" spans="1:23" hidden="1" x14ac:dyDescent="0.25">
      <c r="A1084" s="2">
        <v>46034.624525462961</v>
      </c>
      <c r="B1084">
        <v>4431</v>
      </c>
      <c r="C1084" t="s">
        <v>868</v>
      </c>
      <c r="D1084" s="3">
        <v>46034</v>
      </c>
      <c r="E1084" s="3">
        <v>46142</v>
      </c>
      <c r="F1084" t="s">
        <v>85</v>
      </c>
      <c r="H1084" t="s">
        <v>22</v>
      </c>
      <c r="I1084" t="s">
        <v>36</v>
      </c>
      <c r="J1084" t="s">
        <v>1490</v>
      </c>
      <c r="K1084" t="s">
        <v>24</v>
      </c>
      <c r="L1084" s="4">
        <v>65</v>
      </c>
      <c r="M1084" t="s">
        <v>873</v>
      </c>
      <c r="N1084" t="s">
        <v>26</v>
      </c>
      <c r="O1084" s="4">
        <v>70</v>
      </c>
      <c r="P1084">
        <v>0</v>
      </c>
      <c r="Q1084" s="4">
        <v>70</v>
      </c>
      <c r="R1084" s="12">
        <f t="shared" si="16"/>
        <v>4550</v>
      </c>
      <c r="T1084" t="s">
        <v>230</v>
      </c>
      <c r="U1084" t="s">
        <v>870</v>
      </c>
      <c r="V1084" s="4">
        <v>65</v>
      </c>
      <c r="W1084">
        <v>0</v>
      </c>
    </row>
    <row r="1085" spans="1:23" hidden="1" x14ac:dyDescent="0.25">
      <c r="A1085" s="2">
        <v>46034.624525462961</v>
      </c>
      <c r="B1085">
        <v>4431</v>
      </c>
      <c r="C1085" t="s">
        <v>868</v>
      </c>
      <c r="D1085" s="3">
        <v>46034</v>
      </c>
      <c r="E1085" s="3">
        <v>46142</v>
      </c>
      <c r="F1085" t="s">
        <v>85</v>
      </c>
      <c r="H1085" t="s">
        <v>22</v>
      </c>
      <c r="I1085" t="s">
        <v>35</v>
      </c>
      <c r="J1085" t="s">
        <v>1490</v>
      </c>
      <c r="K1085" t="s">
        <v>24</v>
      </c>
      <c r="L1085" s="4">
        <v>65</v>
      </c>
      <c r="M1085" t="s">
        <v>873</v>
      </c>
      <c r="N1085" t="s">
        <v>26</v>
      </c>
      <c r="O1085" s="4">
        <v>100</v>
      </c>
      <c r="P1085">
        <v>0</v>
      </c>
      <c r="Q1085" s="4">
        <v>100</v>
      </c>
      <c r="R1085" s="12">
        <f t="shared" si="16"/>
        <v>6500</v>
      </c>
      <c r="T1085" t="s">
        <v>230</v>
      </c>
      <c r="U1085" t="s">
        <v>870</v>
      </c>
      <c r="V1085" s="4">
        <v>65</v>
      </c>
      <c r="W1085">
        <v>0</v>
      </c>
    </row>
    <row r="1086" spans="1:23" hidden="1" x14ac:dyDescent="0.25">
      <c r="A1086" s="2">
        <v>46039.421412037038</v>
      </c>
      <c r="B1086">
        <v>4457</v>
      </c>
      <c r="C1086" t="s">
        <v>868</v>
      </c>
      <c r="D1086" s="3">
        <v>46038</v>
      </c>
      <c r="E1086" s="3">
        <v>46264</v>
      </c>
      <c r="F1086" t="s">
        <v>85</v>
      </c>
      <c r="H1086" t="s">
        <v>22</v>
      </c>
      <c r="I1086" t="s">
        <v>42</v>
      </c>
      <c r="J1086" t="s">
        <v>1490</v>
      </c>
      <c r="K1086" t="s">
        <v>24</v>
      </c>
      <c r="L1086" s="4">
        <v>180</v>
      </c>
      <c r="M1086" t="s">
        <v>874</v>
      </c>
      <c r="N1086" t="s">
        <v>46</v>
      </c>
      <c r="O1086" s="4">
        <v>100</v>
      </c>
      <c r="P1086">
        <v>0</v>
      </c>
      <c r="Q1086" s="4">
        <v>100</v>
      </c>
      <c r="R1086" s="12">
        <f t="shared" si="16"/>
        <v>18000</v>
      </c>
      <c r="T1086" t="s">
        <v>230</v>
      </c>
      <c r="U1086" t="s">
        <v>870</v>
      </c>
      <c r="V1086" s="4">
        <v>180</v>
      </c>
      <c r="W1086">
        <v>0</v>
      </c>
    </row>
    <row r="1087" spans="1:23" hidden="1" x14ac:dyDescent="0.25">
      <c r="A1087" s="2">
        <v>46039.421412037038</v>
      </c>
      <c r="B1087">
        <v>4457</v>
      </c>
      <c r="C1087" t="s">
        <v>868</v>
      </c>
      <c r="D1087" s="3">
        <v>46038</v>
      </c>
      <c r="E1087" s="3">
        <v>46264</v>
      </c>
      <c r="F1087" t="s">
        <v>85</v>
      </c>
      <c r="G1087" t="s">
        <v>1493</v>
      </c>
      <c r="H1087" t="s">
        <v>22</v>
      </c>
      <c r="I1087" t="s">
        <v>38</v>
      </c>
      <c r="J1087" t="s">
        <v>1491</v>
      </c>
      <c r="K1087" t="s">
        <v>24</v>
      </c>
      <c r="L1087" s="4">
        <v>50</v>
      </c>
      <c r="M1087" t="s">
        <v>874</v>
      </c>
      <c r="N1087" t="s">
        <v>46</v>
      </c>
      <c r="O1087" s="4">
        <v>102</v>
      </c>
      <c r="P1087">
        <v>0</v>
      </c>
      <c r="Q1087" s="4">
        <v>102</v>
      </c>
      <c r="R1087" s="12">
        <f t="shared" si="16"/>
        <v>5100</v>
      </c>
      <c r="T1087" t="s">
        <v>230</v>
      </c>
      <c r="U1087" t="s">
        <v>870</v>
      </c>
      <c r="V1087" s="4">
        <v>50</v>
      </c>
      <c r="W1087">
        <v>0</v>
      </c>
    </row>
    <row r="1088" spans="1:23" hidden="1" x14ac:dyDescent="0.25">
      <c r="A1088" s="2">
        <v>46039.421412037038</v>
      </c>
      <c r="B1088">
        <v>4457</v>
      </c>
      <c r="C1088" t="s">
        <v>868</v>
      </c>
      <c r="D1088" s="3">
        <v>46038</v>
      </c>
      <c r="E1088" s="3">
        <v>46264</v>
      </c>
      <c r="F1088" t="s">
        <v>85</v>
      </c>
      <c r="H1088" t="s">
        <v>22</v>
      </c>
      <c r="I1088" t="s">
        <v>29</v>
      </c>
      <c r="J1088" t="s">
        <v>1490</v>
      </c>
      <c r="K1088" t="s">
        <v>24</v>
      </c>
      <c r="L1088" s="4">
        <v>128</v>
      </c>
      <c r="M1088" t="s">
        <v>874</v>
      </c>
      <c r="N1088" t="s">
        <v>46</v>
      </c>
      <c r="O1088" s="4">
        <v>200</v>
      </c>
      <c r="P1088">
        <v>0</v>
      </c>
      <c r="Q1088" s="4">
        <v>200</v>
      </c>
      <c r="R1088" s="12">
        <f t="shared" si="16"/>
        <v>25600</v>
      </c>
      <c r="T1088" t="s">
        <v>230</v>
      </c>
      <c r="U1088" t="s">
        <v>870</v>
      </c>
      <c r="V1088" s="4">
        <v>128</v>
      </c>
      <c r="W1088">
        <v>0</v>
      </c>
    </row>
    <row r="1089" spans="1:23" hidden="1" x14ac:dyDescent="0.25">
      <c r="A1089" s="2">
        <v>46039.421412037038</v>
      </c>
      <c r="B1089">
        <v>4457</v>
      </c>
      <c r="C1089" t="s">
        <v>868</v>
      </c>
      <c r="D1089" s="3">
        <v>46038</v>
      </c>
      <c r="E1089" s="3">
        <v>46264</v>
      </c>
      <c r="F1089" t="s">
        <v>85</v>
      </c>
      <c r="G1089" t="s">
        <v>1493</v>
      </c>
      <c r="H1089" t="s">
        <v>22</v>
      </c>
      <c r="I1089" t="s">
        <v>41</v>
      </c>
      <c r="J1089" t="s">
        <v>1491</v>
      </c>
      <c r="K1089" t="s">
        <v>24</v>
      </c>
      <c r="L1089" s="4">
        <v>362.5</v>
      </c>
      <c r="M1089" t="s">
        <v>874</v>
      </c>
      <c r="N1089" t="s">
        <v>46</v>
      </c>
      <c r="O1089" s="4">
        <v>40</v>
      </c>
      <c r="P1089">
        <v>0</v>
      </c>
      <c r="Q1089" s="4">
        <v>40</v>
      </c>
      <c r="R1089" s="12">
        <f t="shared" si="16"/>
        <v>14500</v>
      </c>
      <c r="T1089" t="s">
        <v>230</v>
      </c>
      <c r="U1089" t="s">
        <v>870</v>
      </c>
      <c r="V1089" s="4">
        <v>362.5</v>
      </c>
      <c r="W1089">
        <v>0</v>
      </c>
    </row>
    <row r="1090" spans="1:23" hidden="1" x14ac:dyDescent="0.25">
      <c r="A1090" s="2">
        <v>46039.421412037038</v>
      </c>
      <c r="B1090">
        <v>4457</v>
      </c>
      <c r="C1090" t="s">
        <v>868</v>
      </c>
      <c r="D1090" s="3">
        <v>46038</v>
      </c>
      <c r="E1090" s="3">
        <v>46264</v>
      </c>
      <c r="F1090" t="s">
        <v>85</v>
      </c>
      <c r="G1090" t="s">
        <v>1493</v>
      </c>
      <c r="H1090" t="s">
        <v>22</v>
      </c>
      <c r="I1090" t="s">
        <v>40</v>
      </c>
      <c r="J1090" t="s">
        <v>1491</v>
      </c>
      <c r="K1090" t="s">
        <v>24</v>
      </c>
      <c r="L1090" s="4">
        <v>362.5</v>
      </c>
      <c r="M1090" t="s">
        <v>874</v>
      </c>
      <c r="N1090" t="s">
        <v>46</v>
      </c>
      <c r="O1090" s="4">
        <v>40</v>
      </c>
      <c r="P1090">
        <v>0</v>
      </c>
      <c r="Q1090" s="4">
        <v>40</v>
      </c>
      <c r="R1090" s="12">
        <f t="shared" si="16"/>
        <v>14500</v>
      </c>
      <c r="T1090" t="s">
        <v>230</v>
      </c>
      <c r="U1090" t="s">
        <v>870</v>
      </c>
      <c r="V1090" s="4">
        <v>362.5</v>
      </c>
      <c r="W1090">
        <v>0</v>
      </c>
    </row>
    <row r="1091" spans="1:23" hidden="1" x14ac:dyDescent="0.25">
      <c r="A1091" s="2">
        <v>46039.421412037038</v>
      </c>
      <c r="B1091">
        <v>4457</v>
      </c>
      <c r="C1091" t="s">
        <v>868</v>
      </c>
      <c r="D1091" s="3">
        <v>46038</v>
      </c>
      <c r="E1091" s="3">
        <v>46264</v>
      </c>
      <c r="F1091" t="s">
        <v>85</v>
      </c>
      <c r="H1091" t="s">
        <v>22</v>
      </c>
      <c r="I1091" t="s">
        <v>36</v>
      </c>
      <c r="J1091" t="s">
        <v>1490</v>
      </c>
      <c r="K1091" t="s">
        <v>24</v>
      </c>
      <c r="L1091" s="4">
        <v>58</v>
      </c>
      <c r="M1091" t="s">
        <v>874</v>
      </c>
      <c r="N1091" t="s">
        <v>46</v>
      </c>
      <c r="O1091" s="4">
        <v>100</v>
      </c>
      <c r="P1091">
        <v>0</v>
      </c>
      <c r="Q1091" s="4">
        <v>100</v>
      </c>
      <c r="R1091" s="12">
        <f t="shared" ref="R1091:R1154" si="17">Q1091*L1091</f>
        <v>5800</v>
      </c>
      <c r="T1091" t="s">
        <v>230</v>
      </c>
      <c r="U1091" t="s">
        <v>870</v>
      </c>
      <c r="V1091" s="4">
        <v>58</v>
      </c>
      <c r="W1091">
        <v>0</v>
      </c>
    </row>
    <row r="1092" spans="1:23" hidden="1" x14ac:dyDescent="0.25">
      <c r="A1092" s="2">
        <v>46039.421412037038</v>
      </c>
      <c r="B1092">
        <v>4457</v>
      </c>
      <c r="C1092" t="s">
        <v>868</v>
      </c>
      <c r="D1092" s="3">
        <v>46038</v>
      </c>
      <c r="E1092" s="3">
        <v>46264</v>
      </c>
      <c r="F1092" t="s">
        <v>85</v>
      </c>
      <c r="H1092" t="s">
        <v>22</v>
      </c>
      <c r="I1092" t="s">
        <v>33</v>
      </c>
      <c r="J1092" t="s">
        <v>1490</v>
      </c>
      <c r="K1092" t="s">
        <v>31</v>
      </c>
      <c r="L1092" s="4">
        <v>22</v>
      </c>
      <c r="M1092" t="s">
        <v>874</v>
      </c>
      <c r="N1092" t="s">
        <v>46</v>
      </c>
      <c r="O1092" s="4">
        <v>1000</v>
      </c>
      <c r="P1092">
        <v>0</v>
      </c>
      <c r="Q1092" s="4">
        <v>1000</v>
      </c>
      <c r="R1092" s="12">
        <f t="shared" si="17"/>
        <v>22000</v>
      </c>
      <c r="T1092" t="s">
        <v>230</v>
      </c>
      <c r="U1092" t="s">
        <v>870</v>
      </c>
      <c r="V1092" s="4">
        <v>22</v>
      </c>
      <c r="W1092">
        <v>0</v>
      </c>
    </row>
    <row r="1093" spans="1:23" hidden="1" x14ac:dyDescent="0.25">
      <c r="A1093" s="2">
        <v>46039.421412037038</v>
      </c>
      <c r="B1093">
        <v>4457</v>
      </c>
      <c r="C1093" t="s">
        <v>868</v>
      </c>
      <c r="D1093" s="3">
        <v>46038</v>
      </c>
      <c r="E1093" s="3">
        <v>46264</v>
      </c>
      <c r="F1093" t="s">
        <v>85</v>
      </c>
      <c r="H1093" t="s">
        <v>22</v>
      </c>
      <c r="I1093" t="s">
        <v>32</v>
      </c>
      <c r="J1093" t="s">
        <v>1490</v>
      </c>
      <c r="K1093" t="s">
        <v>24</v>
      </c>
      <c r="L1093" s="4">
        <v>18</v>
      </c>
      <c r="M1093" t="s">
        <v>874</v>
      </c>
      <c r="N1093" t="s">
        <v>46</v>
      </c>
      <c r="O1093" s="4">
        <v>1000</v>
      </c>
      <c r="P1093">
        <v>0</v>
      </c>
      <c r="Q1093" s="4">
        <v>1000</v>
      </c>
      <c r="R1093" s="12">
        <f t="shared" si="17"/>
        <v>18000</v>
      </c>
      <c r="T1093" t="s">
        <v>230</v>
      </c>
      <c r="U1093" t="s">
        <v>870</v>
      </c>
      <c r="V1093" s="4">
        <v>18</v>
      </c>
      <c r="W1093">
        <v>0</v>
      </c>
    </row>
    <row r="1094" spans="1:23" hidden="1" x14ac:dyDescent="0.25">
      <c r="A1094" s="2">
        <v>46039.421412037038</v>
      </c>
      <c r="B1094">
        <v>4457</v>
      </c>
      <c r="C1094" t="s">
        <v>868</v>
      </c>
      <c r="D1094" s="3">
        <v>46038</v>
      </c>
      <c r="E1094" s="3">
        <v>46264</v>
      </c>
      <c r="F1094" t="s">
        <v>85</v>
      </c>
      <c r="H1094" t="s">
        <v>22</v>
      </c>
      <c r="I1094" t="s">
        <v>35</v>
      </c>
      <c r="J1094" t="s">
        <v>1490</v>
      </c>
      <c r="K1094" t="s">
        <v>24</v>
      </c>
      <c r="L1094" s="4">
        <v>58</v>
      </c>
      <c r="M1094" t="s">
        <v>874</v>
      </c>
      <c r="N1094" t="s">
        <v>46</v>
      </c>
      <c r="O1094" s="4">
        <v>250</v>
      </c>
      <c r="P1094">
        <v>0</v>
      </c>
      <c r="Q1094" s="4">
        <v>250</v>
      </c>
      <c r="R1094" s="12">
        <f t="shared" si="17"/>
        <v>14500</v>
      </c>
      <c r="T1094" t="s">
        <v>230</v>
      </c>
      <c r="U1094" t="s">
        <v>870</v>
      </c>
      <c r="V1094" s="4">
        <v>58</v>
      </c>
      <c r="W1094">
        <v>0</v>
      </c>
    </row>
    <row r="1095" spans="1:23" hidden="1" x14ac:dyDescent="0.25">
      <c r="A1095" s="2">
        <v>46039.421412037038</v>
      </c>
      <c r="B1095">
        <v>4457</v>
      </c>
      <c r="C1095" t="s">
        <v>868</v>
      </c>
      <c r="D1095" s="3">
        <v>46038</v>
      </c>
      <c r="E1095" s="3">
        <v>46264</v>
      </c>
      <c r="F1095" t="s">
        <v>85</v>
      </c>
      <c r="G1095" t="s">
        <v>1493</v>
      </c>
      <c r="H1095" t="s">
        <v>22</v>
      </c>
      <c r="I1095" t="s">
        <v>44</v>
      </c>
      <c r="J1095" t="s">
        <v>1491</v>
      </c>
      <c r="K1095" t="s">
        <v>31</v>
      </c>
      <c r="L1095" s="4">
        <v>400</v>
      </c>
      <c r="M1095" t="s">
        <v>874</v>
      </c>
      <c r="N1095" t="s">
        <v>46</v>
      </c>
      <c r="O1095" s="4">
        <v>40</v>
      </c>
      <c r="P1095">
        <v>0</v>
      </c>
      <c r="Q1095" s="4">
        <v>40</v>
      </c>
      <c r="R1095" s="12">
        <f t="shared" si="17"/>
        <v>16000</v>
      </c>
      <c r="T1095" t="s">
        <v>230</v>
      </c>
      <c r="U1095" t="s">
        <v>870</v>
      </c>
      <c r="V1095" s="4">
        <v>400</v>
      </c>
      <c r="W1095">
        <v>0</v>
      </c>
    </row>
    <row r="1096" spans="1:23" hidden="1" x14ac:dyDescent="0.25">
      <c r="A1096" s="2">
        <v>46039.421412037038</v>
      </c>
      <c r="B1096">
        <v>4457</v>
      </c>
      <c r="C1096" t="s">
        <v>868</v>
      </c>
      <c r="D1096" s="3">
        <v>46038</v>
      </c>
      <c r="E1096" s="3">
        <v>46264</v>
      </c>
      <c r="F1096" t="s">
        <v>85</v>
      </c>
      <c r="H1096" t="s">
        <v>22</v>
      </c>
      <c r="I1096" t="s">
        <v>30</v>
      </c>
      <c r="J1096" t="s">
        <v>1490</v>
      </c>
      <c r="K1096" t="s">
        <v>31</v>
      </c>
      <c r="L1096" s="4">
        <v>18.600000000000001</v>
      </c>
      <c r="M1096" t="s">
        <v>874</v>
      </c>
      <c r="N1096" t="s">
        <v>46</v>
      </c>
      <c r="O1096" s="4">
        <v>2000</v>
      </c>
      <c r="P1096">
        <v>0</v>
      </c>
      <c r="Q1096" s="4">
        <v>2000</v>
      </c>
      <c r="R1096" s="12">
        <f t="shared" si="17"/>
        <v>37200</v>
      </c>
      <c r="T1096" t="s">
        <v>230</v>
      </c>
      <c r="U1096" t="s">
        <v>870</v>
      </c>
      <c r="V1096" s="4">
        <v>18.600000000000001</v>
      </c>
      <c r="W1096">
        <v>0</v>
      </c>
    </row>
    <row r="1097" spans="1:23" hidden="1" x14ac:dyDescent="0.25">
      <c r="A1097" s="2">
        <v>46039.426064814812</v>
      </c>
      <c r="B1097">
        <v>4458</v>
      </c>
      <c r="C1097" t="s">
        <v>868</v>
      </c>
      <c r="D1097" s="3">
        <v>46038</v>
      </c>
      <c r="E1097" s="3">
        <v>46264</v>
      </c>
      <c r="F1097" t="s">
        <v>85</v>
      </c>
      <c r="H1097" t="s">
        <v>22</v>
      </c>
      <c r="I1097" t="s">
        <v>72</v>
      </c>
      <c r="J1097" t="s">
        <v>1490</v>
      </c>
      <c r="K1097" t="s">
        <v>24</v>
      </c>
      <c r="L1097" s="4">
        <v>800</v>
      </c>
      <c r="M1097" t="s">
        <v>875</v>
      </c>
      <c r="N1097" t="s">
        <v>46</v>
      </c>
      <c r="O1097" s="4">
        <v>1</v>
      </c>
      <c r="P1097">
        <v>0</v>
      </c>
      <c r="Q1097" s="4">
        <v>1</v>
      </c>
      <c r="R1097" s="12">
        <f t="shared" si="17"/>
        <v>800</v>
      </c>
      <c r="T1097" t="s">
        <v>230</v>
      </c>
      <c r="U1097" t="s">
        <v>870</v>
      </c>
      <c r="V1097" s="4">
        <v>800</v>
      </c>
      <c r="W1097">
        <v>0</v>
      </c>
    </row>
    <row r="1098" spans="1:23" hidden="1" x14ac:dyDescent="0.25">
      <c r="A1098" s="2">
        <v>46039.426064814812</v>
      </c>
      <c r="B1098">
        <v>4458</v>
      </c>
      <c r="C1098" t="s">
        <v>868</v>
      </c>
      <c r="D1098" s="3">
        <v>46038</v>
      </c>
      <c r="E1098" s="3">
        <v>46264</v>
      </c>
      <c r="F1098" t="s">
        <v>85</v>
      </c>
      <c r="H1098" t="s">
        <v>22</v>
      </c>
      <c r="I1098" t="s">
        <v>37</v>
      </c>
      <c r="J1098" t="s">
        <v>1490</v>
      </c>
      <c r="K1098" t="s">
        <v>31</v>
      </c>
      <c r="L1098" s="4">
        <v>80</v>
      </c>
      <c r="M1098" t="s">
        <v>875</v>
      </c>
      <c r="N1098" t="s">
        <v>46</v>
      </c>
      <c r="O1098" s="4">
        <v>9</v>
      </c>
      <c r="P1098">
        <v>0</v>
      </c>
      <c r="Q1098" s="4">
        <v>9</v>
      </c>
      <c r="R1098" s="12">
        <f t="shared" si="17"/>
        <v>720</v>
      </c>
      <c r="T1098" t="s">
        <v>230</v>
      </c>
      <c r="U1098" t="s">
        <v>870</v>
      </c>
      <c r="V1098" s="4">
        <v>80</v>
      </c>
      <c r="W1098">
        <v>0</v>
      </c>
    </row>
    <row r="1099" spans="1:23" hidden="1" x14ac:dyDescent="0.25">
      <c r="A1099" s="2">
        <v>46039.426064814812</v>
      </c>
      <c r="B1099">
        <v>4458</v>
      </c>
      <c r="C1099" t="s">
        <v>868</v>
      </c>
      <c r="D1099" s="3">
        <v>46038</v>
      </c>
      <c r="E1099" s="3">
        <v>46264</v>
      </c>
      <c r="F1099" t="s">
        <v>85</v>
      </c>
      <c r="H1099" t="s">
        <v>22</v>
      </c>
      <c r="I1099" t="s">
        <v>32</v>
      </c>
      <c r="J1099" t="s">
        <v>1490</v>
      </c>
      <c r="K1099" t="s">
        <v>24</v>
      </c>
      <c r="L1099" s="4">
        <v>18</v>
      </c>
      <c r="M1099" t="s">
        <v>875</v>
      </c>
      <c r="N1099" t="s">
        <v>46</v>
      </c>
      <c r="O1099" s="4">
        <v>60</v>
      </c>
      <c r="P1099">
        <v>0</v>
      </c>
      <c r="Q1099" s="4">
        <v>60</v>
      </c>
      <c r="R1099" s="12">
        <f t="shared" si="17"/>
        <v>1080</v>
      </c>
      <c r="T1099" t="s">
        <v>230</v>
      </c>
      <c r="U1099" t="s">
        <v>870</v>
      </c>
      <c r="V1099" s="4">
        <v>18</v>
      </c>
      <c r="W1099">
        <v>0</v>
      </c>
    </row>
    <row r="1100" spans="1:23" hidden="1" x14ac:dyDescent="0.25">
      <c r="A1100" s="2">
        <v>46039.426064814812</v>
      </c>
      <c r="B1100">
        <v>4458</v>
      </c>
      <c r="C1100" t="s">
        <v>868</v>
      </c>
      <c r="D1100" s="3">
        <v>46038</v>
      </c>
      <c r="E1100" s="3">
        <v>46264</v>
      </c>
      <c r="F1100" t="s">
        <v>85</v>
      </c>
      <c r="H1100" t="s">
        <v>22</v>
      </c>
      <c r="I1100" t="s">
        <v>30</v>
      </c>
      <c r="J1100" t="s">
        <v>1490</v>
      </c>
      <c r="K1100" t="s">
        <v>31</v>
      </c>
      <c r="L1100" s="4">
        <v>18.600000000000001</v>
      </c>
      <c r="M1100" t="s">
        <v>875</v>
      </c>
      <c r="N1100" t="s">
        <v>46</v>
      </c>
      <c r="O1100" s="4">
        <v>60</v>
      </c>
      <c r="P1100">
        <v>0</v>
      </c>
      <c r="Q1100" s="4">
        <v>60</v>
      </c>
      <c r="R1100" s="12">
        <f t="shared" si="17"/>
        <v>1116</v>
      </c>
      <c r="T1100" t="s">
        <v>230</v>
      </c>
      <c r="U1100" t="s">
        <v>870</v>
      </c>
      <c r="V1100" s="4">
        <v>18.600000000000001</v>
      </c>
      <c r="W1100">
        <v>0</v>
      </c>
    </row>
    <row r="1101" spans="1:23" hidden="1" x14ac:dyDescent="0.25">
      <c r="A1101" s="2">
        <v>46039.426064814812</v>
      </c>
      <c r="B1101">
        <v>4458</v>
      </c>
      <c r="C1101" t="s">
        <v>868</v>
      </c>
      <c r="D1101" s="3">
        <v>46038</v>
      </c>
      <c r="E1101" s="3">
        <v>46264</v>
      </c>
      <c r="F1101" t="s">
        <v>85</v>
      </c>
      <c r="H1101" t="s">
        <v>22</v>
      </c>
      <c r="I1101" t="s">
        <v>29</v>
      </c>
      <c r="J1101" t="s">
        <v>1490</v>
      </c>
      <c r="K1101" t="s">
        <v>24</v>
      </c>
      <c r="L1101" s="4">
        <v>128</v>
      </c>
      <c r="M1101" t="s">
        <v>875</v>
      </c>
      <c r="N1101" t="s">
        <v>46</v>
      </c>
      <c r="O1101" s="4">
        <v>20</v>
      </c>
      <c r="P1101">
        <v>0</v>
      </c>
      <c r="Q1101" s="4">
        <v>20</v>
      </c>
      <c r="R1101" s="12">
        <f t="shared" si="17"/>
        <v>2560</v>
      </c>
      <c r="T1101" t="s">
        <v>230</v>
      </c>
      <c r="U1101" t="s">
        <v>870</v>
      </c>
      <c r="V1101" s="4">
        <v>128</v>
      </c>
      <c r="W1101">
        <v>0</v>
      </c>
    </row>
    <row r="1102" spans="1:23" hidden="1" x14ac:dyDescent="0.25">
      <c r="A1102" s="2">
        <v>46039.426064814812</v>
      </c>
      <c r="B1102">
        <v>4458</v>
      </c>
      <c r="C1102" t="s">
        <v>868</v>
      </c>
      <c r="D1102" s="3">
        <v>46038</v>
      </c>
      <c r="E1102" s="3">
        <v>46264</v>
      </c>
      <c r="F1102" t="s">
        <v>85</v>
      </c>
      <c r="H1102" t="s">
        <v>22</v>
      </c>
      <c r="I1102" t="s">
        <v>192</v>
      </c>
      <c r="J1102" t="s">
        <v>1490</v>
      </c>
      <c r="K1102" t="s">
        <v>24</v>
      </c>
      <c r="L1102" s="4">
        <v>14</v>
      </c>
      <c r="M1102" t="s">
        <v>875</v>
      </c>
      <c r="N1102" t="s">
        <v>46</v>
      </c>
      <c r="O1102" s="4">
        <v>100</v>
      </c>
      <c r="P1102">
        <v>0</v>
      </c>
      <c r="Q1102" s="4">
        <v>100</v>
      </c>
      <c r="R1102" s="12">
        <f t="shared" si="17"/>
        <v>1400</v>
      </c>
      <c r="T1102" t="s">
        <v>230</v>
      </c>
      <c r="U1102" t="s">
        <v>870</v>
      </c>
      <c r="V1102" s="4">
        <v>14</v>
      </c>
      <c r="W1102">
        <v>0</v>
      </c>
    </row>
    <row r="1103" spans="1:23" hidden="1" x14ac:dyDescent="0.25">
      <c r="A1103" s="2">
        <v>46049.334016203706</v>
      </c>
      <c r="B1103">
        <v>4490</v>
      </c>
      <c r="C1103" t="s">
        <v>868</v>
      </c>
      <c r="D1103" s="3">
        <v>46048</v>
      </c>
      <c r="E1103" s="3">
        <v>46111</v>
      </c>
      <c r="F1103" t="s">
        <v>85</v>
      </c>
      <c r="H1103" t="s">
        <v>22</v>
      </c>
      <c r="I1103" t="s">
        <v>190</v>
      </c>
      <c r="J1103" t="s">
        <v>1490</v>
      </c>
      <c r="K1103" t="s">
        <v>31</v>
      </c>
      <c r="L1103" s="4">
        <v>130</v>
      </c>
      <c r="M1103" t="s">
        <v>876</v>
      </c>
      <c r="N1103" t="s">
        <v>26</v>
      </c>
      <c r="O1103" s="4">
        <v>190</v>
      </c>
      <c r="P1103">
        <v>0</v>
      </c>
      <c r="Q1103" s="4">
        <v>190</v>
      </c>
      <c r="R1103" s="12">
        <f t="shared" si="17"/>
        <v>24700</v>
      </c>
      <c r="T1103" t="s">
        <v>230</v>
      </c>
      <c r="U1103" t="s">
        <v>870</v>
      </c>
      <c r="V1103" s="4">
        <v>130</v>
      </c>
      <c r="W1103">
        <v>0</v>
      </c>
    </row>
    <row r="1104" spans="1:23" hidden="1" x14ac:dyDescent="0.25">
      <c r="A1104" s="2">
        <v>46049.351620370369</v>
      </c>
      <c r="B1104">
        <v>4491</v>
      </c>
      <c r="C1104" t="s">
        <v>877</v>
      </c>
      <c r="D1104" s="3">
        <v>46049</v>
      </c>
      <c r="E1104" s="3">
        <v>46264</v>
      </c>
      <c r="F1104" t="s">
        <v>85</v>
      </c>
      <c r="H1104" t="s">
        <v>22</v>
      </c>
      <c r="I1104" t="s">
        <v>878</v>
      </c>
      <c r="K1104" t="s">
        <v>24</v>
      </c>
      <c r="L1104" s="4">
        <v>50</v>
      </c>
      <c r="M1104" t="s">
        <v>879</v>
      </c>
      <c r="N1104" t="s">
        <v>46</v>
      </c>
      <c r="O1104" s="4">
        <v>460</v>
      </c>
      <c r="P1104">
        <v>0</v>
      </c>
      <c r="Q1104" s="4">
        <v>460</v>
      </c>
      <c r="R1104" s="12">
        <f t="shared" si="17"/>
        <v>23000</v>
      </c>
      <c r="T1104" t="s">
        <v>230</v>
      </c>
      <c r="U1104" t="s">
        <v>880</v>
      </c>
      <c r="V1104" s="4">
        <v>50</v>
      </c>
      <c r="W1104">
        <v>0</v>
      </c>
    </row>
    <row r="1105" spans="1:23" hidden="1" x14ac:dyDescent="0.25">
      <c r="A1105" s="2">
        <v>45911.375243055554</v>
      </c>
      <c r="B1105">
        <v>4025</v>
      </c>
      <c r="C1105" t="s">
        <v>881</v>
      </c>
      <c r="D1105" s="3">
        <v>45910</v>
      </c>
      <c r="E1105" s="3">
        <v>46142</v>
      </c>
      <c r="F1105" t="s">
        <v>79</v>
      </c>
      <c r="G1105" t="s">
        <v>1493</v>
      </c>
      <c r="H1105" t="s">
        <v>22</v>
      </c>
      <c r="I1105" t="s">
        <v>201</v>
      </c>
      <c r="J1105" t="s">
        <v>1491</v>
      </c>
      <c r="K1105" t="s">
        <v>24</v>
      </c>
      <c r="L1105" s="4">
        <v>60</v>
      </c>
      <c r="M1105" t="s">
        <v>882</v>
      </c>
      <c r="N1105" t="s">
        <v>26</v>
      </c>
      <c r="O1105" s="4">
        <v>160</v>
      </c>
      <c r="P1105">
        <v>0</v>
      </c>
      <c r="Q1105" s="4">
        <v>160</v>
      </c>
      <c r="R1105" s="12">
        <f t="shared" si="17"/>
        <v>9600</v>
      </c>
      <c r="T1105" t="s">
        <v>230</v>
      </c>
      <c r="U1105" t="s">
        <v>883</v>
      </c>
      <c r="V1105" s="4">
        <v>60</v>
      </c>
      <c r="W1105">
        <v>0</v>
      </c>
    </row>
    <row r="1106" spans="1:23" hidden="1" x14ac:dyDescent="0.25">
      <c r="A1106" s="2">
        <v>45911.375243055554</v>
      </c>
      <c r="B1106">
        <v>4025</v>
      </c>
      <c r="C1106" t="s">
        <v>881</v>
      </c>
      <c r="D1106" s="3">
        <v>45910</v>
      </c>
      <c r="E1106" s="3">
        <v>46142</v>
      </c>
      <c r="F1106" t="s">
        <v>79</v>
      </c>
      <c r="G1106" t="s">
        <v>1493</v>
      </c>
      <c r="H1106" t="s">
        <v>22</v>
      </c>
      <c r="I1106" t="s">
        <v>44</v>
      </c>
      <c r="J1106" t="s">
        <v>1491</v>
      </c>
      <c r="K1106" t="s">
        <v>31</v>
      </c>
      <c r="L1106" s="4">
        <v>330</v>
      </c>
      <c r="M1106" t="s">
        <v>882</v>
      </c>
      <c r="N1106" t="s">
        <v>26</v>
      </c>
      <c r="O1106" s="4">
        <v>75</v>
      </c>
      <c r="P1106">
        <v>0</v>
      </c>
      <c r="Q1106" s="4">
        <v>75</v>
      </c>
      <c r="R1106" s="12">
        <f t="shared" si="17"/>
        <v>24750</v>
      </c>
      <c r="T1106" t="s">
        <v>230</v>
      </c>
      <c r="U1106" t="s">
        <v>883</v>
      </c>
      <c r="V1106" s="4">
        <v>330</v>
      </c>
      <c r="W1106">
        <v>0</v>
      </c>
    </row>
    <row r="1107" spans="1:23" hidden="1" x14ac:dyDescent="0.25">
      <c r="A1107" s="2">
        <v>45911.375243055554</v>
      </c>
      <c r="B1107">
        <v>4025</v>
      </c>
      <c r="C1107" t="s">
        <v>881</v>
      </c>
      <c r="D1107" s="3">
        <v>45910</v>
      </c>
      <c r="E1107" s="3">
        <v>46142</v>
      </c>
      <c r="F1107" t="s">
        <v>79</v>
      </c>
      <c r="G1107" t="s">
        <v>1493</v>
      </c>
      <c r="H1107" t="s">
        <v>22</v>
      </c>
      <c r="I1107" t="s">
        <v>43</v>
      </c>
      <c r="J1107" t="s">
        <v>1491</v>
      </c>
      <c r="K1107" t="s">
        <v>24</v>
      </c>
      <c r="L1107" s="4">
        <v>30</v>
      </c>
      <c r="M1107" t="s">
        <v>882</v>
      </c>
      <c r="N1107" t="s">
        <v>26</v>
      </c>
      <c r="O1107" s="4">
        <v>1269</v>
      </c>
      <c r="P1107">
        <v>0</v>
      </c>
      <c r="Q1107" s="4">
        <v>1269</v>
      </c>
      <c r="R1107" s="12">
        <f t="shared" si="17"/>
        <v>38070</v>
      </c>
      <c r="T1107" t="s">
        <v>230</v>
      </c>
      <c r="U1107" t="s">
        <v>883</v>
      </c>
      <c r="V1107" s="4">
        <v>30</v>
      </c>
      <c r="W1107">
        <v>0</v>
      </c>
    </row>
    <row r="1108" spans="1:23" hidden="1" x14ac:dyDescent="0.25">
      <c r="A1108" s="2">
        <v>45911.375243055554</v>
      </c>
      <c r="B1108">
        <v>4025</v>
      </c>
      <c r="C1108" t="s">
        <v>881</v>
      </c>
      <c r="D1108" s="3">
        <v>45910</v>
      </c>
      <c r="E1108" s="3">
        <v>46142</v>
      </c>
      <c r="F1108" t="s">
        <v>79</v>
      </c>
      <c r="G1108" t="s">
        <v>1493</v>
      </c>
      <c r="H1108" t="s">
        <v>22</v>
      </c>
      <c r="I1108" t="s">
        <v>41</v>
      </c>
      <c r="J1108" t="s">
        <v>1491</v>
      </c>
      <c r="K1108" t="s">
        <v>24</v>
      </c>
      <c r="L1108" s="4">
        <v>270</v>
      </c>
      <c r="M1108" t="s">
        <v>882</v>
      </c>
      <c r="N1108" t="s">
        <v>26</v>
      </c>
      <c r="O1108" s="4">
        <v>75</v>
      </c>
      <c r="P1108">
        <v>0</v>
      </c>
      <c r="Q1108" s="4">
        <v>75</v>
      </c>
      <c r="R1108" s="12">
        <f t="shared" si="17"/>
        <v>20250</v>
      </c>
      <c r="T1108" t="s">
        <v>230</v>
      </c>
      <c r="U1108" t="s">
        <v>883</v>
      </c>
      <c r="V1108" s="4">
        <v>270</v>
      </c>
      <c r="W1108">
        <v>0</v>
      </c>
    </row>
    <row r="1109" spans="1:23" hidden="1" x14ac:dyDescent="0.25">
      <c r="A1109" s="2">
        <v>45911.375243055554</v>
      </c>
      <c r="B1109">
        <v>4025</v>
      </c>
      <c r="C1109" t="s">
        <v>881</v>
      </c>
      <c r="D1109" s="3">
        <v>45910</v>
      </c>
      <c r="E1109" s="3">
        <v>46142</v>
      </c>
      <c r="F1109" t="s">
        <v>79</v>
      </c>
      <c r="H1109" t="s">
        <v>22</v>
      </c>
      <c r="I1109" t="s">
        <v>72</v>
      </c>
      <c r="J1109" t="s">
        <v>1490</v>
      </c>
      <c r="K1109" t="s">
        <v>24</v>
      </c>
      <c r="L1109" s="4">
        <v>920</v>
      </c>
      <c r="M1109" t="s">
        <v>882</v>
      </c>
      <c r="N1109" t="s">
        <v>26</v>
      </c>
      <c r="O1109" s="4">
        <v>24</v>
      </c>
      <c r="P1109">
        <v>0</v>
      </c>
      <c r="Q1109" s="4">
        <v>24</v>
      </c>
      <c r="R1109" s="12">
        <f t="shared" si="17"/>
        <v>22080</v>
      </c>
      <c r="T1109" t="s">
        <v>230</v>
      </c>
      <c r="U1109" t="s">
        <v>883</v>
      </c>
      <c r="V1109" s="4">
        <v>920</v>
      </c>
      <c r="W1109">
        <v>0</v>
      </c>
    </row>
    <row r="1110" spans="1:23" hidden="1" x14ac:dyDescent="0.25">
      <c r="A1110" s="2">
        <v>45911.375243055554</v>
      </c>
      <c r="B1110">
        <v>4025</v>
      </c>
      <c r="C1110" t="s">
        <v>881</v>
      </c>
      <c r="D1110" s="3">
        <v>45910</v>
      </c>
      <c r="E1110" s="3">
        <v>46142</v>
      </c>
      <c r="F1110" t="s">
        <v>79</v>
      </c>
      <c r="G1110" t="s">
        <v>1493</v>
      </c>
      <c r="H1110" t="s">
        <v>22</v>
      </c>
      <c r="I1110" t="s">
        <v>101</v>
      </c>
      <c r="J1110" t="s">
        <v>1491</v>
      </c>
      <c r="K1110" t="s">
        <v>31</v>
      </c>
      <c r="L1110" s="4">
        <v>470</v>
      </c>
      <c r="M1110" t="s">
        <v>882</v>
      </c>
      <c r="N1110" t="s">
        <v>26</v>
      </c>
      <c r="O1110" s="4">
        <v>50</v>
      </c>
      <c r="P1110">
        <v>0</v>
      </c>
      <c r="Q1110" s="4">
        <v>50</v>
      </c>
      <c r="R1110" s="12">
        <f t="shared" si="17"/>
        <v>23500</v>
      </c>
      <c r="T1110" t="s">
        <v>230</v>
      </c>
      <c r="U1110" t="s">
        <v>883</v>
      </c>
      <c r="V1110" s="4">
        <v>470</v>
      </c>
      <c r="W1110">
        <v>0</v>
      </c>
    </row>
    <row r="1111" spans="1:23" hidden="1" x14ac:dyDescent="0.25">
      <c r="A1111" s="2">
        <v>45911.375243055554</v>
      </c>
      <c r="B1111">
        <v>4025</v>
      </c>
      <c r="C1111" t="s">
        <v>881</v>
      </c>
      <c r="D1111" s="3">
        <v>45910</v>
      </c>
      <c r="E1111" s="3">
        <v>46142</v>
      </c>
      <c r="F1111" t="s">
        <v>79</v>
      </c>
      <c r="G1111" t="s">
        <v>1493</v>
      </c>
      <c r="H1111" t="s">
        <v>22</v>
      </c>
      <c r="I1111" t="s">
        <v>38</v>
      </c>
      <c r="J1111" t="s">
        <v>1491</v>
      </c>
      <c r="K1111" t="s">
        <v>24</v>
      </c>
      <c r="L1111" s="4">
        <v>35</v>
      </c>
      <c r="M1111" t="s">
        <v>882</v>
      </c>
      <c r="N1111" t="s">
        <v>26</v>
      </c>
      <c r="O1111" s="4">
        <v>471</v>
      </c>
      <c r="P1111">
        <v>0</v>
      </c>
      <c r="Q1111" s="4">
        <v>471</v>
      </c>
      <c r="R1111" s="12">
        <f t="shared" si="17"/>
        <v>16485</v>
      </c>
      <c r="T1111" t="s">
        <v>230</v>
      </c>
      <c r="U1111" t="s">
        <v>883</v>
      </c>
      <c r="V1111" s="4">
        <v>35</v>
      </c>
      <c r="W1111">
        <v>0</v>
      </c>
    </row>
    <row r="1112" spans="1:23" hidden="1" x14ac:dyDescent="0.25">
      <c r="A1112" s="2">
        <v>45945.449837962966</v>
      </c>
      <c r="B1112">
        <v>4162</v>
      </c>
      <c r="C1112" t="s">
        <v>881</v>
      </c>
      <c r="D1112" s="3">
        <v>45945</v>
      </c>
      <c r="E1112" s="3">
        <v>46142</v>
      </c>
      <c r="F1112" t="s">
        <v>79</v>
      </c>
      <c r="G1112" t="s">
        <v>1493</v>
      </c>
      <c r="H1112" t="s">
        <v>22</v>
      </c>
      <c r="I1112" t="s">
        <v>43</v>
      </c>
      <c r="J1112" t="s">
        <v>1491</v>
      </c>
      <c r="K1112" t="s">
        <v>24</v>
      </c>
      <c r="L1112" s="4">
        <v>30</v>
      </c>
      <c r="M1112" t="s">
        <v>884</v>
      </c>
      <c r="N1112" t="s">
        <v>26</v>
      </c>
      <c r="O1112" s="4">
        <v>960</v>
      </c>
      <c r="P1112">
        <v>0</v>
      </c>
      <c r="Q1112" s="4">
        <v>960</v>
      </c>
      <c r="R1112" s="12">
        <f t="shared" si="17"/>
        <v>28800</v>
      </c>
      <c r="T1112" t="s">
        <v>230</v>
      </c>
      <c r="U1112" t="s">
        <v>883</v>
      </c>
      <c r="V1112" s="4">
        <v>30</v>
      </c>
      <c r="W1112">
        <v>0</v>
      </c>
    </row>
    <row r="1113" spans="1:23" hidden="1" x14ac:dyDescent="0.25">
      <c r="A1113" s="2">
        <v>45945.449837962966</v>
      </c>
      <c r="B1113">
        <v>4162</v>
      </c>
      <c r="C1113" t="s">
        <v>881</v>
      </c>
      <c r="D1113" s="3">
        <v>45945</v>
      </c>
      <c r="E1113" s="3">
        <v>46142</v>
      </c>
      <c r="F1113" t="s">
        <v>79</v>
      </c>
      <c r="G1113" t="s">
        <v>1493</v>
      </c>
      <c r="H1113" t="s">
        <v>22</v>
      </c>
      <c r="I1113" t="s">
        <v>44</v>
      </c>
      <c r="J1113" t="s">
        <v>1491</v>
      </c>
      <c r="K1113" t="s">
        <v>31</v>
      </c>
      <c r="L1113" s="4">
        <v>330</v>
      </c>
      <c r="M1113" t="s">
        <v>884</v>
      </c>
      <c r="N1113" t="s">
        <v>26</v>
      </c>
      <c r="O1113" s="4">
        <v>80</v>
      </c>
      <c r="P1113">
        <v>0</v>
      </c>
      <c r="Q1113" s="4">
        <v>80</v>
      </c>
      <c r="R1113" s="12">
        <f t="shared" si="17"/>
        <v>26400</v>
      </c>
      <c r="T1113" t="s">
        <v>230</v>
      </c>
      <c r="U1113" t="s">
        <v>883</v>
      </c>
      <c r="V1113" s="4">
        <v>330</v>
      </c>
      <c r="W1113">
        <v>0</v>
      </c>
    </row>
    <row r="1114" spans="1:23" hidden="1" x14ac:dyDescent="0.25">
      <c r="A1114" s="2">
        <v>45945.449837962966</v>
      </c>
      <c r="B1114">
        <v>4162</v>
      </c>
      <c r="C1114" t="s">
        <v>881</v>
      </c>
      <c r="D1114" s="3">
        <v>45945</v>
      </c>
      <c r="E1114" s="3">
        <v>46142</v>
      </c>
      <c r="F1114" t="s">
        <v>79</v>
      </c>
      <c r="G1114" t="s">
        <v>1493</v>
      </c>
      <c r="H1114" t="s">
        <v>22</v>
      </c>
      <c r="I1114" t="s">
        <v>38</v>
      </c>
      <c r="J1114" t="s">
        <v>1491</v>
      </c>
      <c r="K1114" t="s">
        <v>24</v>
      </c>
      <c r="L1114" s="4">
        <v>35</v>
      </c>
      <c r="M1114" t="s">
        <v>884</v>
      </c>
      <c r="N1114" t="s">
        <v>26</v>
      </c>
      <c r="O1114" s="4">
        <v>300</v>
      </c>
      <c r="P1114">
        <v>0</v>
      </c>
      <c r="Q1114" s="4">
        <v>300</v>
      </c>
      <c r="R1114" s="12">
        <f t="shared" si="17"/>
        <v>10500</v>
      </c>
      <c r="T1114" t="s">
        <v>230</v>
      </c>
      <c r="U1114" t="s">
        <v>883</v>
      </c>
      <c r="V1114" s="4">
        <v>35</v>
      </c>
      <c r="W1114">
        <v>0</v>
      </c>
    </row>
    <row r="1115" spans="1:23" hidden="1" x14ac:dyDescent="0.25">
      <c r="A1115" s="2">
        <v>45951.57240740741</v>
      </c>
      <c r="B1115">
        <v>4192</v>
      </c>
      <c r="C1115" t="s">
        <v>881</v>
      </c>
      <c r="D1115" s="3">
        <v>45951</v>
      </c>
      <c r="E1115" s="3">
        <v>46142</v>
      </c>
      <c r="F1115" t="s">
        <v>79</v>
      </c>
      <c r="G1115" t="s">
        <v>1493</v>
      </c>
      <c r="H1115" t="s">
        <v>22</v>
      </c>
      <c r="I1115" t="s">
        <v>43</v>
      </c>
      <c r="J1115" t="s">
        <v>1491</v>
      </c>
      <c r="K1115" t="s">
        <v>24</v>
      </c>
      <c r="L1115" s="4">
        <v>30</v>
      </c>
      <c r="M1115" t="s">
        <v>885</v>
      </c>
      <c r="N1115" t="s">
        <v>26</v>
      </c>
      <c r="O1115" s="4">
        <v>162</v>
      </c>
      <c r="P1115">
        <v>0</v>
      </c>
      <c r="Q1115" s="4">
        <v>162</v>
      </c>
      <c r="R1115" s="12">
        <f t="shared" si="17"/>
        <v>4860</v>
      </c>
      <c r="T1115" t="s">
        <v>230</v>
      </c>
      <c r="U1115" t="s">
        <v>883</v>
      </c>
      <c r="V1115" s="4">
        <v>30</v>
      </c>
      <c r="W1115">
        <v>0</v>
      </c>
    </row>
    <row r="1116" spans="1:23" hidden="1" x14ac:dyDescent="0.25">
      <c r="A1116" s="2">
        <v>45958.394571759258</v>
      </c>
      <c r="B1116">
        <v>4216</v>
      </c>
      <c r="C1116" t="s">
        <v>881</v>
      </c>
      <c r="D1116" s="3">
        <v>45952</v>
      </c>
      <c r="E1116" s="3">
        <v>46264</v>
      </c>
      <c r="F1116" t="s">
        <v>79</v>
      </c>
      <c r="H1116" t="s">
        <v>22</v>
      </c>
      <c r="I1116" t="s">
        <v>886</v>
      </c>
      <c r="J1116" t="s">
        <v>1490</v>
      </c>
      <c r="K1116" t="s">
        <v>24</v>
      </c>
      <c r="L1116" s="4">
        <v>240</v>
      </c>
      <c r="M1116" t="s">
        <v>887</v>
      </c>
      <c r="N1116" t="s">
        <v>26</v>
      </c>
      <c r="O1116" s="4">
        <v>45</v>
      </c>
      <c r="P1116">
        <v>0</v>
      </c>
      <c r="Q1116" s="4">
        <v>45</v>
      </c>
      <c r="R1116" s="12">
        <f t="shared" si="17"/>
        <v>10800</v>
      </c>
      <c r="T1116" t="s">
        <v>230</v>
      </c>
      <c r="U1116" t="s">
        <v>883</v>
      </c>
      <c r="V1116" s="4">
        <v>240</v>
      </c>
      <c r="W1116">
        <v>0</v>
      </c>
    </row>
    <row r="1117" spans="1:23" hidden="1" x14ac:dyDescent="0.25">
      <c r="A1117" s="2">
        <v>45982.628599537034</v>
      </c>
      <c r="B1117">
        <v>4287</v>
      </c>
      <c r="C1117" t="s">
        <v>881</v>
      </c>
      <c r="D1117" s="3">
        <v>45982</v>
      </c>
      <c r="E1117" s="3">
        <v>46142</v>
      </c>
      <c r="F1117" t="s">
        <v>79</v>
      </c>
      <c r="G1117" t="s">
        <v>1493</v>
      </c>
      <c r="H1117" t="s">
        <v>22</v>
      </c>
      <c r="I1117" t="s">
        <v>38</v>
      </c>
      <c r="J1117" t="s">
        <v>1491</v>
      </c>
      <c r="K1117" t="s">
        <v>24</v>
      </c>
      <c r="L1117" s="4">
        <v>35</v>
      </c>
      <c r="M1117" t="s">
        <v>888</v>
      </c>
      <c r="N1117" t="s">
        <v>26</v>
      </c>
      <c r="O1117" s="4">
        <v>12</v>
      </c>
      <c r="P1117">
        <v>0</v>
      </c>
      <c r="Q1117" s="4">
        <v>12</v>
      </c>
      <c r="R1117" s="12">
        <f t="shared" si="17"/>
        <v>420</v>
      </c>
      <c r="T1117" t="s">
        <v>230</v>
      </c>
      <c r="U1117" t="s">
        <v>883</v>
      </c>
      <c r="V1117" s="4">
        <v>35</v>
      </c>
      <c r="W1117">
        <v>0</v>
      </c>
    </row>
    <row r="1118" spans="1:23" hidden="1" x14ac:dyDescent="0.25">
      <c r="A1118" s="2">
        <v>46031.518622685187</v>
      </c>
      <c r="B1118">
        <v>4422</v>
      </c>
      <c r="C1118" t="s">
        <v>881</v>
      </c>
      <c r="D1118" s="3">
        <v>46031</v>
      </c>
      <c r="E1118" s="3">
        <v>46295</v>
      </c>
      <c r="F1118" t="s">
        <v>79</v>
      </c>
      <c r="G1118" t="s">
        <v>1493</v>
      </c>
      <c r="H1118" t="s">
        <v>22</v>
      </c>
      <c r="I1118" t="s">
        <v>44</v>
      </c>
      <c r="J1118" t="s">
        <v>1491</v>
      </c>
      <c r="K1118" t="s">
        <v>31</v>
      </c>
      <c r="L1118" s="4">
        <v>330</v>
      </c>
      <c r="M1118" t="s">
        <v>889</v>
      </c>
      <c r="N1118" t="s">
        <v>46</v>
      </c>
      <c r="O1118" s="4">
        <v>56</v>
      </c>
      <c r="P1118">
        <v>0</v>
      </c>
      <c r="Q1118" s="4">
        <v>56</v>
      </c>
      <c r="R1118" s="12">
        <f t="shared" si="17"/>
        <v>18480</v>
      </c>
      <c r="T1118" t="s">
        <v>230</v>
      </c>
      <c r="U1118" t="s">
        <v>883</v>
      </c>
      <c r="V1118" s="4">
        <v>330</v>
      </c>
      <c r="W1118">
        <v>0</v>
      </c>
    </row>
    <row r="1119" spans="1:23" hidden="1" x14ac:dyDescent="0.25">
      <c r="A1119" s="2">
        <v>46031.518622685187</v>
      </c>
      <c r="B1119">
        <v>4422</v>
      </c>
      <c r="C1119" t="s">
        <v>881</v>
      </c>
      <c r="D1119" s="3">
        <v>46031</v>
      </c>
      <c r="E1119" s="3">
        <v>46295</v>
      </c>
      <c r="F1119" t="s">
        <v>79</v>
      </c>
      <c r="G1119" t="s">
        <v>1493</v>
      </c>
      <c r="H1119" t="s">
        <v>22</v>
      </c>
      <c r="I1119" t="s">
        <v>38</v>
      </c>
      <c r="J1119" t="s">
        <v>1491</v>
      </c>
      <c r="K1119" t="s">
        <v>24</v>
      </c>
      <c r="L1119" s="4">
        <v>35</v>
      </c>
      <c r="M1119" t="s">
        <v>889</v>
      </c>
      <c r="N1119" t="s">
        <v>46</v>
      </c>
      <c r="O1119" s="4">
        <v>120</v>
      </c>
      <c r="P1119">
        <v>0</v>
      </c>
      <c r="Q1119" s="4">
        <v>120</v>
      </c>
      <c r="R1119" s="12">
        <f t="shared" si="17"/>
        <v>4200</v>
      </c>
      <c r="T1119" t="s">
        <v>230</v>
      </c>
      <c r="U1119" t="s">
        <v>883</v>
      </c>
      <c r="V1119" s="4">
        <v>35</v>
      </c>
      <c r="W1119">
        <v>0</v>
      </c>
    </row>
    <row r="1120" spans="1:23" hidden="1" x14ac:dyDescent="0.25">
      <c r="A1120" s="2">
        <v>46066.692384259259</v>
      </c>
      <c r="B1120">
        <v>4560</v>
      </c>
      <c r="C1120" t="s">
        <v>881</v>
      </c>
      <c r="D1120" s="3">
        <v>46066</v>
      </c>
      <c r="E1120" s="3">
        <v>46295</v>
      </c>
      <c r="F1120" t="s">
        <v>79</v>
      </c>
      <c r="G1120" t="s">
        <v>1493</v>
      </c>
      <c r="H1120" t="s">
        <v>22</v>
      </c>
      <c r="I1120" t="s">
        <v>38</v>
      </c>
      <c r="J1120" t="s">
        <v>1491</v>
      </c>
      <c r="K1120" t="s">
        <v>24</v>
      </c>
      <c r="L1120" s="4">
        <v>35</v>
      </c>
      <c r="M1120" t="s">
        <v>890</v>
      </c>
      <c r="N1120" t="s">
        <v>46</v>
      </c>
      <c r="O1120" s="4">
        <v>150</v>
      </c>
      <c r="P1120">
        <v>0</v>
      </c>
      <c r="Q1120" s="4">
        <v>150</v>
      </c>
      <c r="R1120" s="12">
        <f t="shared" si="17"/>
        <v>5250</v>
      </c>
      <c r="T1120" t="s">
        <v>230</v>
      </c>
      <c r="U1120" t="s">
        <v>883</v>
      </c>
      <c r="V1120" s="4">
        <v>35</v>
      </c>
      <c r="W1120">
        <v>0</v>
      </c>
    </row>
    <row r="1121" spans="1:23" hidden="1" x14ac:dyDescent="0.25">
      <c r="A1121" s="2">
        <v>46066.692384259259</v>
      </c>
      <c r="B1121">
        <v>4560</v>
      </c>
      <c r="C1121" t="s">
        <v>881</v>
      </c>
      <c r="D1121" s="3">
        <v>46066</v>
      </c>
      <c r="E1121" s="3">
        <v>46295</v>
      </c>
      <c r="F1121" t="s">
        <v>79</v>
      </c>
      <c r="G1121" t="s">
        <v>1493</v>
      </c>
      <c r="H1121" t="s">
        <v>22</v>
      </c>
      <c r="I1121" t="s">
        <v>44</v>
      </c>
      <c r="J1121" t="s">
        <v>1491</v>
      </c>
      <c r="K1121" t="s">
        <v>31</v>
      </c>
      <c r="L1121" s="4">
        <v>330</v>
      </c>
      <c r="M1121" t="s">
        <v>890</v>
      </c>
      <c r="N1121" t="s">
        <v>46</v>
      </c>
      <c r="O1121" s="4">
        <v>60</v>
      </c>
      <c r="P1121">
        <v>0</v>
      </c>
      <c r="Q1121" s="4">
        <v>60</v>
      </c>
      <c r="R1121" s="12">
        <f t="shared" si="17"/>
        <v>19800</v>
      </c>
      <c r="T1121" t="s">
        <v>230</v>
      </c>
      <c r="U1121" t="s">
        <v>883</v>
      </c>
      <c r="V1121" s="4">
        <v>330</v>
      </c>
      <c r="W1121">
        <v>0</v>
      </c>
    </row>
    <row r="1122" spans="1:23" x14ac:dyDescent="0.25">
      <c r="A1122" s="2">
        <v>45758.560833333337</v>
      </c>
      <c r="B1122">
        <v>3806</v>
      </c>
      <c r="C1122" t="s">
        <v>891</v>
      </c>
      <c r="D1122" s="3">
        <v>45755</v>
      </c>
      <c r="E1122" s="3">
        <v>46142</v>
      </c>
      <c r="F1122" t="s">
        <v>98</v>
      </c>
      <c r="H1122" t="s">
        <v>22</v>
      </c>
      <c r="I1122" t="s">
        <v>104</v>
      </c>
      <c r="K1122" t="s">
        <v>105</v>
      </c>
      <c r="L1122" s="4">
        <v>1900</v>
      </c>
      <c r="M1122" t="s">
        <v>892</v>
      </c>
      <c r="N1122" t="s">
        <v>26</v>
      </c>
      <c r="O1122" s="4">
        <v>13</v>
      </c>
      <c r="P1122">
        <v>0</v>
      </c>
      <c r="Q1122" s="4">
        <v>13</v>
      </c>
      <c r="R1122" s="12">
        <f t="shared" si="17"/>
        <v>24700</v>
      </c>
      <c r="T1122" t="s">
        <v>151</v>
      </c>
      <c r="U1122" t="s">
        <v>893</v>
      </c>
      <c r="V1122" s="4">
        <v>1900</v>
      </c>
      <c r="W1122">
        <v>0</v>
      </c>
    </row>
    <row r="1123" spans="1:23" x14ac:dyDescent="0.25">
      <c r="A1123" s="2">
        <v>45870.589791666665</v>
      </c>
      <c r="B1123">
        <v>3954</v>
      </c>
      <c r="C1123" t="s">
        <v>891</v>
      </c>
      <c r="D1123" s="3">
        <v>45870</v>
      </c>
      <c r="E1123" s="3">
        <v>46142</v>
      </c>
      <c r="F1123" t="s">
        <v>98</v>
      </c>
      <c r="H1123" t="s">
        <v>22</v>
      </c>
      <c r="I1123" t="s">
        <v>104</v>
      </c>
      <c r="K1123" t="s">
        <v>105</v>
      </c>
      <c r="L1123" s="4">
        <v>1900</v>
      </c>
      <c r="M1123" t="s">
        <v>894</v>
      </c>
      <c r="N1123" t="s">
        <v>26</v>
      </c>
      <c r="O1123" s="4">
        <v>1</v>
      </c>
      <c r="P1123">
        <v>0</v>
      </c>
      <c r="Q1123" s="4">
        <v>1</v>
      </c>
      <c r="R1123" s="12">
        <f t="shared" si="17"/>
        <v>1900</v>
      </c>
      <c r="T1123" t="s">
        <v>151</v>
      </c>
      <c r="U1123" t="s">
        <v>893</v>
      </c>
      <c r="V1123" s="4">
        <v>1900</v>
      </c>
      <c r="W1123">
        <v>0</v>
      </c>
    </row>
    <row r="1124" spans="1:23" hidden="1" x14ac:dyDescent="0.25">
      <c r="A1124" s="2">
        <v>46007.567870370367</v>
      </c>
      <c r="B1124">
        <v>460</v>
      </c>
      <c r="C1124" t="s">
        <v>895</v>
      </c>
      <c r="D1124" s="3">
        <v>46007</v>
      </c>
      <c r="E1124" s="3">
        <v>46008</v>
      </c>
      <c r="F1124" t="s">
        <v>324</v>
      </c>
      <c r="H1124" t="s">
        <v>22</v>
      </c>
      <c r="I1124" t="s">
        <v>80</v>
      </c>
      <c r="K1124" t="s">
        <v>31</v>
      </c>
      <c r="L1124" s="4">
        <v>46</v>
      </c>
      <c r="M1124" t="s">
        <v>896</v>
      </c>
      <c r="N1124" t="s">
        <v>26</v>
      </c>
      <c r="O1124" s="4">
        <v>450</v>
      </c>
      <c r="P1124">
        <v>0</v>
      </c>
      <c r="Q1124" s="4">
        <v>450</v>
      </c>
      <c r="R1124" s="12">
        <f t="shared" si="17"/>
        <v>20700</v>
      </c>
      <c r="T1124" t="s">
        <v>714</v>
      </c>
      <c r="U1124" t="s">
        <v>897</v>
      </c>
      <c r="V1124" s="4">
        <v>46</v>
      </c>
      <c r="W1124">
        <v>0</v>
      </c>
    </row>
    <row r="1125" spans="1:23" hidden="1" x14ac:dyDescent="0.25">
      <c r="A1125" s="2">
        <v>45880.340312499997</v>
      </c>
      <c r="B1125">
        <v>3972</v>
      </c>
      <c r="C1125" t="s">
        <v>898</v>
      </c>
      <c r="D1125" s="3">
        <v>45875</v>
      </c>
      <c r="E1125" s="3">
        <v>45960</v>
      </c>
      <c r="F1125" t="s">
        <v>21</v>
      </c>
      <c r="G1125" t="s">
        <v>1493</v>
      </c>
      <c r="H1125" t="s">
        <v>22</v>
      </c>
      <c r="I1125" t="s">
        <v>101</v>
      </c>
      <c r="J1125" t="s">
        <v>1491</v>
      </c>
      <c r="K1125" t="s">
        <v>31</v>
      </c>
      <c r="L1125" s="4">
        <v>580</v>
      </c>
      <c r="M1125" t="s">
        <v>899</v>
      </c>
      <c r="N1125" t="s">
        <v>26</v>
      </c>
      <c r="O1125" s="4">
        <v>50</v>
      </c>
      <c r="P1125">
        <v>0</v>
      </c>
      <c r="Q1125" s="4">
        <v>50</v>
      </c>
      <c r="R1125" s="12">
        <f t="shared" si="17"/>
        <v>29000</v>
      </c>
      <c r="T1125" t="s">
        <v>27</v>
      </c>
      <c r="U1125" t="s">
        <v>900</v>
      </c>
      <c r="V1125" s="4">
        <v>580</v>
      </c>
      <c r="W1125">
        <v>0</v>
      </c>
    </row>
    <row r="1126" spans="1:23" hidden="1" x14ac:dyDescent="0.25">
      <c r="A1126" s="2">
        <v>45881.617835648147</v>
      </c>
      <c r="B1126">
        <v>3979</v>
      </c>
      <c r="C1126" t="s">
        <v>898</v>
      </c>
      <c r="D1126" s="3">
        <v>45881</v>
      </c>
      <c r="E1126" s="3">
        <v>45960</v>
      </c>
      <c r="F1126" t="s">
        <v>21</v>
      </c>
      <c r="H1126" t="s">
        <v>22</v>
      </c>
      <c r="I1126" t="s">
        <v>80</v>
      </c>
      <c r="K1126" t="s">
        <v>31</v>
      </c>
      <c r="L1126" s="4">
        <v>38</v>
      </c>
      <c r="M1126" t="s">
        <v>901</v>
      </c>
      <c r="N1126" t="s">
        <v>26</v>
      </c>
      <c r="O1126" s="4">
        <v>30</v>
      </c>
      <c r="P1126">
        <v>0</v>
      </c>
      <c r="Q1126" s="4">
        <v>30</v>
      </c>
      <c r="R1126" s="12">
        <f t="shared" si="17"/>
        <v>1140</v>
      </c>
      <c r="T1126" t="s">
        <v>27</v>
      </c>
      <c r="U1126" t="s">
        <v>900</v>
      </c>
      <c r="V1126" s="4">
        <v>38</v>
      </c>
      <c r="W1126">
        <v>0</v>
      </c>
    </row>
    <row r="1127" spans="1:23" hidden="1" x14ac:dyDescent="0.25">
      <c r="A1127" s="2">
        <v>45889.607638888891</v>
      </c>
      <c r="B1127">
        <v>3985</v>
      </c>
      <c r="C1127" t="s">
        <v>898</v>
      </c>
      <c r="D1127" s="3">
        <v>45889</v>
      </c>
      <c r="E1127" s="3">
        <v>45891</v>
      </c>
      <c r="F1127" t="s">
        <v>21</v>
      </c>
      <c r="H1127" t="s">
        <v>22</v>
      </c>
      <c r="I1127" t="s">
        <v>35</v>
      </c>
      <c r="J1127" t="s">
        <v>1490</v>
      </c>
      <c r="K1127" t="s">
        <v>24</v>
      </c>
      <c r="L1127" s="4">
        <v>68.5</v>
      </c>
      <c r="M1127" t="s">
        <v>902</v>
      </c>
      <c r="N1127" t="s">
        <v>26</v>
      </c>
      <c r="O1127" s="4">
        <v>80</v>
      </c>
      <c r="P1127">
        <v>0</v>
      </c>
      <c r="Q1127" s="4">
        <v>80</v>
      </c>
      <c r="R1127" s="12">
        <f t="shared" si="17"/>
        <v>5480</v>
      </c>
      <c r="T1127" t="s">
        <v>27</v>
      </c>
      <c r="U1127" t="s">
        <v>900</v>
      </c>
      <c r="V1127" s="4">
        <v>68.5</v>
      </c>
      <c r="W1127">
        <v>0</v>
      </c>
    </row>
    <row r="1128" spans="1:23" hidden="1" x14ac:dyDescent="0.25">
      <c r="A1128" s="2">
        <v>45889.607638888891</v>
      </c>
      <c r="B1128">
        <v>3985</v>
      </c>
      <c r="C1128" t="s">
        <v>898</v>
      </c>
      <c r="D1128" s="3">
        <v>45889</v>
      </c>
      <c r="E1128" s="3">
        <v>45891</v>
      </c>
      <c r="F1128" t="s">
        <v>21</v>
      </c>
      <c r="H1128" t="s">
        <v>22</v>
      </c>
      <c r="I1128" t="s">
        <v>36</v>
      </c>
      <c r="J1128" t="s">
        <v>1490</v>
      </c>
      <c r="K1128" t="s">
        <v>24</v>
      </c>
      <c r="L1128" s="4">
        <v>68.5</v>
      </c>
      <c r="M1128" t="s">
        <v>902</v>
      </c>
      <c r="N1128" t="s">
        <v>26</v>
      </c>
      <c r="O1128" s="4">
        <v>30</v>
      </c>
      <c r="P1128">
        <v>0</v>
      </c>
      <c r="Q1128" s="4">
        <v>30</v>
      </c>
      <c r="R1128" s="12">
        <f t="shared" si="17"/>
        <v>2055</v>
      </c>
      <c r="T1128" t="s">
        <v>27</v>
      </c>
      <c r="U1128" t="s">
        <v>900</v>
      </c>
      <c r="V1128" s="4">
        <v>68.5</v>
      </c>
      <c r="W1128">
        <v>0</v>
      </c>
    </row>
    <row r="1129" spans="1:23" hidden="1" x14ac:dyDescent="0.25">
      <c r="A1129" s="2">
        <v>45911.388541666667</v>
      </c>
      <c r="B1129">
        <v>4028</v>
      </c>
      <c r="C1129" t="s">
        <v>903</v>
      </c>
      <c r="D1129" s="3">
        <v>45910</v>
      </c>
      <c r="E1129" s="3">
        <v>46142</v>
      </c>
      <c r="F1129" t="s">
        <v>79</v>
      </c>
      <c r="G1129" t="s">
        <v>1493</v>
      </c>
      <c r="H1129" t="s">
        <v>22</v>
      </c>
      <c r="I1129" t="s">
        <v>38</v>
      </c>
      <c r="J1129" t="s">
        <v>1491</v>
      </c>
      <c r="K1129" t="s">
        <v>24</v>
      </c>
      <c r="L1129" s="4">
        <v>35</v>
      </c>
      <c r="M1129" t="s">
        <v>904</v>
      </c>
      <c r="N1129" t="s">
        <v>26</v>
      </c>
      <c r="O1129" s="4">
        <v>531</v>
      </c>
      <c r="P1129">
        <v>0</v>
      </c>
      <c r="Q1129" s="4">
        <v>531</v>
      </c>
      <c r="R1129" s="12">
        <f t="shared" si="17"/>
        <v>18585</v>
      </c>
      <c r="T1129" t="s">
        <v>151</v>
      </c>
      <c r="U1129" t="s">
        <v>905</v>
      </c>
      <c r="V1129" s="4">
        <v>35</v>
      </c>
      <c r="W1129">
        <v>0</v>
      </c>
    </row>
    <row r="1130" spans="1:23" hidden="1" x14ac:dyDescent="0.25">
      <c r="A1130" s="2">
        <v>45911.388541666667</v>
      </c>
      <c r="B1130">
        <v>4028</v>
      </c>
      <c r="C1130" t="s">
        <v>903</v>
      </c>
      <c r="D1130" s="3">
        <v>45910</v>
      </c>
      <c r="E1130" s="3">
        <v>46142</v>
      </c>
      <c r="F1130" t="s">
        <v>79</v>
      </c>
      <c r="G1130" t="s">
        <v>1493</v>
      </c>
      <c r="H1130" t="s">
        <v>22</v>
      </c>
      <c r="I1130" t="s">
        <v>101</v>
      </c>
      <c r="J1130" t="s">
        <v>1491</v>
      </c>
      <c r="K1130" t="s">
        <v>31</v>
      </c>
      <c r="L1130" s="4">
        <v>470</v>
      </c>
      <c r="M1130" t="s">
        <v>904</v>
      </c>
      <c r="N1130" t="s">
        <v>26</v>
      </c>
      <c r="O1130" s="4">
        <v>50</v>
      </c>
      <c r="P1130">
        <v>0</v>
      </c>
      <c r="Q1130" s="4">
        <v>50</v>
      </c>
      <c r="R1130" s="12">
        <f t="shared" si="17"/>
        <v>23500</v>
      </c>
      <c r="T1130" t="s">
        <v>151</v>
      </c>
      <c r="U1130" t="s">
        <v>905</v>
      </c>
      <c r="V1130" s="4">
        <v>470</v>
      </c>
      <c r="W1130">
        <v>0</v>
      </c>
    </row>
    <row r="1131" spans="1:23" hidden="1" x14ac:dyDescent="0.25">
      <c r="A1131" s="2">
        <v>45911.388541666667</v>
      </c>
      <c r="B1131">
        <v>4028</v>
      </c>
      <c r="C1131" t="s">
        <v>903</v>
      </c>
      <c r="D1131" s="3">
        <v>45910</v>
      </c>
      <c r="E1131" s="3">
        <v>46142</v>
      </c>
      <c r="F1131" t="s">
        <v>79</v>
      </c>
      <c r="G1131" t="s">
        <v>1493</v>
      </c>
      <c r="H1131" t="s">
        <v>22</v>
      </c>
      <c r="I1131" t="s">
        <v>43</v>
      </c>
      <c r="J1131" t="s">
        <v>1491</v>
      </c>
      <c r="K1131" t="s">
        <v>24</v>
      </c>
      <c r="L1131" s="4">
        <v>30</v>
      </c>
      <c r="M1131" t="s">
        <v>904</v>
      </c>
      <c r="N1131" t="s">
        <v>26</v>
      </c>
      <c r="O1131" s="4">
        <v>1431</v>
      </c>
      <c r="P1131">
        <v>0</v>
      </c>
      <c r="Q1131" s="4">
        <v>1431</v>
      </c>
      <c r="R1131" s="12">
        <f t="shared" si="17"/>
        <v>42930</v>
      </c>
      <c r="T1131" t="s">
        <v>151</v>
      </c>
      <c r="U1131" t="s">
        <v>905</v>
      </c>
      <c r="V1131" s="4">
        <v>30</v>
      </c>
      <c r="W1131">
        <v>0</v>
      </c>
    </row>
    <row r="1132" spans="1:23" hidden="1" x14ac:dyDescent="0.25">
      <c r="A1132" s="2">
        <v>45911.388541666667</v>
      </c>
      <c r="B1132">
        <v>4028</v>
      </c>
      <c r="C1132" t="s">
        <v>903</v>
      </c>
      <c r="D1132" s="3">
        <v>45910</v>
      </c>
      <c r="E1132" s="3">
        <v>46142</v>
      </c>
      <c r="F1132" t="s">
        <v>79</v>
      </c>
      <c r="G1132" t="s">
        <v>1493</v>
      </c>
      <c r="H1132" t="s">
        <v>22</v>
      </c>
      <c r="I1132" t="s">
        <v>44</v>
      </c>
      <c r="J1132" t="s">
        <v>1491</v>
      </c>
      <c r="K1132" t="s">
        <v>31</v>
      </c>
      <c r="L1132" s="4">
        <v>330</v>
      </c>
      <c r="M1132" t="s">
        <v>904</v>
      </c>
      <c r="N1132" t="s">
        <v>26</v>
      </c>
      <c r="O1132" s="4">
        <v>50</v>
      </c>
      <c r="P1132">
        <v>0</v>
      </c>
      <c r="Q1132" s="4">
        <v>50</v>
      </c>
      <c r="R1132" s="12">
        <f t="shared" si="17"/>
        <v>16500</v>
      </c>
      <c r="T1132" t="s">
        <v>151</v>
      </c>
      <c r="U1132" t="s">
        <v>905</v>
      </c>
      <c r="V1132" s="4">
        <v>330</v>
      </c>
      <c r="W1132">
        <v>0</v>
      </c>
    </row>
    <row r="1133" spans="1:23" hidden="1" x14ac:dyDescent="0.25">
      <c r="A1133" s="2">
        <v>45911.388541666667</v>
      </c>
      <c r="B1133">
        <v>4028</v>
      </c>
      <c r="C1133" t="s">
        <v>903</v>
      </c>
      <c r="D1133" s="3">
        <v>45910</v>
      </c>
      <c r="E1133" s="3">
        <v>46142</v>
      </c>
      <c r="F1133" t="s">
        <v>79</v>
      </c>
      <c r="G1133" t="s">
        <v>1493</v>
      </c>
      <c r="H1133" t="s">
        <v>22</v>
      </c>
      <c r="I1133" t="s">
        <v>41</v>
      </c>
      <c r="J1133" t="s">
        <v>1491</v>
      </c>
      <c r="K1133" t="s">
        <v>24</v>
      </c>
      <c r="L1133" s="4">
        <v>270</v>
      </c>
      <c r="M1133" t="s">
        <v>904</v>
      </c>
      <c r="N1133" t="s">
        <v>26</v>
      </c>
      <c r="O1133" s="4">
        <v>75</v>
      </c>
      <c r="P1133">
        <v>0</v>
      </c>
      <c r="Q1133" s="4">
        <v>75</v>
      </c>
      <c r="R1133" s="12">
        <f t="shared" si="17"/>
        <v>20250</v>
      </c>
      <c r="T1133" t="s">
        <v>151</v>
      </c>
      <c r="U1133" t="s">
        <v>905</v>
      </c>
      <c r="V1133" s="4">
        <v>270</v>
      </c>
      <c r="W1133">
        <v>0</v>
      </c>
    </row>
    <row r="1134" spans="1:23" hidden="1" x14ac:dyDescent="0.25">
      <c r="A1134" s="2">
        <v>46020.690196759257</v>
      </c>
      <c r="B1134">
        <v>4391</v>
      </c>
      <c r="C1134" t="s">
        <v>903</v>
      </c>
      <c r="D1134" s="3">
        <v>45911</v>
      </c>
      <c r="E1134" s="3">
        <v>46142</v>
      </c>
      <c r="F1134" t="s">
        <v>79</v>
      </c>
      <c r="G1134" t="s">
        <v>1493</v>
      </c>
      <c r="H1134" t="s">
        <v>22</v>
      </c>
      <c r="I1134" t="s">
        <v>201</v>
      </c>
      <c r="J1134" t="s">
        <v>1491</v>
      </c>
      <c r="K1134" t="s">
        <v>24</v>
      </c>
      <c r="L1134" s="4">
        <v>60</v>
      </c>
      <c r="M1134" t="s">
        <v>904</v>
      </c>
      <c r="N1134" t="s">
        <v>46</v>
      </c>
      <c r="O1134" s="4">
        <v>200</v>
      </c>
      <c r="P1134">
        <v>0</v>
      </c>
      <c r="Q1134" s="4">
        <v>200</v>
      </c>
      <c r="R1134" s="12">
        <f t="shared" si="17"/>
        <v>12000</v>
      </c>
      <c r="T1134" t="s">
        <v>151</v>
      </c>
      <c r="U1134" t="s">
        <v>905</v>
      </c>
      <c r="V1134" s="4">
        <v>60</v>
      </c>
      <c r="W1134">
        <v>0</v>
      </c>
    </row>
    <row r="1135" spans="1:23" hidden="1" x14ac:dyDescent="0.25">
      <c r="A1135" s="2">
        <v>45945.450671296298</v>
      </c>
      <c r="B1135">
        <v>4163</v>
      </c>
      <c r="C1135" t="s">
        <v>903</v>
      </c>
      <c r="D1135" s="3">
        <v>45945</v>
      </c>
      <c r="E1135" s="3">
        <v>46142</v>
      </c>
      <c r="F1135" t="s">
        <v>79</v>
      </c>
      <c r="G1135" t="s">
        <v>1493</v>
      </c>
      <c r="H1135" t="s">
        <v>22</v>
      </c>
      <c r="I1135" t="s">
        <v>44</v>
      </c>
      <c r="J1135" t="s">
        <v>1491</v>
      </c>
      <c r="K1135" t="s">
        <v>31</v>
      </c>
      <c r="L1135" s="4">
        <v>330</v>
      </c>
      <c r="M1135" t="s">
        <v>906</v>
      </c>
      <c r="N1135" t="s">
        <v>26</v>
      </c>
      <c r="O1135" s="4">
        <v>50</v>
      </c>
      <c r="P1135">
        <v>0</v>
      </c>
      <c r="Q1135" s="4">
        <v>50</v>
      </c>
      <c r="R1135" s="12">
        <f t="shared" si="17"/>
        <v>16500</v>
      </c>
      <c r="T1135" t="s">
        <v>151</v>
      </c>
      <c r="U1135" t="s">
        <v>905</v>
      </c>
      <c r="V1135" s="4">
        <v>330</v>
      </c>
      <c r="W1135">
        <v>0</v>
      </c>
    </row>
    <row r="1136" spans="1:23" hidden="1" x14ac:dyDescent="0.25">
      <c r="A1136" s="2">
        <v>45950.680138888885</v>
      </c>
      <c r="B1136">
        <v>4189</v>
      </c>
      <c r="C1136" t="s">
        <v>903</v>
      </c>
      <c r="D1136" s="3">
        <v>45950</v>
      </c>
      <c r="E1136" s="3">
        <v>46142</v>
      </c>
      <c r="F1136" t="s">
        <v>143</v>
      </c>
      <c r="G1136" t="s">
        <v>1493</v>
      </c>
      <c r="H1136" t="s">
        <v>22</v>
      </c>
      <c r="I1136" t="s">
        <v>43</v>
      </c>
      <c r="J1136" t="s">
        <v>1491</v>
      </c>
      <c r="K1136" t="s">
        <v>24</v>
      </c>
      <c r="L1136" s="4">
        <v>30</v>
      </c>
      <c r="M1136" t="s">
        <v>907</v>
      </c>
      <c r="N1136" t="s">
        <v>26</v>
      </c>
      <c r="O1136" s="4">
        <v>111</v>
      </c>
      <c r="P1136">
        <v>0</v>
      </c>
      <c r="Q1136" s="4">
        <v>111</v>
      </c>
      <c r="R1136" s="12">
        <f t="shared" si="17"/>
        <v>3330</v>
      </c>
      <c r="T1136" t="s">
        <v>151</v>
      </c>
      <c r="U1136" t="s">
        <v>905</v>
      </c>
      <c r="V1136" s="4">
        <v>30</v>
      </c>
      <c r="W1136">
        <v>0</v>
      </c>
    </row>
    <row r="1137" spans="1:23" hidden="1" x14ac:dyDescent="0.25">
      <c r="A1137" s="2">
        <v>45968.466666666667</v>
      </c>
      <c r="B1137">
        <v>4245</v>
      </c>
      <c r="C1137" t="s">
        <v>903</v>
      </c>
      <c r="D1137" s="3">
        <v>45968</v>
      </c>
      <c r="E1137" s="3">
        <v>46142</v>
      </c>
      <c r="F1137" t="s">
        <v>79</v>
      </c>
      <c r="H1137" t="s">
        <v>22</v>
      </c>
      <c r="I1137" t="s">
        <v>908</v>
      </c>
      <c r="K1137" t="s">
        <v>24</v>
      </c>
      <c r="L1137" s="4">
        <v>21.66</v>
      </c>
      <c r="M1137" t="s">
        <v>909</v>
      </c>
      <c r="N1137" t="s">
        <v>26</v>
      </c>
      <c r="O1137" s="4">
        <v>468</v>
      </c>
      <c r="P1137">
        <v>0</v>
      </c>
      <c r="Q1137" s="4">
        <v>468</v>
      </c>
      <c r="R1137" s="12">
        <f t="shared" si="17"/>
        <v>10136.879999999999</v>
      </c>
      <c r="T1137" t="s">
        <v>151</v>
      </c>
      <c r="U1137" t="s">
        <v>905</v>
      </c>
      <c r="V1137" s="4">
        <v>21.66</v>
      </c>
      <c r="W1137">
        <v>0</v>
      </c>
    </row>
    <row r="1138" spans="1:23" hidden="1" x14ac:dyDescent="0.25">
      <c r="A1138" s="2">
        <v>45968.466666666667</v>
      </c>
      <c r="B1138">
        <v>4245</v>
      </c>
      <c r="C1138" t="s">
        <v>903</v>
      </c>
      <c r="D1138" s="3">
        <v>45968</v>
      </c>
      <c r="E1138" s="3">
        <v>46142</v>
      </c>
      <c r="F1138" t="s">
        <v>79</v>
      </c>
      <c r="H1138" t="s">
        <v>22</v>
      </c>
      <c r="I1138" t="s">
        <v>171</v>
      </c>
      <c r="K1138" t="s">
        <v>24</v>
      </c>
      <c r="L1138" s="4">
        <v>21.66</v>
      </c>
      <c r="M1138" t="s">
        <v>909</v>
      </c>
      <c r="N1138" t="s">
        <v>26</v>
      </c>
      <c r="O1138" s="4">
        <v>360</v>
      </c>
      <c r="P1138">
        <v>0</v>
      </c>
      <c r="Q1138" s="4">
        <v>360</v>
      </c>
      <c r="R1138" s="12">
        <f t="shared" si="17"/>
        <v>7797.6</v>
      </c>
      <c r="T1138" t="s">
        <v>151</v>
      </c>
      <c r="U1138" t="s">
        <v>905</v>
      </c>
      <c r="V1138" s="4">
        <v>21.66</v>
      </c>
      <c r="W1138">
        <v>0</v>
      </c>
    </row>
    <row r="1139" spans="1:23" hidden="1" x14ac:dyDescent="0.25">
      <c r="A1139" s="2">
        <v>45982.59238425926</v>
      </c>
      <c r="B1139">
        <v>4286</v>
      </c>
      <c r="C1139" t="s">
        <v>903</v>
      </c>
      <c r="D1139" s="3">
        <v>45982</v>
      </c>
      <c r="E1139" s="3">
        <v>46142</v>
      </c>
      <c r="F1139" t="s">
        <v>79</v>
      </c>
      <c r="G1139" t="s">
        <v>1493</v>
      </c>
      <c r="H1139" t="s">
        <v>22</v>
      </c>
      <c r="I1139" t="s">
        <v>38</v>
      </c>
      <c r="J1139" t="s">
        <v>1491</v>
      </c>
      <c r="K1139" t="s">
        <v>24</v>
      </c>
      <c r="L1139" s="4">
        <v>35</v>
      </c>
      <c r="M1139" t="s">
        <v>910</v>
      </c>
      <c r="N1139" t="s">
        <v>26</v>
      </c>
      <c r="O1139" s="4">
        <v>12</v>
      </c>
      <c r="P1139">
        <v>0</v>
      </c>
      <c r="Q1139" s="4">
        <v>12</v>
      </c>
      <c r="R1139" s="12">
        <f t="shared" si="17"/>
        <v>420</v>
      </c>
      <c r="T1139" t="s">
        <v>151</v>
      </c>
      <c r="U1139" t="s">
        <v>905</v>
      </c>
      <c r="V1139" s="4">
        <v>35</v>
      </c>
      <c r="W1139">
        <v>0</v>
      </c>
    </row>
    <row r="1140" spans="1:23" hidden="1" x14ac:dyDescent="0.25">
      <c r="A1140" s="2">
        <v>46031.517361111109</v>
      </c>
      <c r="B1140">
        <v>4421</v>
      </c>
      <c r="C1140" t="s">
        <v>903</v>
      </c>
      <c r="D1140" s="3">
        <v>46031</v>
      </c>
      <c r="E1140" s="3">
        <v>46295</v>
      </c>
      <c r="F1140" t="s">
        <v>79</v>
      </c>
      <c r="G1140" t="s">
        <v>1493</v>
      </c>
      <c r="H1140" t="s">
        <v>22</v>
      </c>
      <c r="I1140" t="s">
        <v>38</v>
      </c>
      <c r="J1140" t="s">
        <v>1491</v>
      </c>
      <c r="K1140" t="s">
        <v>24</v>
      </c>
      <c r="L1140" s="4">
        <v>35</v>
      </c>
      <c r="M1140" t="s">
        <v>911</v>
      </c>
      <c r="N1140" t="s">
        <v>46</v>
      </c>
      <c r="O1140" s="4">
        <v>111</v>
      </c>
      <c r="P1140">
        <v>0</v>
      </c>
      <c r="Q1140" s="4">
        <v>111</v>
      </c>
      <c r="R1140" s="12">
        <f t="shared" si="17"/>
        <v>3885</v>
      </c>
      <c r="T1140" t="s">
        <v>151</v>
      </c>
      <c r="U1140" t="s">
        <v>905</v>
      </c>
      <c r="V1140" s="4">
        <v>35</v>
      </c>
      <c r="W1140">
        <v>0</v>
      </c>
    </row>
    <row r="1141" spans="1:23" hidden="1" x14ac:dyDescent="0.25">
      <c r="A1141" s="2">
        <v>46031.517361111109</v>
      </c>
      <c r="B1141">
        <v>4421</v>
      </c>
      <c r="C1141" t="s">
        <v>903</v>
      </c>
      <c r="D1141" s="3">
        <v>46031</v>
      </c>
      <c r="E1141" s="3">
        <v>46295</v>
      </c>
      <c r="F1141" t="s">
        <v>79</v>
      </c>
      <c r="G1141" t="s">
        <v>1493</v>
      </c>
      <c r="H1141" t="s">
        <v>22</v>
      </c>
      <c r="I1141" t="s">
        <v>44</v>
      </c>
      <c r="J1141" t="s">
        <v>1491</v>
      </c>
      <c r="K1141" t="s">
        <v>31</v>
      </c>
      <c r="L1141" s="4">
        <v>330</v>
      </c>
      <c r="M1141" t="s">
        <v>911</v>
      </c>
      <c r="N1141" t="s">
        <v>46</v>
      </c>
      <c r="O1141" s="4">
        <v>20</v>
      </c>
      <c r="P1141">
        <v>0</v>
      </c>
      <c r="Q1141" s="4">
        <v>20</v>
      </c>
      <c r="R1141" s="12">
        <f t="shared" si="17"/>
        <v>6600</v>
      </c>
      <c r="T1141" t="s">
        <v>151</v>
      </c>
      <c r="U1141" t="s">
        <v>905</v>
      </c>
      <c r="V1141" s="4">
        <v>330</v>
      </c>
      <c r="W1141">
        <v>0</v>
      </c>
    </row>
    <row r="1142" spans="1:23" hidden="1" x14ac:dyDescent="0.25">
      <c r="A1142" s="2">
        <v>46052.412719907406</v>
      </c>
      <c r="B1142">
        <v>4508</v>
      </c>
      <c r="C1142" t="s">
        <v>903</v>
      </c>
      <c r="D1142" s="3">
        <v>46052</v>
      </c>
      <c r="E1142" s="3">
        <v>46295</v>
      </c>
      <c r="F1142" t="s">
        <v>79</v>
      </c>
      <c r="G1142" t="s">
        <v>1493</v>
      </c>
      <c r="H1142" t="s">
        <v>22</v>
      </c>
      <c r="I1142" t="s">
        <v>44</v>
      </c>
      <c r="J1142" t="s">
        <v>1491</v>
      </c>
      <c r="K1142" t="s">
        <v>31</v>
      </c>
      <c r="L1142" s="4">
        <v>330</v>
      </c>
      <c r="M1142" t="s">
        <v>912</v>
      </c>
      <c r="N1142" t="s">
        <v>46</v>
      </c>
      <c r="O1142" s="4">
        <v>66</v>
      </c>
      <c r="P1142">
        <v>0</v>
      </c>
      <c r="Q1142" s="4">
        <v>66</v>
      </c>
      <c r="R1142" s="12">
        <f t="shared" si="17"/>
        <v>21780</v>
      </c>
      <c r="T1142" t="s">
        <v>151</v>
      </c>
      <c r="U1142" t="s">
        <v>905</v>
      </c>
      <c r="V1142" s="4">
        <v>330</v>
      </c>
      <c r="W1142">
        <v>0</v>
      </c>
    </row>
    <row r="1143" spans="1:23" hidden="1" x14ac:dyDescent="0.25">
      <c r="A1143" s="2">
        <v>46052.412719907406</v>
      </c>
      <c r="B1143">
        <v>4508</v>
      </c>
      <c r="C1143" t="s">
        <v>903</v>
      </c>
      <c r="D1143" s="3">
        <v>46052</v>
      </c>
      <c r="E1143" s="3">
        <v>46295</v>
      </c>
      <c r="F1143" t="s">
        <v>79</v>
      </c>
      <c r="G1143" t="s">
        <v>1493</v>
      </c>
      <c r="H1143" t="s">
        <v>22</v>
      </c>
      <c r="I1143" t="s">
        <v>38</v>
      </c>
      <c r="J1143" t="s">
        <v>1491</v>
      </c>
      <c r="K1143" t="s">
        <v>24</v>
      </c>
      <c r="L1143" s="4">
        <v>35</v>
      </c>
      <c r="M1143" t="s">
        <v>912</v>
      </c>
      <c r="N1143" t="s">
        <v>46</v>
      </c>
      <c r="O1143" s="4">
        <v>132</v>
      </c>
      <c r="P1143">
        <v>0</v>
      </c>
      <c r="Q1143" s="4">
        <v>132</v>
      </c>
      <c r="R1143" s="12">
        <f t="shared" si="17"/>
        <v>4620</v>
      </c>
      <c r="T1143" t="s">
        <v>151</v>
      </c>
      <c r="U1143" t="s">
        <v>905</v>
      </c>
      <c r="V1143" s="4">
        <v>35</v>
      </c>
      <c r="W1143">
        <v>0</v>
      </c>
    </row>
    <row r="1144" spans="1:23" hidden="1" x14ac:dyDescent="0.25">
      <c r="A1144" s="2">
        <v>45764.59412037037</v>
      </c>
      <c r="B1144">
        <v>196</v>
      </c>
      <c r="C1144" t="s">
        <v>913</v>
      </c>
      <c r="D1144" s="3">
        <v>45764</v>
      </c>
      <c r="E1144" s="3">
        <v>46142</v>
      </c>
      <c r="F1144" t="s">
        <v>52</v>
      </c>
      <c r="H1144" t="s">
        <v>22</v>
      </c>
      <c r="I1144" t="s">
        <v>863</v>
      </c>
      <c r="K1144" t="s">
        <v>31</v>
      </c>
      <c r="L1144" s="4">
        <v>60</v>
      </c>
      <c r="M1144" t="s">
        <v>914</v>
      </c>
      <c r="N1144" t="s">
        <v>26</v>
      </c>
      <c r="O1144" s="4">
        <v>70</v>
      </c>
      <c r="P1144">
        <v>0</v>
      </c>
      <c r="Q1144" s="4">
        <v>70</v>
      </c>
      <c r="R1144" s="12">
        <f t="shared" si="17"/>
        <v>4200</v>
      </c>
      <c r="T1144" t="s">
        <v>55</v>
      </c>
      <c r="U1144" t="s">
        <v>915</v>
      </c>
      <c r="V1144" s="4">
        <v>60</v>
      </c>
      <c r="W1144">
        <v>0</v>
      </c>
    </row>
    <row r="1145" spans="1:23" hidden="1" x14ac:dyDescent="0.25">
      <c r="A1145" s="2">
        <v>45764.59412037037</v>
      </c>
      <c r="B1145">
        <v>196</v>
      </c>
      <c r="C1145" t="s">
        <v>913</v>
      </c>
      <c r="D1145" s="3">
        <v>45764</v>
      </c>
      <c r="E1145" s="3">
        <v>46142</v>
      </c>
      <c r="F1145" t="s">
        <v>52</v>
      </c>
      <c r="H1145" t="s">
        <v>22</v>
      </c>
      <c r="I1145" t="s">
        <v>89</v>
      </c>
      <c r="K1145" t="s">
        <v>31</v>
      </c>
      <c r="L1145" s="4">
        <v>19.5</v>
      </c>
      <c r="M1145" t="s">
        <v>914</v>
      </c>
      <c r="N1145" t="s">
        <v>26</v>
      </c>
      <c r="O1145" s="4">
        <v>330</v>
      </c>
      <c r="P1145">
        <v>0</v>
      </c>
      <c r="Q1145" s="4">
        <v>330</v>
      </c>
      <c r="R1145" s="12">
        <f t="shared" si="17"/>
        <v>6435</v>
      </c>
      <c r="T1145" t="s">
        <v>55</v>
      </c>
      <c r="U1145" t="s">
        <v>915</v>
      </c>
      <c r="V1145" s="4">
        <v>19.5</v>
      </c>
      <c r="W1145">
        <v>0</v>
      </c>
    </row>
    <row r="1146" spans="1:23" hidden="1" x14ac:dyDescent="0.25">
      <c r="A1146" s="2">
        <v>45764.59412037037</v>
      </c>
      <c r="B1146">
        <v>196</v>
      </c>
      <c r="C1146" t="s">
        <v>913</v>
      </c>
      <c r="D1146" s="3">
        <v>45764</v>
      </c>
      <c r="E1146" s="3">
        <v>46142</v>
      </c>
      <c r="F1146" t="s">
        <v>52</v>
      </c>
      <c r="H1146" t="s">
        <v>22</v>
      </c>
      <c r="I1146" t="s">
        <v>276</v>
      </c>
      <c r="K1146" t="s">
        <v>31</v>
      </c>
      <c r="L1146" s="4">
        <v>22.5</v>
      </c>
      <c r="M1146" t="s">
        <v>914</v>
      </c>
      <c r="N1146" t="s">
        <v>26</v>
      </c>
      <c r="O1146" s="4">
        <v>330</v>
      </c>
      <c r="P1146">
        <v>0</v>
      </c>
      <c r="Q1146" s="4">
        <v>330</v>
      </c>
      <c r="R1146" s="12">
        <f t="shared" si="17"/>
        <v>7425</v>
      </c>
      <c r="T1146" t="s">
        <v>55</v>
      </c>
      <c r="U1146" t="s">
        <v>915</v>
      </c>
      <c r="V1146" s="4">
        <v>22.5</v>
      </c>
      <c r="W1146">
        <v>0</v>
      </c>
    </row>
    <row r="1147" spans="1:23" hidden="1" x14ac:dyDescent="0.25">
      <c r="A1147" s="2">
        <v>45764.59412037037</v>
      </c>
      <c r="B1147">
        <v>196</v>
      </c>
      <c r="C1147" t="s">
        <v>913</v>
      </c>
      <c r="D1147" s="3">
        <v>45764</v>
      </c>
      <c r="E1147" s="3">
        <v>46142</v>
      </c>
      <c r="F1147" t="s">
        <v>52</v>
      </c>
      <c r="H1147" t="s">
        <v>22</v>
      </c>
      <c r="I1147" t="s">
        <v>277</v>
      </c>
      <c r="K1147" t="s">
        <v>31</v>
      </c>
      <c r="L1147" s="4">
        <v>235</v>
      </c>
      <c r="M1147" t="s">
        <v>914</v>
      </c>
      <c r="N1147" t="s">
        <v>26</v>
      </c>
      <c r="O1147" s="4">
        <v>2</v>
      </c>
      <c r="P1147">
        <v>0</v>
      </c>
      <c r="Q1147" s="4">
        <v>2</v>
      </c>
      <c r="R1147" s="12">
        <f t="shared" si="17"/>
        <v>470</v>
      </c>
      <c r="T1147" t="s">
        <v>55</v>
      </c>
      <c r="U1147" t="s">
        <v>915</v>
      </c>
      <c r="V1147" s="4">
        <v>235</v>
      </c>
      <c r="W1147">
        <v>0</v>
      </c>
    </row>
    <row r="1148" spans="1:23" hidden="1" x14ac:dyDescent="0.25">
      <c r="A1148" s="2">
        <v>45764.59412037037</v>
      </c>
      <c r="B1148">
        <v>196</v>
      </c>
      <c r="C1148" t="s">
        <v>913</v>
      </c>
      <c r="D1148" s="3">
        <v>45764</v>
      </c>
      <c r="E1148" s="3">
        <v>46142</v>
      </c>
      <c r="F1148" t="s">
        <v>52</v>
      </c>
      <c r="H1148" t="s">
        <v>22</v>
      </c>
      <c r="I1148" t="s">
        <v>177</v>
      </c>
      <c r="J1148" t="s">
        <v>1490</v>
      </c>
      <c r="K1148" t="s">
        <v>24</v>
      </c>
      <c r="L1148" s="4">
        <v>20</v>
      </c>
      <c r="M1148" t="s">
        <v>914</v>
      </c>
      <c r="N1148" t="s">
        <v>26</v>
      </c>
      <c r="O1148" s="4">
        <v>140</v>
      </c>
      <c r="P1148">
        <v>0</v>
      </c>
      <c r="Q1148" s="4">
        <v>140</v>
      </c>
      <c r="R1148" s="12">
        <f t="shared" si="17"/>
        <v>2800</v>
      </c>
      <c r="T1148" t="s">
        <v>55</v>
      </c>
      <c r="U1148" t="s">
        <v>915</v>
      </c>
      <c r="V1148" s="4">
        <v>20</v>
      </c>
      <c r="W1148">
        <v>0</v>
      </c>
    </row>
    <row r="1149" spans="1:23" hidden="1" x14ac:dyDescent="0.25">
      <c r="A1149" s="2">
        <v>45764.59412037037</v>
      </c>
      <c r="B1149">
        <v>196</v>
      </c>
      <c r="C1149" t="s">
        <v>913</v>
      </c>
      <c r="D1149" s="3">
        <v>45764</v>
      </c>
      <c r="E1149" s="3">
        <v>46142</v>
      </c>
      <c r="F1149" t="s">
        <v>52</v>
      </c>
      <c r="H1149" t="s">
        <v>22</v>
      </c>
      <c r="I1149" t="s">
        <v>37</v>
      </c>
      <c r="J1149" t="s">
        <v>1490</v>
      </c>
      <c r="K1149" t="s">
        <v>31</v>
      </c>
      <c r="L1149" s="4">
        <v>70</v>
      </c>
      <c r="M1149" t="s">
        <v>914</v>
      </c>
      <c r="N1149" t="s">
        <v>26</v>
      </c>
      <c r="O1149" s="4">
        <v>42</v>
      </c>
      <c r="P1149">
        <v>0</v>
      </c>
      <c r="Q1149" s="4">
        <v>42</v>
      </c>
      <c r="R1149" s="12">
        <f t="shared" si="17"/>
        <v>2940</v>
      </c>
      <c r="T1149" t="s">
        <v>55</v>
      </c>
      <c r="U1149" t="s">
        <v>915</v>
      </c>
      <c r="V1149" s="4">
        <v>70</v>
      </c>
      <c r="W1149">
        <v>0</v>
      </c>
    </row>
    <row r="1150" spans="1:23" hidden="1" x14ac:dyDescent="0.25">
      <c r="A1150" s="2">
        <v>45764.59412037037</v>
      </c>
      <c r="B1150">
        <v>196</v>
      </c>
      <c r="C1150" t="s">
        <v>913</v>
      </c>
      <c r="D1150" s="3">
        <v>45764</v>
      </c>
      <c r="E1150" s="3">
        <v>46142</v>
      </c>
      <c r="F1150" t="s">
        <v>52</v>
      </c>
      <c r="H1150" t="s">
        <v>22</v>
      </c>
      <c r="I1150" t="s">
        <v>281</v>
      </c>
      <c r="K1150" t="s">
        <v>31</v>
      </c>
      <c r="L1150" s="4">
        <v>32</v>
      </c>
      <c r="M1150" t="s">
        <v>914</v>
      </c>
      <c r="N1150" t="s">
        <v>26</v>
      </c>
      <c r="O1150" s="4">
        <v>180</v>
      </c>
      <c r="P1150">
        <v>0</v>
      </c>
      <c r="Q1150" s="4">
        <v>180</v>
      </c>
      <c r="R1150" s="12">
        <f t="shared" si="17"/>
        <v>5760</v>
      </c>
      <c r="T1150" t="s">
        <v>55</v>
      </c>
      <c r="U1150" t="s">
        <v>915</v>
      </c>
      <c r="V1150" s="4">
        <v>32</v>
      </c>
      <c r="W1150">
        <v>0</v>
      </c>
    </row>
    <row r="1151" spans="1:23" hidden="1" x14ac:dyDescent="0.25">
      <c r="A1151" s="2">
        <v>45764.59412037037</v>
      </c>
      <c r="B1151">
        <v>196</v>
      </c>
      <c r="C1151" t="s">
        <v>913</v>
      </c>
      <c r="D1151" s="3">
        <v>45764</v>
      </c>
      <c r="E1151" s="3">
        <v>46142</v>
      </c>
      <c r="F1151" t="s">
        <v>52</v>
      </c>
      <c r="H1151" t="s">
        <v>22</v>
      </c>
      <c r="I1151" t="s">
        <v>355</v>
      </c>
      <c r="K1151" t="s">
        <v>31</v>
      </c>
      <c r="L1151" s="4">
        <v>175</v>
      </c>
      <c r="M1151" t="s">
        <v>914</v>
      </c>
      <c r="N1151" t="s">
        <v>26</v>
      </c>
      <c r="O1151" s="4">
        <v>40</v>
      </c>
      <c r="P1151">
        <v>0</v>
      </c>
      <c r="Q1151" s="4">
        <v>40</v>
      </c>
      <c r="R1151" s="12">
        <f t="shared" si="17"/>
        <v>7000</v>
      </c>
      <c r="T1151" t="s">
        <v>55</v>
      </c>
      <c r="U1151" t="s">
        <v>915</v>
      </c>
      <c r="V1151" s="4">
        <v>175</v>
      </c>
      <c r="W1151">
        <v>0</v>
      </c>
    </row>
    <row r="1152" spans="1:23" hidden="1" x14ac:dyDescent="0.25">
      <c r="A1152" s="2">
        <v>45764.59412037037</v>
      </c>
      <c r="B1152">
        <v>196</v>
      </c>
      <c r="C1152" t="s">
        <v>913</v>
      </c>
      <c r="D1152" s="3">
        <v>45764</v>
      </c>
      <c r="E1152" s="3">
        <v>46142</v>
      </c>
      <c r="F1152" t="s">
        <v>52</v>
      </c>
      <c r="H1152" t="s">
        <v>22</v>
      </c>
      <c r="I1152" t="s">
        <v>356</v>
      </c>
      <c r="K1152" t="s">
        <v>24</v>
      </c>
      <c r="L1152" s="4">
        <v>16.5</v>
      </c>
      <c r="M1152" t="s">
        <v>914</v>
      </c>
      <c r="N1152" t="s">
        <v>26</v>
      </c>
      <c r="O1152" s="4">
        <v>250</v>
      </c>
      <c r="P1152">
        <v>0</v>
      </c>
      <c r="Q1152" s="4">
        <v>250</v>
      </c>
      <c r="R1152" s="12">
        <f t="shared" si="17"/>
        <v>4125</v>
      </c>
      <c r="T1152" t="s">
        <v>55</v>
      </c>
      <c r="U1152" t="s">
        <v>915</v>
      </c>
      <c r="V1152" s="4">
        <v>16.5</v>
      </c>
      <c r="W1152">
        <v>0</v>
      </c>
    </row>
    <row r="1153" spans="1:23" hidden="1" x14ac:dyDescent="0.25">
      <c r="A1153" s="2">
        <v>45764.59412037037</v>
      </c>
      <c r="B1153">
        <v>196</v>
      </c>
      <c r="C1153" t="s">
        <v>913</v>
      </c>
      <c r="D1153" s="3">
        <v>45764</v>
      </c>
      <c r="E1153" s="3">
        <v>46142</v>
      </c>
      <c r="F1153" t="s">
        <v>52</v>
      </c>
      <c r="H1153" t="s">
        <v>22</v>
      </c>
      <c r="I1153" t="s">
        <v>42</v>
      </c>
      <c r="J1153" t="s">
        <v>1490</v>
      </c>
      <c r="K1153" t="s">
        <v>24</v>
      </c>
      <c r="L1153" s="4">
        <v>200</v>
      </c>
      <c r="M1153" t="s">
        <v>914</v>
      </c>
      <c r="N1153" t="s">
        <v>26</v>
      </c>
      <c r="O1153" s="4">
        <v>25</v>
      </c>
      <c r="P1153">
        <v>0</v>
      </c>
      <c r="Q1153" s="4">
        <v>25</v>
      </c>
      <c r="R1153" s="12">
        <f t="shared" si="17"/>
        <v>5000</v>
      </c>
      <c r="T1153" t="s">
        <v>55</v>
      </c>
      <c r="U1153" t="s">
        <v>915</v>
      </c>
      <c r="V1153" s="4">
        <v>200</v>
      </c>
      <c r="W1153">
        <v>0</v>
      </c>
    </row>
    <row r="1154" spans="1:23" hidden="1" x14ac:dyDescent="0.25">
      <c r="A1154" s="2">
        <v>45764.59412037037</v>
      </c>
      <c r="B1154">
        <v>196</v>
      </c>
      <c r="C1154" t="s">
        <v>913</v>
      </c>
      <c r="D1154" s="3">
        <v>45764</v>
      </c>
      <c r="E1154" s="3">
        <v>46142</v>
      </c>
      <c r="F1154" t="s">
        <v>52</v>
      </c>
      <c r="H1154" t="s">
        <v>22</v>
      </c>
      <c r="I1154" t="s">
        <v>279</v>
      </c>
      <c r="K1154" t="s">
        <v>31</v>
      </c>
      <c r="L1154" s="4">
        <v>235</v>
      </c>
      <c r="M1154" t="s">
        <v>914</v>
      </c>
      <c r="N1154" t="s">
        <v>26</v>
      </c>
      <c r="O1154" s="4">
        <v>70</v>
      </c>
      <c r="P1154">
        <v>0</v>
      </c>
      <c r="Q1154" s="4">
        <v>70</v>
      </c>
      <c r="R1154" s="12">
        <f t="shared" si="17"/>
        <v>16450</v>
      </c>
      <c r="T1154" t="s">
        <v>55</v>
      </c>
      <c r="U1154" t="s">
        <v>915</v>
      </c>
      <c r="V1154" s="4">
        <v>235</v>
      </c>
      <c r="W1154">
        <v>0</v>
      </c>
    </row>
    <row r="1155" spans="1:23" hidden="1" x14ac:dyDescent="0.25">
      <c r="A1155" s="2">
        <v>45764.59412037037</v>
      </c>
      <c r="B1155">
        <v>196</v>
      </c>
      <c r="C1155" t="s">
        <v>913</v>
      </c>
      <c r="D1155" s="3">
        <v>45764</v>
      </c>
      <c r="E1155" s="3">
        <v>46142</v>
      </c>
      <c r="F1155" t="s">
        <v>52</v>
      </c>
      <c r="H1155" t="s">
        <v>22</v>
      </c>
      <c r="I1155" t="s">
        <v>280</v>
      </c>
      <c r="K1155" t="s">
        <v>24</v>
      </c>
      <c r="L1155" s="4">
        <v>22.5</v>
      </c>
      <c r="M1155" t="s">
        <v>914</v>
      </c>
      <c r="N1155" t="s">
        <v>26</v>
      </c>
      <c r="O1155" s="4">
        <v>220</v>
      </c>
      <c r="P1155">
        <v>0</v>
      </c>
      <c r="Q1155" s="4">
        <v>220</v>
      </c>
      <c r="R1155" s="12">
        <f t="shared" ref="R1155:R1218" si="18">Q1155*L1155</f>
        <v>4950</v>
      </c>
      <c r="T1155" t="s">
        <v>55</v>
      </c>
      <c r="U1155" t="s">
        <v>915</v>
      </c>
      <c r="V1155" s="4">
        <v>22.5</v>
      </c>
      <c r="W1155">
        <v>0</v>
      </c>
    </row>
    <row r="1156" spans="1:23" hidden="1" x14ac:dyDescent="0.25">
      <c r="A1156" s="2">
        <v>45769.600046296298</v>
      </c>
      <c r="B1156">
        <v>199</v>
      </c>
      <c r="C1156" t="s">
        <v>913</v>
      </c>
      <c r="D1156" s="3">
        <v>45769</v>
      </c>
      <c r="E1156" s="3">
        <v>46142</v>
      </c>
      <c r="F1156" t="s">
        <v>52</v>
      </c>
      <c r="H1156" t="s">
        <v>22</v>
      </c>
      <c r="I1156" t="s">
        <v>281</v>
      </c>
      <c r="K1156" t="s">
        <v>31</v>
      </c>
      <c r="L1156" s="4">
        <v>32</v>
      </c>
      <c r="M1156" t="s">
        <v>916</v>
      </c>
      <c r="N1156" t="s">
        <v>26</v>
      </c>
      <c r="O1156" s="4">
        <v>110</v>
      </c>
      <c r="P1156">
        <v>0</v>
      </c>
      <c r="Q1156" s="4">
        <v>110</v>
      </c>
      <c r="R1156" s="12">
        <f t="shared" si="18"/>
        <v>3520</v>
      </c>
      <c r="T1156" t="s">
        <v>55</v>
      </c>
      <c r="U1156" t="s">
        <v>915</v>
      </c>
      <c r="V1156" s="4">
        <v>32</v>
      </c>
      <c r="W1156">
        <v>0</v>
      </c>
    </row>
    <row r="1157" spans="1:23" hidden="1" x14ac:dyDescent="0.25">
      <c r="A1157" s="2">
        <v>45769.600046296298</v>
      </c>
      <c r="B1157">
        <v>199</v>
      </c>
      <c r="C1157" t="s">
        <v>913</v>
      </c>
      <c r="D1157" s="3">
        <v>45769</v>
      </c>
      <c r="E1157" s="3">
        <v>46142</v>
      </c>
      <c r="F1157" t="s">
        <v>52</v>
      </c>
      <c r="H1157" t="s">
        <v>22</v>
      </c>
      <c r="I1157" t="s">
        <v>276</v>
      </c>
      <c r="K1157" t="s">
        <v>31</v>
      </c>
      <c r="L1157" s="4">
        <v>22.5</v>
      </c>
      <c r="M1157" t="s">
        <v>916</v>
      </c>
      <c r="N1157" t="s">
        <v>26</v>
      </c>
      <c r="O1157" s="4">
        <v>210</v>
      </c>
      <c r="P1157">
        <v>0</v>
      </c>
      <c r="Q1157" s="4">
        <v>210</v>
      </c>
      <c r="R1157" s="12">
        <f t="shared" si="18"/>
        <v>4725</v>
      </c>
      <c r="T1157" t="s">
        <v>55</v>
      </c>
      <c r="U1157" t="s">
        <v>915</v>
      </c>
      <c r="V1157" s="4">
        <v>22.5</v>
      </c>
      <c r="W1157">
        <v>0</v>
      </c>
    </row>
    <row r="1158" spans="1:23" hidden="1" x14ac:dyDescent="0.25">
      <c r="A1158" s="2">
        <v>45769.600046296298</v>
      </c>
      <c r="B1158">
        <v>199</v>
      </c>
      <c r="C1158" t="s">
        <v>913</v>
      </c>
      <c r="D1158" s="3">
        <v>45769</v>
      </c>
      <c r="E1158" s="3">
        <v>46142</v>
      </c>
      <c r="F1158" t="s">
        <v>52</v>
      </c>
      <c r="H1158" t="s">
        <v>22</v>
      </c>
      <c r="I1158" t="s">
        <v>37</v>
      </c>
      <c r="J1158" t="s">
        <v>1490</v>
      </c>
      <c r="K1158" t="s">
        <v>31</v>
      </c>
      <c r="L1158" s="4">
        <v>70</v>
      </c>
      <c r="M1158" t="s">
        <v>916</v>
      </c>
      <c r="N1158" t="s">
        <v>26</v>
      </c>
      <c r="O1158" s="4">
        <v>18</v>
      </c>
      <c r="P1158">
        <v>0</v>
      </c>
      <c r="Q1158" s="4">
        <v>18</v>
      </c>
      <c r="R1158" s="12">
        <f t="shared" si="18"/>
        <v>1260</v>
      </c>
      <c r="T1158" t="s">
        <v>55</v>
      </c>
      <c r="U1158" t="s">
        <v>915</v>
      </c>
      <c r="V1158" s="4">
        <v>70</v>
      </c>
      <c r="W1158">
        <v>0</v>
      </c>
    </row>
    <row r="1159" spans="1:23" hidden="1" x14ac:dyDescent="0.25">
      <c r="A1159" s="2">
        <v>45769.600046296298</v>
      </c>
      <c r="B1159">
        <v>199</v>
      </c>
      <c r="C1159" t="s">
        <v>913</v>
      </c>
      <c r="D1159" s="3">
        <v>45769</v>
      </c>
      <c r="E1159" s="3">
        <v>46142</v>
      </c>
      <c r="F1159" t="s">
        <v>52</v>
      </c>
      <c r="H1159" t="s">
        <v>22</v>
      </c>
      <c r="I1159" t="s">
        <v>863</v>
      </c>
      <c r="K1159" t="s">
        <v>31</v>
      </c>
      <c r="L1159" s="4">
        <v>60</v>
      </c>
      <c r="M1159" t="s">
        <v>916</v>
      </c>
      <c r="N1159" t="s">
        <v>26</v>
      </c>
      <c r="O1159" s="4">
        <v>40</v>
      </c>
      <c r="P1159">
        <v>0</v>
      </c>
      <c r="Q1159" s="4">
        <v>40</v>
      </c>
      <c r="R1159" s="12">
        <f t="shared" si="18"/>
        <v>2400</v>
      </c>
      <c r="T1159" t="s">
        <v>55</v>
      </c>
      <c r="U1159" t="s">
        <v>915</v>
      </c>
      <c r="V1159" s="4">
        <v>60</v>
      </c>
      <c r="W1159">
        <v>0</v>
      </c>
    </row>
    <row r="1160" spans="1:23" hidden="1" x14ac:dyDescent="0.25">
      <c r="A1160" s="2">
        <v>45769.600046296298</v>
      </c>
      <c r="B1160">
        <v>199</v>
      </c>
      <c r="C1160" t="s">
        <v>913</v>
      </c>
      <c r="D1160" s="3">
        <v>45769</v>
      </c>
      <c r="E1160" s="3">
        <v>46142</v>
      </c>
      <c r="F1160" t="s">
        <v>52</v>
      </c>
      <c r="H1160" t="s">
        <v>22</v>
      </c>
      <c r="I1160" t="s">
        <v>280</v>
      </c>
      <c r="K1160" t="s">
        <v>24</v>
      </c>
      <c r="L1160" s="4">
        <v>22.5</v>
      </c>
      <c r="M1160" t="s">
        <v>916</v>
      </c>
      <c r="N1160" t="s">
        <v>26</v>
      </c>
      <c r="O1160" s="4">
        <v>140</v>
      </c>
      <c r="P1160">
        <v>0</v>
      </c>
      <c r="Q1160" s="4">
        <v>140</v>
      </c>
      <c r="R1160" s="12">
        <f t="shared" si="18"/>
        <v>3150</v>
      </c>
      <c r="T1160" t="s">
        <v>55</v>
      </c>
      <c r="U1160" t="s">
        <v>915</v>
      </c>
      <c r="V1160" s="4">
        <v>22.5</v>
      </c>
      <c r="W1160">
        <v>0</v>
      </c>
    </row>
    <row r="1161" spans="1:23" hidden="1" x14ac:dyDescent="0.25">
      <c r="A1161" s="2">
        <v>45769.600046296298</v>
      </c>
      <c r="B1161">
        <v>199</v>
      </c>
      <c r="C1161" t="s">
        <v>913</v>
      </c>
      <c r="D1161" s="3">
        <v>45769</v>
      </c>
      <c r="E1161" s="3">
        <v>46142</v>
      </c>
      <c r="F1161" t="s">
        <v>52</v>
      </c>
      <c r="H1161" t="s">
        <v>22</v>
      </c>
      <c r="I1161" t="s">
        <v>356</v>
      </c>
      <c r="K1161" t="s">
        <v>24</v>
      </c>
      <c r="L1161" s="4">
        <v>16.5</v>
      </c>
      <c r="M1161" t="s">
        <v>916</v>
      </c>
      <c r="N1161" t="s">
        <v>26</v>
      </c>
      <c r="O1161" s="4">
        <v>125</v>
      </c>
      <c r="P1161">
        <v>0</v>
      </c>
      <c r="Q1161" s="4">
        <v>125</v>
      </c>
      <c r="R1161" s="12">
        <f t="shared" si="18"/>
        <v>2062.5</v>
      </c>
      <c r="T1161" t="s">
        <v>55</v>
      </c>
      <c r="U1161" t="s">
        <v>915</v>
      </c>
      <c r="V1161" s="4">
        <v>16.5</v>
      </c>
      <c r="W1161">
        <v>0</v>
      </c>
    </row>
    <row r="1162" spans="1:23" hidden="1" x14ac:dyDescent="0.25">
      <c r="A1162" s="2">
        <v>45769.600046296298</v>
      </c>
      <c r="B1162">
        <v>199</v>
      </c>
      <c r="C1162" t="s">
        <v>913</v>
      </c>
      <c r="D1162" s="3">
        <v>45769</v>
      </c>
      <c r="E1162" s="3">
        <v>46142</v>
      </c>
      <c r="F1162" t="s">
        <v>52</v>
      </c>
      <c r="H1162" t="s">
        <v>22</v>
      </c>
      <c r="I1162" t="s">
        <v>42</v>
      </c>
      <c r="J1162" t="s">
        <v>1490</v>
      </c>
      <c r="K1162" t="s">
        <v>24</v>
      </c>
      <c r="L1162" s="4">
        <v>200</v>
      </c>
      <c r="M1162" t="s">
        <v>916</v>
      </c>
      <c r="N1162" t="s">
        <v>26</v>
      </c>
      <c r="O1162" s="4">
        <v>15</v>
      </c>
      <c r="P1162">
        <v>0</v>
      </c>
      <c r="Q1162" s="4">
        <v>15</v>
      </c>
      <c r="R1162" s="12">
        <f t="shared" si="18"/>
        <v>3000</v>
      </c>
      <c r="T1162" t="s">
        <v>55</v>
      </c>
      <c r="U1162" t="s">
        <v>915</v>
      </c>
      <c r="V1162" s="4">
        <v>200</v>
      </c>
      <c r="W1162">
        <v>0</v>
      </c>
    </row>
    <row r="1163" spans="1:23" hidden="1" x14ac:dyDescent="0.25">
      <c r="A1163" s="2">
        <v>45769.600046296298</v>
      </c>
      <c r="B1163">
        <v>199</v>
      </c>
      <c r="C1163" t="s">
        <v>913</v>
      </c>
      <c r="D1163" s="3">
        <v>45769</v>
      </c>
      <c r="E1163" s="3">
        <v>46142</v>
      </c>
      <c r="F1163" t="s">
        <v>52</v>
      </c>
      <c r="H1163" t="s">
        <v>22</v>
      </c>
      <c r="I1163" t="s">
        <v>177</v>
      </c>
      <c r="J1163" t="s">
        <v>1490</v>
      </c>
      <c r="K1163" t="s">
        <v>24</v>
      </c>
      <c r="L1163" s="4">
        <v>20</v>
      </c>
      <c r="M1163" t="s">
        <v>916</v>
      </c>
      <c r="N1163" t="s">
        <v>26</v>
      </c>
      <c r="O1163" s="4">
        <v>40</v>
      </c>
      <c r="P1163">
        <v>0</v>
      </c>
      <c r="Q1163" s="4">
        <v>40</v>
      </c>
      <c r="R1163" s="12">
        <f t="shared" si="18"/>
        <v>800</v>
      </c>
      <c r="T1163" t="s">
        <v>55</v>
      </c>
      <c r="U1163" t="s">
        <v>915</v>
      </c>
      <c r="V1163" s="4">
        <v>20</v>
      </c>
      <c r="W1163">
        <v>0</v>
      </c>
    </row>
    <row r="1164" spans="1:23" hidden="1" x14ac:dyDescent="0.25">
      <c r="A1164" s="2">
        <v>45769.600046296298</v>
      </c>
      <c r="B1164">
        <v>199</v>
      </c>
      <c r="C1164" t="s">
        <v>913</v>
      </c>
      <c r="D1164" s="3">
        <v>45769</v>
      </c>
      <c r="E1164" s="3">
        <v>46142</v>
      </c>
      <c r="F1164" t="s">
        <v>52</v>
      </c>
      <c r="H1164" t="s">
        <v>22</v>
      </c>
      <c r="I1164" t="s">
        <v>89</v>
      </c>
      <c r="K1164" t="s">
        <v>31</v>
      </c>
      <c r="L1164" s="4">
        <v>19.5</v>
      </c>
      <c r="M1164" t="s">
        <v>916</v>
      </c>
      <c r="N1164" t="s">
        <v>26</v>
      </c>
      <c r="O1164" s="4">
        <v>210</v>
      </c>
      <c r="P1164">
        <v>0</v>
      </c>
      <c r="Q1164" s="4">
        <v>210</v>
      </c>
      <c r="R1164" s="12">
        <f t="shared" si="18"/>
        <v>4095</v>
      </c>
      <c r="T1164" t="s">
        <v>55</v>
      </c>
      <c r="U1164" t="s">
        <v>915</v>
      </c>
      <c r="V1164" s="4">
        <v>19.5</v>
      </c>
      <c r="W1164">
        <v>0</v>
      </c>
    </row>
    <row r="1165" spans="1:23" hidden="1" x14ac:dyDescent="0.25">
      <c r="A1165" s="2">
        <v>45769.600046296298</v>
      </c>
      <c r="B1165">
        <v>199</v>
      </c>
      <c r="C1165" t="s">
        <v>913</v>
      </c>
      <c r="D1165" s="3">
        <v>45769</v>
      </c>
      <c r="E1165" s="3">
        <v>46142</v>
      </c>
      <c r="F1165" t="s">
        <v>52</v>
      </c>
      <c r="H1165" t="s">
        <v>22</v>
      </c>
      <c r="I1165" t="s">
        <v>355</v>
      </c>
      <c r="K1165" t="s">
        <v>31</v>
      </c>
      <c r="L1165" s="4">
        <v>175</v>
      </c>
      <c r="M1165" t="s">
        <v>916</v>
      </c>
      <c r="N1165" t="s">
        <v>26</v>
      </c>
      <c r="O1165" s="4">
        <v>20</v>
      </c>
      <c r="P1165">
        <v>0</v>
      </c>
      <c r="Q1165" s="4">
        <v>20</v>
      </c>
      <c r="R1165" s="12">
        <f t="shared" si="18"/>
        <v>3500</v>
      </c>
      <c r="T1165" t="s">
        <v>55</v>
      </c>
      <c r="U1165" t="s">
        <v>915</v>
      </c>
      <c r="V1165" s="4">
        <v>175</v>
      </c>
      <c r="W1165">
        <v>0</v>
      </c>
    </row>
    <row r="1166" spans="1:23" hidden="1" x14ac:dyDescent="0.25">
      <c r="A1166" s="2">
        <v>45922.639074074075</v>
      </c>
      <c r="B1166">
        <v>309</v>
      </c>
      <c r="C1166" t="s">
        <v>913</v>
      </c>
      <c r="D1166" s="3">
        <v>45922</v>
      </c>
      <c r="E1166" s="3">
        <v>46142</v>
      </c>
      <c r="F1166" t="s">
        <v>52</v>
      </c>
      <c r="H1166" t="s">
        <v>22</v>
      </c>
      <c r="I1166" t="s">
        <v>30</v>
      </c>
      <c r="J1166" t="s">
        <v>1490</v>
      </c>
      <c r="K1166" t="s">
        <v>31</v>
      </c>
      <c r="L1166" s="4">
        <v>22</v>
      </c>
      <c r="M1166" t="s">
        <v>917</v>
      </c>
      <c r="N1166" t="s">
        <v>26</v>
      </c>
      <c r="O1166" s="4">
        <v>200</v>
      </c>
      <c r="P1166">
        <v>0</v>
      </c>
      <c r="Q1166" s="4">
        <v>200</v>
      </c>
      <c r="R1166" s="12">
        <f t="shared" si="18"/>
        <v>4400</v>
      </c>
      <c r="T1166" t="s">
        <v>55</v>
      </c>
      <c r="U1166" t="s">
        <v>915</v>
      </c>
      <c r="V1166" s="4">
        <v>22</v>
      </c>
      <c r="W1166">
        <v>0</v>
      </c>
    </row>
    <row r="1167" spans="1:23" hidden="1" x14ac:dyDescent="0.25">
      <c r="A1167" s="2">
        <v>45922.639074074075</v>
      </c>
      <c r="B1167">
        <v>309</v>
      </c>
      <c r="C1167" t="s">
        <v>913</v>
      </c>
      <c r="D1167" s="3">
        <v>45922</v>
      </c>
      <c r="E1167" s="3">
        <v>46142</v>
      </c>
      <c r="F1167" t="s">
        <v>52</v>
      </c>
      <c r="H1167" t="s">
        <v>22</v>
      </c>
      <c r="I1167" t="s">
        <v>23</v>
      </c>
      <c r="J1167" t="s">
        <v>1490</v>
      </c>
      <c r="K1167" t="s">
        <v>24</v>
      </c>
      <c r="L1167" s="4">
        <v>16</v>
      </c>
      <c r="M1167" t="s">
        <v>917</v>
      </c>
      <c r="N1167" t="s">
        <v>26</v>
      </c>
      <c r="O1167" s="4">
        <v>200</v>
      </c>
      <c r="P1167">
        <v>0</v>
      </c>
      <c r="Q1167" s="4">
        <v>200</v>
      </c>
      <c r="R1167" s="12">
        <f t="shared" si="18"/>
        <v>3200</v>
      </c>
      <c r="T1167" t="s">
        <v>55</v>
      </c>
      <c r="U1167" t="s">
        <v>915</v>
      </c>
      <c r="V1167" s="4">
        <v>16</v>
      </c>
      <c r="W1167">
        <v>0</v>
      </c>
    </row>
    <row r="1168" spans="1:23" hidden="1" x14ac:dyDescent="0.25">
      <c r="A1168" s="2">
        <v>45922.639074074075</v>
      </c>
      <c r="B1168">
        <v>309</v>
      </c>
      <c r="C1168" t="s">
        <v>913</v>
      </c>
      <c r="D1168" s="3">
        <v>45922</v>
      </c>
      <c r="E1168" s="3">
        <v>46142</v>
      </c>
      <c r="F1168" t="s">
        <v>52</v>
      </c>
      <c r="H1168" t="s">
        <v>22</v>
      </c>
      <c r="I1168" t="s">
        <v>29</v>
      </c>
      <c r="J1168" t="s">
        <v>1490</v>
      </c>
      <c r="K1168" t="s">
        <v>24</v>
      </c>
      <c r="L1168" s="4">
        <v>137</v>
      </c>
      <c r="M1168" t="s">
        <v>917</v>
      </c>
      <c r="N1168" t="s">
        <v>26</v>
      </c>
      <c r="O1168" s="4">
        <v>60</v>
      </c>
      <c r="P1168">
        <v>0</v>
      </c>
      <c r="Q1168" s="4">
        <v>60</v>
      </c>
      <c r="R1168" s="12">
        <f t="shared" si="18"/>
        <v>8220</v>
      </c>
      <c r="T1168" t="s">
        <v>55</v>
      </c>
      <c r="U1168" t="s">
        <v>915</v>
      </c>
      <c r="V1168" s="4">
        <v>137</v>
      </c>
      <c r="W1168">
        <v>0</v>
      </c>
    </row>
    <row r="1169" spans="1:23" hidden="1" x14ac:dyDescent="0.25">
      <c r="A1169" s="2">
        <v>45922.639074074075</v>
      </c>
      <c r="B1169">
        <v>309</v>
      </c>
      <c r="C1169" t="s">
        <v>913</v>
      </c>
      <c r="D1169" s="3">
        <v>45922</v>
      </c>
      <c r="E1169" s="3">
        <v>46142</v>
      </c>
      <c r="F1169" t="s">
        <v>52</v>
      </c>
      <c r="H1169" t="s">
        <v>22</v>
      </c>
      <c r="I1169" t="s">
        <v>37</v>
      </c>
      <c r="J1169" t="s">
        <v>1490</v>
      </c>
      <c r="K1169" t="s">
        <v>31</v>
      </c>
      <c r="L1169" s="4">
        <v>70</v>
      </c>
      <c r="M1169" t="s">
        <v>917</v>
      </c>
      <c r="N1169" t="s">
        <v>26</v>
      </c>
      <c r="O1169" s="4">
        <v>42</v>
      </c>
      <c r="P1169">
        <v>0</v>
      </c>
      <c r="Q1169" s="4">
        <v>42</v>
      </c>
      <c r="R1169" s="12">
        <f t="shared" si="18"/>
        <v>2940</v>
      </c>
      <c r="T1169" t="s">
        <v>55</v>
      </c>
      <c r="U1169" t="s">
        <v>915</v>
      </c>
      <c r="V1169" s="4">
        <v>70</v>
      </c>
      <c r="W1169">
        <v>0</v>
      </c>
    </row>
    <row r="1170" spans="1:23" hidden="1" x14ac:dyDescent="0.25">
      <c r="A1170" s="2">
        <v>45922.639074074075</v>
      </c>
      <c r="B1170">
        <v>309</v>
      </c>
      <c r="C1170" t="s">
        <v>913</v>
      </c>
      <c r="D1170" s="3">
        <v>45922</v>
      </c>
      <c r="E1170" s="3">
        <v>46142</v>
      </c>
      <c r="F1170" t="s">
        <v>52</v>
      </c>
      <c r="H1170" t="s">
        <v>22</v>
      </c>
      <c r="I1170" t="s">
        <v>177</v>
      </c>
      <c r="J1170" t="s">
        <v>1490</v>
      </c>
      <c r="K1170" t="s">
        <v>24</v>
      </c>
      <c r="L1170" s="4">
        <v>22</v>
      </c>
      <c r="M1170" t="s">
        <v>917</v>
      </c>
      <c r="N1170" t="s">
        <v>26</v>
      </c>
      <c r="O1170" s="4">
        <v>100</v>
      </c>
      <c r="P1170">
        <v>0</v>
      </c>
      <c r="Q1170" s="4">
        <v>100</v>
      </c>
      <c r="R1170" s="12">
        <f t="shared" si="18"/>
        <v>2200</v>
      </c>
      <c r="T1170" t="s">
        <v>55</v>
      </c>
      <c r="U1170" t="s">
        <v>915</v>
      </c>
      <c r="V1170" s="4">
        <v>22</v>
      </c>
      <c r="W1170">
        <v>0</v>
      </c>
    </row>
    <row r="1171" spans="1:23" hidden="1" x14ac:dyDescent="0.25">
      <c r="A1171" s="2">
        <v>45922.639074074075</v>
      </c>
      <c r="B1171">
        <v>309</v>
      </c>
      <c r="C1171" t="s">
        <v>913</v>
      </c>
      <c r="D1171" s="3">
        <v>45922</v>
      </c>
      <c r="E1171" s="3">
        <v>46142</v>
      </c>
      <c r="F1171" t="s">
        <v>52</v>
      </c>
      <c r="H1171" t="s">
        <v>22</v>
      </c>
      <c r="I1171" t="s">
        <v>192</v>
      </c>
      <c r="J1171" t="s">
        <v>1490</v>
      </c>
      <c r="K1171" t="s">
        <v>24</v>
      </c>
      <c r="L1171" s="4">
        <v>16</v>
      </c>
      <c r="M1171" t="s">
        <v>917</v>
      </c>
      <c r="N1171" t="s">
        <v>26</v>
      </c>
      <c r="O1171" s="4">
        <v>200</v>
      </c>
      <c r="P1171">
        <v>0</v>
      </c>
      <c r="Q1171" s="4">
        <v>200</v>
      </c>
      <c r="R1171" s="12">
        <f t="shared" si="18"/>
        <v>3200</v>
      </c>
      <c r="T1171" t="s">
        <v>55</v>
      </c>
      <c r="U1171" t="s">
        <v>915</v>
      </c>
      <c r="V1171" s="4">
        <v>16</v>
      </c>
      <c r="W1171">
        <v>0</v>
      </c>
    </row>
    <row r="1172" spans="1:23" hidden="1" x14ac:dyDescent="0.25">
      <c r="A1172" s="2">
        <v>45922.639074074075</v>
      </c>
      <c r="B1172">
        <v>309</v>
      </c>
      <c r="C1172" t="s">
        <v>913</v>
      </c>
      <c r="D1172" s="3">
        <v>45922</v>
      </c>
      <c r="E1172" s="3">
        <v>46142</v>
      </c>
      <c r="F1172" t="s">
        <v>52</v>
      </c>
      <c r="H1172" t="s">
        <v>22</v>
      </c>
      <c r="I1172" t="s">
        <v>191</v>
      </c>
      <c r="J1172" t="s">
        <v>1490</v>
      </c>
      <c r="K1172" t="s">
        <v>31</v>
      </c>
      <c r="L1172" s="4">
        <v>18</v>
      </c>
      <c r="M1172" t="s">
        <v>917</v>
      </c>
      <c r="N1172" t="s">
        <v>26</v>
      </c>
      <c r="O1172" s="4">
        <v>300</v>
      </c>
      <c r="P1172">
        <v>0</v>
      </c>
      <c r="Q1172" s="4">
        <v>300</v>
      </c>
      <c r="R1172" s="12">
        <f t="shared" si="18"/>
        <v>5400</v>
      </c>
      <c r="T1172" t="s">
        <v>55</v>
      </c>
      <c r="U1172" t="s">
        <v>915</v>
      </c>
      <c r="V1172" s="4">
        <v>18</v>
      </c>
      <c r="W1172">
        <v>0</v>
      </c>
    </row>
    <row r="1173" spans="1:23" hidden="1" x14ac:dyDescent="0.25">
      <c r="A1173" s="2">
        <v>45922.639074074075</v>
      </c>
      <c r="B1173">
        <v>309</v>
      </c>
      <c r="C1173" t="s">
        <v>913</v>
      </c>
      <c r="D1173" s="3">
        <v>45922</v>
      </c>
      <c r="E1173" s="3">
        <v>46142</v>
      </c>
      <c r="F1173" t="s">
        <v>52</v>
      </c>
      <c r="H1173" t="s">
        <v>22</v>
      </c>
      <c r="I1173" t="s">
        <v>32</v>
      </c>
      <c r="J1173" t="s">
        <v>1490</v>
      </c>
      <c r="K1173" t="s">
        <v>24</v>
      </c>
      <c r="L1173" s="4">
        <v>22</v>
      </c>
      <c r="M1173" t="s">
        <v>917</v>
      </c>
      <c r="N1173" t="s">
        <v>26</v>
      </c>
      <c r="O1173" s="4">
        <v>200</v>
      </c>
      <c r="P1173">
        <v>0</v>
      </c>
      <c r="Q1173" s="4">
        <v>200</v>
      </c>
      <c r="R1173" s="12">
        <f t="shared" si="18"/>
        <v>4400</v>
      </c>
      <c r="T1173" t="s">
        <v>55</v>
      </c>
      <c r="U1173" t="s">
        <v>915</v>
      </c>
      <c r="V1173" s="4">
        <v>22</v>
      </c>
      <c r="W1173">
        <v>0</v>
      </c>
    </row>
    <row r="1174" spans="1:23" hidden="1" x14ac:dyDescent="0.25">
      <c r="A1174" s="2">
        <v>45922.639074074075</v>
      </c>
      <c r="B1174">
        <v>309</v>
      </c>
      <c r="C1174" t="s">
        <v>913</v>
      </c>
      <c r="D1174" s="3">
        <v>45922</v>
      </c>
      <c r="E1174" s="3">
        <v>46142</v>
      </c>
      <c r="F1174" t="s">
        <v>52</v>
      </c>
      <c r="H1174" t="s">
        <v>22</v>
      </c>
      <c r="I1174" t="s">
        <v>34</v>
      </c>
      <c r="J1174" t="s">
        <v>1490</v>
      </c>
      <c r="K1174" t="s">
        <v>31</v>
      </c>
      <c r="L1174" s="4">
        <v>20</v>
      </c>
      <c r="M1174" t="s">
        <v>917</v>
      </c>
      <c r="N1174" t="s">
        <v>26</v>
      </c>
      <c r="O1174" s="4">
        <v>200</v>
      </c>
      <c r="P1174">
        <v>0</v>
      </c>
      <c r="Q1174" s="4">
        <v>200</v>
      </c>
      <c r="R1174" s="12">
        <f t="shared" si="18"/>
        <v>4000</v>
      </c>
      <c r="T1174" t="s">
        <v>55</v>
      </c>
      <c r="U1174" t="s">
        <v>915</v>
      </c>
      <c r="V1174" s="4">
        <v>20</v>
      </c>
      <c r="W1174">
        <v>0</v>
      </c>
    </row>
    <row r="1175" spans="1:23" hidden="1" x14ac:dyDescent="0.25">
      <c r="A1175" s="2">
        <v>45922.639074074075</v>
      </c>
      <c r="B1175">
        <v>309</v>
      </c>
      <c r="C1175" t="s">
        <v>913</v>
      </c>
      <c r="D1175" s="3">
        <v>45922</v>
      </c>
      <c r="E1175" s="3">
        <v>46142</v>
      </c>
      <c r="F1175" t="s">
        <v>52</v>
      </c>
      <c r="H1175" t="s">
        <v>22</v>
      </c>
      <c r="I1175" t="s">
        <v>42</v>
      </c>
      <c r="J1175" t="s">
        <v>1490</v>
      </c>
      <c r="K1175" t="s">
        <v>24</v>
      </c>
      <c r="L1175" s="4">
        <v>219</v>
      </c>
      <c r="M1175" t="s">
        <v>917</v>
      </c>
      <c r="N1175" t="s">
        <v>26</v>
      </c>
      <c r="O1175" s="4">
        <v>20</v>
      </c>
      <c r="P1175">
        <v>0</v>
      </c>
      <c r="Q1175" s="4">
        <v>20</v>
      </c>
      <c r="R1175" s="12">
        <f t="shared" si="18"/>
        <v>4380</v>
      </c>
      <c r="T1175" t="s">
        <v>55</v>
      </c>
      <c r="U1175" t="s">
        <v>915</v>
      </c>
      <c r="V1175" s="4">
        <v>219</v>
      </c>
      <c r="W1175">
        <v>0</v>
      </c>
    </row>
    <row r="1176" spans="1:23" hidden="1" x14ac:dyDescent="0.25">
      <c r="A1176" s="2">
        <v>46087.32234953704</v>
      </c>
      <c r="B1176">
        <v>572</v>
      </c>
      <c r="C1176" t="s">
        <v>913</v>
      </c>
      <c r="D1176" s="3">
        <v>46087</v>
      </c>
      <c r="E1176" s="3">
        <v>46264</v>
      </c>
      <c r="F1176" t="s">
        <v>52</v>
      </c>
      <c r="H1176" t="s">
        <v>22</v>
      </c>
      <c r="I1176" t="s">
        <v>177</v>
      </c>
      <c r="J1176" t="s">
        <v>1490</v>
      </c>
      <c r="K1176" t="s">
        <v>24</v>
      </c>
      <c r="L1176" s="4">
        <v>24</v>
      </c>
      <c r="M1176" t="s">
        <v>918</v>
      </c>
      <c r="N1176" t="s">
        <v>46</v>
      </c>
      <c r="O1176" s="4">
        <v>40</v>
      </c>
      <c r="P1176">
        <v>0</v>
      </c>
      <c r="Q1176" s="4">
        <v>40</v>
      </c>
      <c r="R1176" s="12">
        <f t="shared" si="18"/>
        <v>960</v>
      </c>
      <c r="T1176" t="s">
        <v>55</v>
      </c>
      <c r="U1176" t="s">
        <v>915</v>
      </c>
      <c r="V1176" s="4">
        <v>24</v>
      </c>
      <c r="W1176">
        <v>0</v>
      </c>
    </row>
    <row r="1177" spans="1:23" hidden="1" x14ac:dyDescent="0.25">
      <c r="A1177" s="2">
        <v>45792.616678240738</v>
      </c>
      <c r="B1177">
        <v>3843</v>
      </c>
      <c r="C1177" t="s">
        <v>919</v>
      </c>
      <c r="D1177" s="3">
        <v>45791</v>
      </c>
      <c r="E1177" s="3">
        <v>45930</v>
      </c>
      <c r="F1177" t="s">
        <v>21</v>
      </c>
      <c r="G1177" t="s">
        <v>1493</v>
      </c>
      <c r="H1177" t="s">
        <v>22</v>
      </c>
      <c r="I1177" t="s">
        <v>41</v>
      </c>
      <c r="J1177" t="s">
        <v>1491</v>
      </c>
      <c r="K1177" t="s">
        <v>24</v>
      </c>
      <c r="L1177" s="4">
        <v>298</v>
      </c>
      <c r="M1177" t="s">
        <v>920</v>
      </c>
      <c r="N1177" t="s">
        <v>26</v>
      </c>
      <c r="O1177" s="4">
        <v>500</v>
      </c>
      <c r="P1177">
        <v>0</v>
      </c>
      <c r="Q1177" s="4">
        <v>500</v>
      </c>
      <c r="R1177" s="12">
        <f t="shared" si="18"/>
        <v>149000</v>
      </c>
      <c r="T1177" t="s">
        <v>27</v>
      </c>
      <c r="U1177" t="s">
        <v>921</v>
      </c>
      <c r="V1177" s="4">
        <v>298</v>
      </c>
      <c r="W1177">
        <v>0</v>
      </c>
    </row>
    <row r="1178" spans="1:23" hidden="1" x14ac:dyDescent="0.25">
      <c r="A1178" s="2">
        <v>45792.616678240738</v>
      </c>
      <c r="B1178">
        <v>3843</v>
      </c>
      <c r="C1178" t="s">
        <v>919</v>
      </c>
      <c r="D1178" s="3">
        <v>45791</v>
      </c>
      <c r="E1178" s="3">
        <v>45930</v>
      </c>
      <c r="F1178" t="s">
        <v>21</v>
      </c>
      <c r="G1178" t="s">
        <v>1493</v>
      </c>
      <c r="H1178" t="s">
        <v>22</v>
      </c>
      <c r="I1178" t="s">
        <v>43</v>
      </c>
      <c r="J1178" t="s">
        <v>1491</v>
      </c>
      <c r="K1178" t="s">
        <v>24</v>
      </c>
      <c r="L1178" s="4">
        <v>46</v>
      </c>
      <c r="M1178" t="s">
        <v>920</v>
      </c>
      <c r="N1178" t="s">
        <v>26</v>
      </c>
      <c r="O1178" s="4">
        <v>2775</v>
      </c>
      <c r="P1178">
        <v>0</v>
      </c>
      <c r="Q1178" s="4">
        <v>2775</v>
      </c>
      <c r="R1178" s="12">
        <f t="shared" si="18"/>
        <v>127650</v>
      </c>
      <c r="T1178" t="s">
        <v>27</v>
      </c>
      <c r="U1178" t="s">
        <v>921</v>
      </c>
      <c r="V1178" s="4">
        <v>46</v>
      </c>
      <c r="W1178">
        <v>0</v>
      </c>
    </row>
    <row r="1179" spans="1:23" hidden="1" x14ac:dyDescent="0.25">
      <c r="A1179" s="2">
        <v>45792.616678240738</v>
      </c>
      <c r="B1179">
        <v>3843</v>
      </c>
      <c r="C1179" t="s">
        <v>919</v>
      </c>
      <c r="D1179" s="3">
        <v>45791</v>
      </c>
      <c r="E1179" s="3">
        <v>45930</v>
      </c>
      <c r="F1179" t="s">
        <v>21</v>
      </c>
      <c r="G1179" t="s">
        <v>1493</v>
      </c>
      <c r="H1179" t="s">
        <v>22</v>
      </c>
      <c r="I1179" t="s">
        <v>40</v>
      </c>
      <c r="J1179" t="s">
        <v>1491</v>
      </c>
      <c r="K1179" t="s">
        <v>24</v>
      </c>
      <c r="L1179" s="4">
        <v>298</v>
      </c>
      <c r="M1179" t="s">
        <v>920</v>
      </c>
      <c r="N1179" t="s">
        <v>26</v>
      </c>
      <c r="O1179" s="4">
        <v>450</v>
      </c>
      <c r="P1179">
        <v>0</v>
      </c>
      <c r="Q1179" s="4">
        <v>450</v>
      </c>
      <c r="R1179" s="12">
        <f t="shared" si="18"/>
        <v>134100</v>
      </c>
      <c r="T1179" t="s">
        <v>27</v>
      </c>
      <c r="U1179" t="s">
        <v>921</v>
      </c>
      <c r="V1179" s="4">
        <v>298</v>
      </c>
      <c r="W1179">
        <v>0</v>
      </c>
    </row>
    <row r="1180" spans="1:23" hidden="1" x14ac:dyDescent="0.25">
      <c r="A1180" s="2">
        <v>45792.616678240738</v>
      </c>
      <c r="B1180">
        <v>3843</v>
      </c>
      <c r="C1180" t="s">
        <v>919</v>
      </c>
      <c r="D1180" s="3">
        <v>45791</v>
      </c>
      <c r="E1180" s="3">
        <v>45930</v>
      </c>
      <c r="F1180" t="s">
        <v>21</v>
      </c>
      <c r="G1180" t="s">
        <v>1493</v>
      </c>
      <c r="H1180" t="s">
        <v>22</v>
      </c>
      <c r="I1180" t="s">
        <v>101</v>
      </c>
      <c r="J1180" t="s">
        <v>1491</v>
      </c>
      <c r="K1180" t="s">
        <v>31</v>
      </c>
      <c r="L1180" s="4">
        <v>596</v>
      </c>
      <c r="M1180" t="s">
        <v>920</v>
      </c>
      <c r="N1180" t="s">
        <v>26</v>
      </c>
      <c r="O1180" s="4">
        <v>25</v>
      </c>
      <c r="P1180">
        <v>0</v>
      </c>
      <c r="Q1180" s="4">
        <v>25</v>
      </c>
      <c r="R1180" s="12">
        <f t="shared" si="18"/>
        <v>14900</v>
      </c>
      <c r="T1180" t="s">
        <v>27</v>
      </c>
      <c r="U1180" t="s">
        <v>921</v>
      </c>
      <c r="V1180" s="4">
        <v>596</v>
      </c>
      <c r="W1180">
        <v>0</v>
      </c>
    </row>
    <row r="1181" spans="1:23" hidden="1" x14ac:dyDescent="0.25">
      <c r="A1181" s="2">
        <v>45792.616678240738</v>
      </c>
      <c r="B1181">
        <v>3843</v>
      </c>
      <c r="C1181" t="s">
        <v>919</v>
      </c>
      <c r="D1181" s="3">
        <v>45791</v>
      </c>
      <c r="E1181" s="3">
        <v>45930</v>
      </c>
      <c r="F1181" t="s">
        <v>21</v>
      </c>
      <c r="G1181" t="s">
        <v>1493</v>
      </c>
      <c r="H1181" t="s">
        <v>22</v>
      </c>
      <c r="I1181" t="s">
        <v>59</v>
      </c>
      <c r="J1181" t="s">
        <v>1491</v>
      </c>
      <c r="K1181" t="s">
        <v>24</v>
      </c>
      <c r="L1181" s="4">
        <v>46</v>
      </c>
      <c r="M1181" t="s">
        <v>920</v>
      </c>
      <c r="N1181" t="s">
        <v>26</v>
      </c>
      <c r="O1181" s="4">
        <v>225</v>
      </c>
      <c r="P1181">
        <v>0</v>
      </c>
      <c r="Q1181" s="4">
        <v>225</v>
      </c>
      <c r="R1181" s="12">
        <f t="shared" si="18"/>
        <v>10350</v>
      </c>
      <c r="T1181" t="s">
        <v>27</v>
      </c>
      <c r="U1181" t="s">
        <v>921</v>
      </c>
      <c r="V1181" s="4">
        <v>46</v>
      </c>
      <c r="W1181">
        <v>0</v>
      </c>
    </row>
    <row r="1182" spans="1:23" hidden="1" x14ac:dyDescent="0.25">
      <c r="A1182" s="2">
        <v>45792.616678240738</v>
      </c>
      <c r="B1182">
        <v>3843</v>
      </c>
      <c r="C1182" t="s">
        <v>919</v>
      </c>
      <c r="D1182" s="3">
        <v>45791</v>
      </c>
      <c r="E1182" s="3">
        <v>45930</v>
      </c>
      <c r="F1182" t="s">
        <v>21</v>
      </c>
      <c r="G1182" t="s">
        <v>1493</v>
      </c>
      <c r="H1182" t="s">
        <v>22</v>
      </c>
      <c r="I1182" t="s">
        <v>38</v>
      </c>
      <c r="J1182" t="s">
        <v>1491</v>
      </c>
      <c r="K1182" t="s">
        <v>24</v>
      </c>
      <c r="L1182" s="4">
        <v>46</v>
      </c>
      <c r="M1182" t="s">
        <v>920</v>
      </c>
      <c r="N1182" t="s">
        <v>26</v>
      </c>
      <c r="O1182" s="4">
        <v>750</v>
      </c>
      <c r="P1182">
        <v>0</v>
      </c>
      <c r="Q1182" s="4">
        <v>750</v>
      </c>
      <c r="R1182" s="12">
        <f t="shared" si="18"/>
        <v>34500</v>
      </c>
      <c r="T1182" t="s">
        <v>27</v>
      </c>
      <c r="U1182" t="s">
        <v>921</v>
      </c>
      <c r="V1182" s="4">
        <v>46</v>
      </c>
      <c r="W1182">
        <v>0</v>
      </c>
    </row>
    <row r="1183" spans="1:23" hidden="1" x14ac:dyDescent="0.25">
      <c r="A1183" s="2">
        <v>45792.616678240738</v>
      </c>
      <c r="B1183">
        <v>3843</v>
      </c>
      <c r="C1183" t="s">
        <v>919</v>
      </c>
      <c r="D1183" s="3">
        <v>45791</v>
      </c>
      <c r="E1183" s="3">
        <v>45930</v>
      </c>
      <c r="F1183" t="s">
        <v>21</v>
      </c>
      <c r="G1183" t="s">
        <v>1493</v>
      </c>
      <c r="H1183" t="s">
        <v>22</v>
      </c>
      <c r="I1183" t="s">
        <v>44</v>
      </c>
      <c r="J1183" t="s">
        <v>1491</v>
      </c>
      <c r="K1183" t="s">
        <v>31</v>
      </c>
      <c r="L1183" s="4">
        <v>380</v>
      </c>
      <c r="M1183" t="s">
        <v>920</v>
      </c>
      <c r="N1183" t="s">
        <v>26</v>
      </c>
      <c r="O1183" s="4">
        <v>500</v>
      </c>
      <c r="P1183">
        <v>0</v>
      </c>
      <c r="Q1183" s="4">
        <v>500</v>
      </c>
      <c r="R1183" s="12">
        <f t="shared" si="18"/>
        <v>190000</v>
      </c>
      <c r="T1183" t="s">
        <v>27</v>
      </c>
      <c r="U1183" t="s">
        <v>921</v>
      </c>
      <c r="V1183" s="4">
        <v>380</v>
      </c>
      <c r="W1183">
        <v>0</v>
      </c>
    </row>
    <row r="1184" spans="1:23" hidden="1" x14ac:dyDescent="0.25">
      <c r="A1184" s="2">
        <v>45792.62232638889</v>
      </c>
      <c r="B1184">
        <v>3844</v>
      </c>
      <c r="C1184" t="s">
        <v>919</v>
      </c>
      <c r="D1184" s="3">
        <v>45791</v>
      </c>
      <c r="E1184" s="3">
        <v>46142</v>
      </c>
      <c r="F1184" t="s">
        <v>21</v>
      </c>
      <c r="G1184" t="s">
        <v>1493</v>
      </c>
      <c r="H1184" t="s">
        <v>22</v>
      </c>
      <c r="I1184" t="s">
        <v>44</v>
      </c>
      <c r="J1184" t="s">
        <v>1491</v>
      </c>
      <c r="K1184" t="s">
        <v>31</v>
      </c>
      <c r="L1184" s="4">
        <v>380</v>
      </c>
      <c r="M1184" t="s">
        <v>922</v>
      </c>
      <c r="N1184" t="s">
        <v>46</v>
      </c>
      <c r="O1184" s="4">
        <v>500</v>
      </c>
      <c r="P1184">
        <v>0</v>
      </c>
      <c r="Q1184" s="4">
        <v>500</v>
      </c>
      <c r="R1184" s="12">
        <f t="shared" si="18"/>
        <v>190000</v>
      </c>
      <c r="T1184" t="s">
        <v>27</v>
      </c>
      <c r="U1184" t="s">
        <v>921</v>
      </c>
      <c r="V1184" s="4">
        <v>380</v>
      </c>
      <c r="W1184">
        <v>0</v>
      </c>
    </row>
    <row r="1185" spans="1:23" hidden="1" x14ac:dyDescent="0.25">
      <c r="A1185" s="2">
        <v>45792.62232638889</v>
      </c>
      <c r="B1185">
        <v>3844</v>
      </c>
      <c r="C1185" t="s">
        <v>919</v>
      </c>
      <c r="D1185" s="3">
        <v>45791</v>
      </c>
      <c r="E1185" s="3">
        <v>46142</v>
      </c>
      <c r="F1185" t="s">
        <v>21</v>
      </c>
      <c r="G1185" t="s">
        <v>1493</v>
      </c>
      <c r="H1185" t="s">
        <v>22</v>
      </c>
      <c r="I1185" t="s">
        <v>38</v>
      </c>
      <c r="J1185" t="s">
        <v>1491</v>
      </c>
      <c r="K1185" t="s">
        <v>24</v>
      </c>
      <c r="L1185" s="4">
        <v>46</v>
      </c>
      <c r="M1185" t="s">
        <v>922</v>
      </c>
      <c r="N1185" t="s">
        <v>46</v>
      </c>
      <c r="O1185" s="4">
        <v>1002</v>
      </c>
      <c r="P1185">
        <v>0</v>
      </c>
      <c r="Q1185" s="4">
        <v>1002</v>
      </c>
      <c r="R1185" s="12">
        <f t="shared" si="18"/>
        <v>46092</v>
      </c>
      <c r="T1185" t="s">
        <v>27</v>
      </c>
      <c r="U1185" t="s">
        <v>921</v>
      </c>
      <c r="V1185" s="4">
        <v>46</v>
      </c>
      <c r="W1185">
        <v>0</v>
      </c>
    </row>
    <row r="1186" spans="1:23" hidden="1" x14ac:dyDescent="0.25">
      <c r="A1186" s="2">
        <v>45792.62232638889</v>
      </c>
      <c r="B1186">
        <v>3844</v>
      </c>
      <c r="C1186" t="s">
        <v>919</v>
      </c>
      <c r="D1186" s="3">
        <v>45791</v>
      </c>
      <c r="E1186" s="3">
        <v>46142</v>
      </c>
      <c r="F1186" t="s">
        <v>21</v>
      </c>
      <c r="G1186" t="s">
        <v>1493</v>
      </c>
      <c r="H1186" t="s">
        <v>22</v>
      </c>
      <c r="I1186" t="s">
        <v>41</v>
      </c>
      <c r="J1186" t="s">
        <v>1491</v>
      </c>
      <c r="K1186" t="s">
        <v>24</v>
      </c>
      <c r="L1186" s="4">
        <v>298</v>
      </c>
      <c r="M1186" t="s">
        <v>922</v>
      </c>
      <c r="N1186" t="s">
        <v>46</v>
      </c>
      <c r="O1186" s="4">
        <v>500</v>
      </c>
      <c r="P1186">
        <v>0</v>
      </c>
      <c r="Q1186" s="4">
        <v>500</v>
      </c>
      <c r="R1186" s="12">
        <f t="shared" si="18"/>
        <v>149000</v>
      </c>
      <c r="T1186" t="s">
        <v>27</v>
      </c>
      <c r="U1186" t="s">
        <v>921</v>
      </c>
      <c r="V1186" s="4">
        <v>298</v>
      </c>
      <c r="W1186">
        <v>0</v>
      </c>
    </row>
    <row r="1187" spans="1:23" hidden="1" x14ac:dyDescent="0.25">
      <c r="A1187" s="2">
        <v>45792.62232638889</v>
      </c>
      <c r="B1187">
        <v>3844</v>
      </c>
      <c r="C1187" t="s">
        <v>919</v>
      </c>
      <c r="D1187" s="3">
        <v>45791</v>
      </c>
      <c r="E1187" s="3">
        <v>46142</v>
      </c>
      <c r="F1187" t="s">
        <v>21</v>
      </c>
      <c r="G1187" t="s">
        <v>1493</v>
      </c>
      <c r="H1187" t="s">
        <v>22</v>
      </c>
      <c r="I1187" t="s">
        <v>40</v>
      </c>
      <c r="J1187" t="s">
        <v>1491</v>
      </c>
      <c r="K1187" t="s">
        <v>24</v>
      </c>
      <c r="L1187" s="4">
        <v>298</v>
      </c>
      <c r="M1187" t="s">
        <v>922</v>
      </c>
      <c r="N1187" t="s">
        <v>46</v>
      </c>
      <c r="O1187" s="4">
        <v>500</v>
      </c>
      <c r="P1187">
        <v>0</v>
      </c>
      <c r="Q1187" s="4">
        <v>500</v>
      </c>
      <c r="R1187" s="12">
        <f t="shared" si="18"/>
        <v>149000</v>
      </c>
      <c r="T1187" t="s">
        <v>27</v>
      </c>
      <c r="U1187" t="s">
        <v>921</v>
      </c>
      <c r="V1187" s="4">
        <v>298</v>
      </c>
      <c r="W1187">
        <v>0</v>
      </c>
    </row>
    <row r="1188" spans="1:23" hidden="1" x14ac:dyDescent="0.25">
      <c r="A1188" s="2">
        <v>45936.369687500002</v>
      </c>
      <c r="B1188">
        <v>4126</v>
      </c>
      <c r="C1188" t="s">
        <v>919</v>
      </c>
      <c r="D1188" s="3">
        <v>45936</v>
      </c>
      <c r="E1188" s="3">
        <v>46142</v>
      </c>
      <c r="F1188" t="s">
        <v>247</v>
      </c>
      <c r="H1188" t="s">
        <v>22</v>
      </c>
      <c r="I1188" t="s">
        <v>53</v>
      </c>
      <c r="K1188" t="s">
        <v>24</v>
      </c>
      <c r="L1188" s="4">
        <v>145</v>
      </c>
      <c r="M1188" t="s">
        <v>923</v>
      </c>
      <c r="N1188" t="s">
        <v>26</v>
      </c>
      <c r="O1188" s="4">
        <v>12</v>
      </c>
      <c r="P1188">
        <v>0</v>
      </c>
      <c r="Q1188" s="4">
        <v>12</v>
      </c>
      <c r="R1188" s="12">
        <f t="shared" si="18"/>
        <v>1740</v>
      </c>
      <c r="T1188" t="s">
        <v>27</v>
      </c>
      <c r="U1188" t="s">
        <v>921</v>
      </c>
      <c r="V1188" s="4">
        <v>145</v>
      </c>
      <c r="W1188">
        <v>0</v>
      </c>
    </row>
    <row r="1189" spans="1:23" hidden="1" x14ac:dyDescent="0.25">
      <c r="A1189" s="2">
        <v>45990.415081018517</v>
      </c>
      <c r="B1189">
        <v>4310</v>
      </c>
      <c r="C1189" t="s">
        <v>919</v>
      </c>
      <c r="D1189" s="3">
        <v>45990</v>
      </c>
      <c r="E1189" s="3">
        <v>46111</v>
      </c>
      <c r="F1189" t="s">
        <v>21</v>
      </c>
      <c r="H1189" t="s">
        <v>22</v>
      </c>
      <c r="I1189" t="s">
        <v>203</v>
      </c>
      <c r="J1189" t="s">
        <v>1490</v>
      </c>
      <c r="K1189" t="s">
        <v>24</v>
      </c>
      <c r="L1189" s="4">
        <v>80</v>
      </c>
      <c r="N1189" t="s">
        <v>26</v>
      </c>
      <c r="O1189" s="4">
        <v>10</v>
      </c>
      <c r="P1189">
        <v>0</v>
      </c>
      <c r="Q1189" s="4">
        <v>10</v>
      </c>
      <c r="R1189" s="12">
        <f t="shared" si="18"/>
        <v>800</v>
      </c>
      <c r="T1189" t="s">
        <v>27</v>
      </c>
      <c r="U1189" t="s">
        <v>921</v>
      </c>
      <c r="V1189" s="4">
        <v>80</v>
      </c>
      <c r="W1189">
        <v>0</v>
      </c>
    </row>
    <row r="1190" spans="1:23" hidden="1" x14ac:dyDescent="0.25">
      <c r="A1190" s="2">
        <v>45997.356030092589</v>
      </c>
      <c r="B1190">
        <v>4332</v>
      </c>
      <c r="C1190" t="s">
        <v>919</v>
      </c>
      <c r="D1190" s="3">
        <v>45997</v>
      </c>
      <c r="E1190" s="3">
        <v>46111</v>
      </c>
      <c r="F1190" t="s">
        <v>21</v>
      </c>
      <c r="H1190" t="s">
        <v>22</v>
      </c>
      <c r="I1190" t="s">
        <v>131</v>
      </c>
      <c r="J1190" t="s">
        <v>1490</v>
      </c>
      <c r="K1190" t="s">
        <v>24</v>
      </c>
      <c r="L1190" s="4">
        <v>160</v>
      </c>
      <c r="N1190" t="s">
        <v>26</v>
      </c>
      <c r="O1190" s="4">
        <v>12</v>
      </c>
      <c r="P1190">
        <v>0</v>
      </c>
      <c r="Q1190" s="4">
        <v>12</v>
      </c>
      <c r="R1190" s="12">
        <f t="shared" si="18"/>
        <v>1920</v>
      </c>
      <c r="T1190" t="s">
        <v>27</v>
      </c>
      <c r="U1190" t="s">
        <v>921</v>
      </c>
      <c r="V1190" s="4">
        <v>160</v>
      </c>
      <c r="W1190">
        <v>0</v>
      </c>
    </row>
    <row r="1191" spans="1:23" hidden="1" x14ac:dyDescent="0.25">
      <c r="A1191" s="2">
        <v>45764.361006944448</v>
      </c>
      <c r="B1191">
        <v>187</v>
      </c>
      <c r="C1191" t="s">
        <v>924</v>
      </c>
      <c r="D1191" s="3">
        <v>45764</v>
      </c>
      <c r="E1191" s="3">
        <v>46142</v>
      </c>
      <c r="F1191" t="s">
        <v>418</v>
      </c>
      <c r="H1191" t="s">
        <v>22</v>
      </c>
      <c r="I1191" t="s">
        <v>35</v>
      </c>
      <c r="J1191" t="s">
        <v>1490</v>
      </c>
      <c r="K1191" t="s">
        <v>24</v>
      </c>
      <c r="L1191" s="4">
        <v>68</v>
      </c>
      <c r="M1191" t="s">
        <v>925</v>
      </c>
      <c r="N1191" t="s">
        <v>26</v>
      </c>
      <c r="O1191" s="4">
        <v>340</v>
      </c>
      <c r="P1191">
        <v>0</v>
      </c>
      <c r="Q1191" s="4">
        <v>340</v>
      </c>
      <c r="R1191" s="12">
        <f t="shared" si="18"/>
        <v>23120</v>
      </c>
      <c r="T1191" t="s">
        <v>274</v>
      </c>
      <c r="U1191" t="s">
        <v>926</v>
      </c>
      <c r="V1191" s="4">
        <v>68</v>
      </c>
      <c r="W1191">
        <v>0</v>
      </c>
    </row>
    <row r="1192" spans="1:23" hidden="1" x14ac:dyDescent="0.25">
      <c r="A1192" s="2">
        <v>45764.361006944448</v>
      </c>
      <c r="B1192">
        <v>187</v>
      </c>
      <c r="C1192" t="s">
        <v>924</v>
      </c>
      <c r="D1192" s="3">
        <v>45764</v>
      </c>
      <c r="E1192" s="3">
        <v>46142</v>
      </c>
      <c r="F1192" t="s">
        <v>418</v>
      </c>
      <c r="H1192" t="s">
        <v>22</v>
      </c>
      <c r="I1192" t="s">
        <v>173</v>
      </c>
      <c r="K1192" t="s">
        <v>24</v>
      </c>
      <c r="L1192" s="4">
        <v>25</v>
      </c>
      <c r="M1192" t="s">
        <v>925</v>
      </c>
      <c r="N1192" t="s">
        <v>26</v>
      </c>
      <c r="O1192" s="4">
        <v>1000</v>
      </c>
      <c r="P1192">
        <v>0</v>
      </c>
      <c r="Q1192" s="4">
        <v>1000</v>
      </c>
      <c r="R1192" s="12">
        <f t="shared" si="18"/>
        <v>25000</v>
      </c>
      <c r="T1192" t="s">
        <v>274</v>
      </c>
      <c r="U1192" t="s">
        <v>926</v>
      </c>
      <c r="V1192" s="4">
        <v>25</v>
      </c>
      <c r="W1192">
        <v>0</v>
      </c>
    </row>
    <row r="1193" spans="1:23" hidden="1" x14ac:dyDescent="0.25">
      <c r="A1193" s="2">
        <v>45764.361006944448</v>
      </c>
      <c r="B1193">
        <v>187</v>
      </c>
      <c r="C1193" t="s">
        <v>924</v>
      </c>
      <c r="D1193" s="3">
        <v>45764</v>
      </c>
      <c r="E1193" s="3">
        <v>46142</v>
      </c>
      <c r="F1193" t="s">
        <v>418</v>
      </c>
      <c r="H1193" t="s">
        <v>22</v>
      </c>
      <c r="I1193" t="s">
        <v>339</v>
      </c>
      <c r="J1193" t="s">
        <v>1490</v>
      </c>
      <c r="K1193" t="s">
        <v>24</v>
      </c>
      <c r="L1193" s="4">
        <v>20</v>
      </c>
      <c r="M1193" t="s">
        <v>925</v>
      </c>
      <c r="N1193" t="s">
        <v>26</v>
      </c>
      <c r="O1193" s="4">
        <v>220</v>
      </c>
      <c r="P1193">
        <v>0</v>
      </c>
      <c r="Q1193" s="4">
        <v>220</v>
      </c>
      <c r="R1193" s="12">
        <f t="shared" si="18"/>
        <v>4400</v>
      </c>
      <c r="T1193" t="s">
        <v>274</v>
      </c>
      <c r="U1193" t="s">
        <v>926</v>
      </c>
      <c r="V1193" s="4">
        <v>20</v>
      </c>
      <c r="W1193">
        <v>0</v>
      </c>
    </row>
    <row r="1194" spans="1:23" hidden="1" x14ac:dyDescent="0.25">
      <c r="A1194" s="2">
        <v>45764.361006944448</v>
      </c>
      <c r="B1194">
        <v>187</v>
      </c>
      <c r="C1194" t="s">
        <v>924</v>
      </c>
      <c r="D1194" s="3">
        <v>45764</v>
      </c>
      <c r="E1194" s="3">
        <v>46142</v>
      </c>
      <c r="F1194" t="s">
        <v>418</v>
      </c>
      <c r="H1194" t="s">
        <v>22</v>
      </c>
      <c r="I1194" t="s">
        <v>36</v>
      </c>
      <c r="J1194" t="s">
        <v>1490</v>
      </c>
      <c r="K1194" t="s">
        <v>24</v>
      </c>
      <c r="L1194" s="4">
        <v>68</v>
      </c>
      <c r="M1194" t="s">
        <v>925</v>
      </c>
      <c r="N1194" t="s">
        <v>26</v>
      </c>
      <c r="O1194" s="4">
        <v>180</v>
      </c>
      <c r="P1194">
        <v>0</v>
      </c>
      <c r="Q1194" s="4">
        <v>180</v>
      </c>
      <c r="R1194" s="12">
        <f t="shared" si="18"/>
        <v>12240</v>
      </c>
      <c r="T1194" t="s">
        <v>274</v>
      </c>
      <c r="U1194" t="s">
        <v>926</v>
      </c>
      <c r="V1194" s="4">
        <v>68</v>
      </c>
      <c r="W1194">
        <v>0</v>
      </c>
    </row>
    <row r="1195" spans="1:23" hidden="1" x14ac:dyDescent="0.25">
      <c r="A1195" s="2">
        <v>45764.579085648147</v>
      </c>
      <c r="B1195">
        <v>195</v>
      </c>
      <c r="C1195" t="s">
        <v>924</v>
      </c>
      <c r="D1195" s="3">
        <v>45764</v>
      </c>
      <c r="E1195" s="3">
        <v>46264</v>
      </c>
      <c r="F1195" t="s">
        <v>418</v>
      </c>
      <c r="H1195" t="s">
        <v>22</v>
      </c>
      <c r="I1195" t="s">
        <v>36</v>
      </c>
      <c r="J1195" t="s">
        <v>1490</v>
      </c>
      <c r="K1195" t="s">
        <v>24</v>
      </c>
      <c r="L1195" s="4">
        <v>68</v>
      </c>
      <c r="M1195" t="s">
        <v>927</v>
      </c>
      <c r="N1195" t="s">
        <v>46</v>
      </c>
      <c r="O1195" s="4">
        <v>120</v>
      </c>
      <c r="P1195">
        <v>0</v>
      </c>
      <c r="Q1195" s="4">
        <v>120</v>
      </c>
      <c r="R1195" s="12">
        <f t="shared" si="18"/>
        <v>8160</v>
      </c>
      <c r="T1195" t="s">
        <v>274</v>
      </c>
      <c r="U1195" t="s">
        <v>926</v>
      </c>
      <c r="V1195" s="4">
        <v>68</v>
      </c>
      <c r="W1195">
        <v>0</v>
      </c>
    </row>
    <row r="1196" spans="1:23" hidden="1" x14ac:dyDescent="0.25">
      <c r="A1196" s="2">
        <v>45764.579085648147</v>
      </c>
      <c r="B1196">
        <v>195</v>
      </c>
      <c r="C1196" t="s">
        <v>924</v>
      </c>
      <c r="D1196" s="3">
        <v>45764</v>
      </c>
      <c r="E1196" s="3">
        <v>46264</v>
      </c>
      <c r="F1196" t="s">
        <v>418</v>
      </c>
      <c r="H1196" t="s">
        <v>22</v>
      </c>
      <c r="I1196" t="s">
        <v>35</v>
      </c>
      <c r="J1196" t="s">
        <v>1490</v>
      </c>
      <c r="K1196" t="s">
        <v>24</v>
      </c>
      <c r="L1196" s="4">
        <v>68</v>
      </c>
      <c r="M1196" t="s">
        <v>927</v>
      </c>
      <c r="N1196" t="s">
        <v>46</v>
      </c>
      <c r="O1196" s="4">
        <v>300</v>
      </c>
      <c r="P1196">
        <v>0</v>
      </c>
      <c r="Q1196" s="4">
        <v>300</v>
      </c>
      <c r="R1196" s="12">
        <f t="shared" si="18"/>
        <v>20400</v>
      </c>
      <c r="T1196" t="s">
        <v>274</v>
      </c>
      <c r="U1196" t="s">
        <v>926</v>
      </c>
      <c r="V1196" s="4">
        <v>68</v>
      </c>
      <c r="W1196">
        <v>0</v>
      </c>
    </row>
    <row r="1197" spans="1:23" hidden="1" x14ac:dyDescent="0.25">
      <c r="A1197" s="2">
        <v>45764.579085648147</v>
      </c>
      <c r="B1197">
        <v>195</v>
      </c>
      <c r="C1197" t="s">
        <v>924</v>
      </c>
      <c r="D1197" s="3">
        <v>45764</v>
      </c>
      <c r="E1197" s="3">
        <v>46264</v>
      </c>
      <c r="F1197" t="s">
        <v>418</v>
      </c>
      <c r="H1197" t="s">
        <v>22</v>
      </c>
      <c r="I1197" t="s">
        <v>335</v>
      </c>
      <c r="K1197" t="s">
        <v>24</v>
      </c>
      <c r="L1197" s="4">
        <v>16</v>
      </c>
      <c r="M1197" t="s">
        <v>927</v>
      </c>
      <c r="N1197" t="s">
        <v>46</v>
      </c>
      <c r="O1197" s="4">
        <v>275</v>
      </c>
      <c r="P1197">
        <v>0</v>
      </c>
      <c r="Q1197" s="4">
        <v>275</v>
      </c>
      <c r="R1197" s="12">
        <f t="shared" si="18"/>
        <v>4400</v>
      </c>
      <c r="T1197" t="s">
        <v>274</v>
      </c>
      <c r="U1197" t="s">
        <v>926</v>
      </c>
      <c r="V1197" s="4">
        <v>16</v>
      </c>
      <c r="W1197">
        <v>0</v>
      </c>
    </row>
    <row r="1198" spans="1:23" hidden="1" x14ac:dyDescent="0.25">
      <c r="A1198" s="2">
        <v>45764.579085648147</v>
      </c>
      <c r="B1198">
        <v>195</v>
      </c>
      <c r="C1198" t="s">
        <v>924</v>
      </c>
      <c r="D1198" s="3">
        <v>45764</v>
      </c>
      <c r="E1198" s="3">
        <v>46264</v>
      </c>
      <c r="F1198" t="s">
        <v>418</v>
      </c>
      <c r="H1198" t="s">
        <v>22</v>
      </c>
      <c r="I1198" t="s">
        <v>173</v>
      </c>
      <c r="K1198" t="s">
        <v>24</v>
      </c>
      <c r="L1198" s="4">
        <v>25</v>
      </c>
      <c r="M1198" t="s">
        <v>927</v>
      </c>
      <c r="N1198" t="s">
        <v>46</v>
      </c>
      <c r="O1198" s="4">
        <v>825</v>
      </c>
      <c r="P1198" s="4">
        <v>525</v>
      </c>
      <c r="Q1198" s="4">
        <v>300</v>
      </c>
      <c r="R1198" s="12">
        <f t="shared" si="18"/>
        <v>7500</v>
      </c>
      <c r="T1198" t="s">
        <v>274</v>
      </c>
      <c r="U1198" t="s">
        <v>926</v>
      </c>
      <c r="V1198" s="4">
        <v>25</v>
      </c>
      <c r="W1198">
        <v>0</v>
      </c>
    </row>
    <row r="1199" spans="1:23" hidden="1" x14ac:dyDescent="0.25">
      <c r="A1199" s="2">
        <v>45937.378564814811</v>
      </c>
      <c r="B1199">
        <v>330</v>
      </c>
      <c r="C1199" t="s">
        <v>924</v>
      </c>
      <c r="D1199" s="3">
        <v>45937</v>
      </c>
      <c r="E1199" s="3">
        <v>46142</v>
      </c>
      <c r="F1199" t="s">
        <v>418</v>
      </c>
      <c r="H1199" t="s">
        <v>22</v>
      </c>
      <c r="I1199" t="s">
        <v>23</v>
      </c>
      <c r="J1199" t="s">
        <v>1490</v>
      </c>
      <c r="K1199" t="s">
        <v>24</v>
      </c>
      <c r="L1199" s="4">
        <v>16</v>
      </c>
      <c r="M1199" t="s">
        <v>928</v>
      </c>
      <c r="N1199" t="s">
        <v>26</v>
      </c>
      <c r="O1199" s="4">
        <v>40</v>
      </c>
      <c r="P1199">
        <v>0</v>
      </c>
      <c r="Q1199" s="4">
        <v>40</v>
      </c>
      <c r="R1199" s="12">
        <f t="shared" si="18"/>
        <v>640</v>
      </c>
      <c r="T1199" t="s">
        <v>274</v>
      </c>
      <c r="U1199" t="s">
        <v>926</v>
      </c>
      <c r="V1199" s="4">
        <v>16</v>
      </c>
      <c r="W1199">
        <v>0</v>
      </c>
    </row>
    <row r="1200" spans="1:23" hidden="1" x14ac:dyDescent="0.25">
      <c r="A1200" s="2">
        <v>45937.378564814811</v>
      </c>
      <c r="B1200">
        <v>330</v>
      </c>
      <c r="C1200" t="s">
        <v>924</v>
      </c>
      <c r="D1200" s="3">
        <v>45937</v>
      </c>
      <c r="E1200" s="3">
        <v>46142</v>
      </c>
      <c r="F1200" t="s">
        <v>418</v>
      </c>
      <c r="H1200" t="s">
        <v>22</v>
      </c>
      <c r="I1200" t="s">
        <v>34</v>
      </c>
      <c r="J1200" t="s">
        <v>1490</v>
      </c>
      <c r="K1200" t="s">
        <v>31</v>
      </c>
      <c r="L1200" s="4">
        <v>26</v>
      </c>
      <c r="M1200" t="s">
        <v>928</v>
      </c>
      <c r="N1200" t="s">
        <v>26</v>
      </c>
      <c r="O1200" s="4">
        <v>60</v>
      </c>
      <c r="P1200">
        <v>0</v>
      </c>
      <c r="Q1200" s="4">
        <v>60</v>
      </c>
      <c r="R1200" s="12">
        <f t="shared" si="18"/>
        <v>1560</v>
      </c>
      <c r="T1200" t="s">
        <v>274</v>
      </c>
      <c r="U1200" t="s">
        <v>926</v>
      </c>
      <c r="V1200" s="4">
        <v>26</v>
      </c>
      <c r="W1200">
        <v>0</v>
      </c>
    </row>
    <row r="1201" spans="1:23" hidden="1" x14ac:dyDescent="0.25">
      <c r="A1201" s="2">
        <v>45937.378564814811</v>
      </c>
      <c r="B1201">
        <v>330</v>
      </c>
      <c r="C1201" t="s">
        <v>924</v>
      </c>
      <c r="D1201" s="3">
        <v>45937</v>
      </c>
      <c r="E1201" s="3">
        <v>46142</v>
      </c>
      <c r="F1201" t="s">
        <v>418</v>
      </c>
      <c r="H1201" t="s">
        <v>22</v>
      </c>
      <c r="I1201" t="s">
        <v>30</v>
      </c>
      <c r="J1201" t="s">
        <v>1490</v>
      </c>
      <c r="K1201" t="s">
        <v>31</v>
      </c>
      <c r="L1201" s="4">
        <v>49.5</v>
      </c>
      <c r="M1201" t="s">
        <v>928</v>
      </c>
      <c r="N1201" t="s">
        <v>26</v>
      </c>
      <c r="O1201" s="4">
        <v>60</v>
      </c>
      <c r="P1201">
        <v>0</v>
      </c>
      <c r="Q1201" s="4">
        <v>60</v>
      </c>
      <c r="R1201" s="12">
        <f t="shared" si="18"/>
        <v>2970</v>
      </c>
      <c r="T1201" t="s">
        <v>274</v>
      </c>
      <c r="U1201" t="s">
        <v>926</v>
      </c>
      <c r="V1201" s="4">
        <v>49.5</v>
      </c>
      <c r="W1201">
        <v>0</v>
      </c>
    </row>
    <row r="1202" spans="1:23" hidden="1" x14ac:dyDescent="0.25">
      <c r="A1202" s="2">
        <v>45937.378564814811</v>
      </c>
      <c r="B1202">
        <v>330</v>
      </c>
      <c r="C1202" t="s">
        <v>924</v>
      </c>
      <c r="D1202" s="3">
        <v>45937</v>
      </c>
      <c r="E1202" s="3">
        <v>46142</v>
      </c>
      <c r="F1202" t="s">
        <v>418</v>
      </c>
      <c r="H1202" t="s">
        <v>22</v>
      </c>
      <c r="I1202" t="s">
        <v>192</v>
      </c>
      <c r="J1202" t="s">
        <v>1490</v>
      </c>
      <c r="K1202" t="s">
        <v>24</v>
      </c>
      <c r="L1202" s="4">
        <v>17.5</v>
      </c>
      <c r="M1202" t="s">
        <v>928</v>
      </c>
      <c r="N1202" t="s">
        <v>26</v>
      </c>
      <c r="O1202" s="4">
        <v>120</v>
      </c>
      <c r="P1202">
        <v>0</v>
      </c>
      <c r="Q1202" s="4">
        <v>120</v>
      </c>
      <c r="R1202" s="12">
        <f t="shared" si="18"/>
        <v>2100</v>
      </c>
      <c r="T1202" t="s">
        <v>274</v>
      </c>
      <c r="U1202" t="s">
        <v>926</v>
      </c>
      <c r="V1202" s="4">
        <v>17.5</v>
      </c>
      <c r="W1202">
        <v>0</v>
      </c>
    </row>
    <row r="1203" spans="1:23" hidden="1" x14ac:dyDescent="0.25">
      <c r="A1203" s="2">
        <v>45964.311307870368</v>
      </c>
      <c r="B1203">
        <v>394</v>
      </c>
      <c r="C1203" t="s">
        <v>924</v>
      </c>
      <c r="D1203" s="3">
        <v>45964</v>
      </c>
      <c r="E1203" s="3">
        <v>46142</v>
      </c>
      <c r="F1203" t="s">
        <v>418</v>
      </c>
      <c r="H1203" t="s">
        <v>22</v>
      </c>
      <c r="I1203" t="s">
        <v>335</v>
      </c>
      <c r="K1203" t="s">
        <v>24</v>
      </c>
      <c r="L1203" s="4">
        <v>16</v>
      </c>
      <c r="M1203" t="s">
        <v>929</v>
      </c>
      <c r="N1203" t="s">
        <v>26</v>
      </c>
      <c r="O1203" s="4">
        <v>50</v>
      </c>
      <c r="P1203">
        <v>0</v>
      </c>
      <c r="Q1203" s="4">
        <v>50</v>
      </c>
      <c r="R1203" s="12">
        <f t="shared" si="18"/>
        <v>800</v>
      </c>
      <c r="T1203" t="s">
        <v>274</v>
      </c>
      <c r="U1203" t="s">
        <v>926</v>
      </c>
      <c r="V1203" s="4">
        <v>16</v>
      </c>
      <c r="W1203">
        <v>0</v>
      </c>
    </row>
    <row r="1204" spans="1:23" hidden="1" x14ac:dyDescent="0.25">
      <c r="A1204" s="2">
        <v>45964.311307870368</v>
      </c>
      <c r="B1204">
        <v>394</v>
      </c>
      <c r="C1204" t="s">
        <v>924</v>
      </c>
      <c r="D1204" s="3">
        <v>45964</v>
      </c>
      <c r="E1204" s="3">
        <v>46142</v>
      </c>
      <c r="F1204" t="s">
        <v>418</v>
      </c>
      <c r="H1204" t="s">
        <v>22</v>
      </c>
      <c r="I1204" t="s">
        <v>339</v>
      </c>
      <c r="J1204" t="s">
        <v>1490</v>
      </c>
      <c r="K1204" t="s">
        <v>24</v>
      </c>
      <c r="L1204" s="4">
        <v>20</v>
      </c>
      <c r="M1204" t="s">
        <v>929</v>
      </c>
      <c r="N1204" t="s">
        <v>26</v>
      </c>
      <c r="O1204" s="4">
        <v>380</v>
      </c>
      <c r="P1204">
        <v>0</v>
      </c>
      <c r="Q1204" s="4">
        <v>380</v>
      </c>
      <c r="R1204" s="12">
        <f t="shared" si="18"/>
        <v>7600</v>
      </c>
      <c r="T1204" t="s">
        <v>274</v>
      </c>
      <c r="U1204" t="s">
        <v>926</v>
      </c>
      <c r="V1204" s="4">
        <v>20</v>
      </c>
      <c r="W1204">
        <v>0</v>
      </c>
    </row>
    <row r="1205" spans="1:23" hidden="1" x14ac:dyDescent="0.25">
      <c r="A1205" s="2">
        <v>46073.368807870371</v>
      </c>
      <c r="B1205">
        <v>557</v>
      </c>
      <c r="C1205" t="s">
        <v>924</v>
      </c>
      <c r="D1205" s="3">
        <v>46073</v>
      </c>
      <c r="E1205" s="3">
        <v>46264</v>
      </c>
      <c r="F1205" t="s">
        <v>418</v>
      </c>
      <c r="H1205" t="s">
        <v>22</v>
      </c>
      <c r="I1205" t="s">
        <v>203</v>
      </c>
      <c r="J1205" t="s">
        <v>1490</v>
      </c>
      <c r="K1205" t="s">
        <v>24</v>
      </c>
      <c r="L1205" s="4">
        <v>160</v>
      </c>
      <c r="M1205" t="s">
        <v>930</v>
      </c>
      <c r="N1205" t="s">
        <v>46</v>
      </c>
      <c r="O1205" s="4">
        <v>120</v>
      </c>
      <c r="P1205">
        <v>0</v>
      </c>
      <c r="Q1205" s="4">
        <v>120</v>
      </c>
      <c r="R1205" s="12">
        <f t="shared" si="18"/>
        <v>19200</v>
      </c>
      <c r="T1205" t="s">
        <v>274</v>
      </c>
      <c r="U1205" t="s">
        <v>926</v>
      </c>
      <c r="V1205" s="4">
        <v>160</v>
      </c>
      <c r="W1205">
        <v>0</v>
      </c>
    </row>
    <row r="1206" spans="1:23" hidden="1" x14ac:dyDescent="0.25">
      <c r="A1206" s="2">
        <v>45982.739606481482</v>
      </c>
      <c r="B1206">
        <v>420</v>
      </c>
      <c r="C1206" t="s">
        <v>931</v>
      </c>
      <c r="D1206" s="3">
        <v>45982</v>
      </c>
      <c r="E1206" s="3">
        <v>46142</v>
      </c>
      <c r="F1206" t="s">
        <v>52</v>
      </c>
      <c r="H1206" t="s">
        <v>22</v>
      </c>
      <c r="I1206" t="s">
        <v>192</v>
      </c>
      <c r="J1206" t="s">
        <v>1490</v>
      </c>
      <c r="K1206" t="s">
        <v>24</v>
      </c>
      <c r="L1206" s="4">
        <v>19</v>
      </c>
      <c r="M1206" t="s">
        <v>932</v>
      </c>
      <c r="N1206" t="s">
        <v>26</v>
      </c>
      <c r="O1206" s="4">
        <v>60</v>
      </c>
      <c r="P1206">
        <v>0</v>
      </c>
      <c r="Q1206" s="4">
        <v>60</v>
      </c>
      <c r="R1206" s="12">
        <f t="shared" si="18"/>
        <v>1140</v>
      </c>
      <c r="T1206" t="s">
        <v>274</v>
      </c>
      <c r="U1206" t="s">
        <v>933</v>
      </c>
      <c r="V1206" s="4">
        <v>19</v>
      </c>
      <c r="W1206">
        <v>0</v>
      </c>
    </row>
    <row r="1207" spans="1:23" hidden="1" x14ac:dyDescent="0.25">
      <c r="A1207" s="2">
        <v>46042.366828703707</v>
      </c>
      <c r="B1207">
        <v>508</v>
      </c>
      <c r="C1207" t="s">
        <v>931</v>
      </c>
      <c r="D1207" s="3">
        <v>46042</v>
      </c>
      <c r="E1207" s="3">
        <v>46295</v>
      </c>
      <c r="F1207" t="s">
        <v>52</v>
      </c>
      <c r="G1207" t="s">
        <v>1494</v>
      </c>
      <c r="H1207" t="s">
        <v>22</v>
      </c>
      <c r="I1207" t="s">
        <v>40</v>
      </c>
      <c r="J1207" t="s">
        <v>1491</v>
      </c>
      <c r="K1207" t="s">
        <v>24</v>
      </c>
      <c r="L1207" s="4">
        <v>320</v>
      </c>
      <c r="M1207" t="s">
        <v>934</v>
      </c>
      <c r="N1207" t="s">
        <v>46</v>
      </c>
      <c r="O1207" s="4">
        <v>35</v>
      </c>
      <c r="P1207">
        <v>0</v>
      </c>
      <c r="Q1207" s="4">
        <v>35</v>
      </c>
      <c r="R1207" s="12">
        <f t="shared" si="18"/>
        <v>11200</v>
      </c>
      <c r="T1207" t="s">
        <v>274</v>
      </c>
      <c r="U1207" t="s">
        <v>933</v>
      </c>
      <c r="V1207" s="4">
        <v>320</v>
      </c>
      <c r="W1207">
        <v>0</v>
      </c>
    </row>
    <row r="1208" spans="1:23" hidden="1" x14ac:dyDescent="0.25">
      <c r="A1208" s="2">
        <v>46042.366828703707</v>
      </c>
      <c r="B1208">
        <v>508</v>
      </c>
      <c r="C1208" t="s">
        <v>931</v>
      </c>
      <c r="D1208" s="3">
        <v>46042</v>
      </c>
      <c r="E1208" s="3">
        <v>46295</v>
      </c>
      <c r="F1208" t="s">
        <v>52</v>
      </c>
      <c r="G1208" t="s">
        <v>1494</v>
      </c>
      <c r="H1208" t="s">
        <v>22</v>
      </c>
      <c r="I1208" t="s">
        <v>63</v>
      </c>
      <c r="J1208" t="s">
        <v>1491</v>
      </c>
      <c r="K1208" t="s">
        <v>31</v>
      </c>
      <c r="L1208" s="4">
        <v>198</v>
      </c>
      <c r="M1208" t="s">
        <v>934</v>
      </c>
      <c r="N1208" t="s">
        <v>46</v>
      </c>
      <c r="O1208" s="4">
        <v>110</v>
      </c>
      <c r="P1208">
        <v>0</v>
      </c>
      <c r="Q1208" s="4">
        <v>110</v>
      </c>
      <c r="R1208" s="12">
        <f t="shared" si="18"/>
        <v>21780</v>
      </c>
      <c r="T1208" t="s">
        <v>274</v>
      </c>
      <c r="U1208" t="s">
        <v>933</v>
      </c>
      <c r="V1208" s="4">
        <v>198</v>
      </c>
      <c r="W1208">
        <v>0</v>
      </c>
    </row>
    <row r="1209" spans="1:23" hidden="1" x14ac:dyDescent="0.25">
      <c r="A1209" s="2">
        <v>45832.642557870371</v>
      </c>
      <c r="B1209">
        <v>237</v>
      </c>
      <c r="C1209" t="s">
        <v>935</v>
      </c>
      <c r="D1209" s="3">
        <v>45832</v>
      </c>
      <c r="E1209" s="3">
        <v>46264</v>
      </c>
      <c r="F1209" t="s">
        <v>66</v>
      </c>
      <c r="H1209" t="s">
        <v>22</v>
      </c>
      <c r="I1209" t="s">
        <v>72</v>
      </c>
      <c r="J1209" t="s">
        <v>1490</v>
      </c>
      <c r="K1209" t="s">
        <v>24</v>
      </c>
      <c r="L1209" s="4">
        <v>878</v>
      </c>
      <c r="M1209" t="s">
        <v>936</v>
      </c>
      <c r="N1209" t="s">
        <v>46</v>
      </c>
      <c r="O1209" s="4">
        <v>10</v>
      </c>
      <c r="P1209">
        <v>0</v>
      </c>
      <c r="Q1209" s="4">
        <v>10</v>
      </c>
      <c r="R1209" s="12">
        <f t="shared" si="18"/>
        <v>8780</v>
      </c>
      <c r="T1209" t="s">
        <v>263</v>
      </c>
      <c r="U1209" t="s">
        <v>937</v>
      </c>
      <c r="V1209" s="4">
        <v>878</v>
      </c>
      <c r="W1209">
        <v>0</v>
      </c>
    </row>
    <row r="1210" spans="1:23" hidden="1" x14ac:dyDescent="0.25">
      <c r="A1210" s="2">
        <v>45832.642557870371</v>
      </c>
      <c r="B1210">
        <v>237</v>
      </c>
      <c r="C1210" t="s">
        <v>935</v>
      </c>
      <c r="D1210" s="3">
        <v>45832</v>
      </c>
      <c r="E1210" s="3">
        <v>46264</v>
      </c>
      <c r="F1210" t="s">
        <v>66</v>
      </c>
      <c r="G1210" t="s">
        <v>1494</v>
      </c>
      <c r="H1210" t="s">
        <v>22</v>
      </c>
      <c r="I1210" t="s">
        <v>40</v>
      </c>
      <c r="J1210" t="s">
        <v>1491</v>
      </c>
      <c r="K1210" t="s">
        <v>24</v>
      </c>
      <c r="L1210" s="4">
        <v>370</v>
      </c>
      <c r="M1210" t="s">
        <v>936</v>
      </c>
      <c r="N1210" t="s">
        <v>46</v>
      </c>
      <c r="O1210" s="4">
        <v>56</v>
      </c>
      <c r="P1210">
        <v>0</v>
      </c>
      <c r="Q1210" s="4">
        <v>56</v>
      </c>
      <c r="R1210" s="12">
        <f t="shared" si="18"/>
        <v>20720</v>
      </c>
      <c r="T1210" t="s">
        <v>263</v>
      </c>
      <c r="U1210" t="s">
        <v>937</v>
      </c>
      <c r="V1210" s="4">
        <v>370</v>
      </c>
      <c r="W1210">
        <v>0</v>
      </c>
    </row>
    <row r="1211" spans="1:23" hidden="1" x14ac:dyDescent="0.25">
      <c r="A1211" s="2">
        <v>45832.642557870371</v>
      </c>
      <c r="B1211">
        <v>237</v>
      </c>
      <c r="C1211" t="s">
        <v>935</v>
      </c>
      <c r="D1211" s="3">
        <v>45832</v>
      </c>
      <c r="E1211" s="3">
        <v>46264</v>
      </c>
      <c r="F1211" t="s">
        <v>66</v>
      </c>
      <c r="G1211" t="s">
        <v>1494</v>
      </c>
      <c r="H1211" t="s">
        <v>22</v>
      </c>
      <c r="I1211" t="s">
        <v>41</v>
      </c>
      <c r="J1211" t="s">
        <v>1491</v>
      </c>
      <c r="K1211" t="s">
        <v>24</v>
      </c>
      <c r="L1211" s="4">
        <v>370</v>
      </c>
      <c r="M1211" t="s">
        <v>936</v>
      </c>
      <c r="N1211" t="s">
        <v>46</v>
      </c>
      <c r="O1211" s="4">
        <v>56</v>
      </c>
      <c r="P1211">
        <v>0</v>
      </c>
      <c r="Q1211" s="4">
        <v>56</v>
      </c>
      <c r="R1211" s="12">
        <f t="shared" si="18"/>
        <v>20720</v>
      </c>
      <c r="T1211" t="s">
        <v>263</v>
      </c>
      <c r="U1211" t="s">
        <v>937</v>
      </c>
      <c r="V1211" s="4">
        <v>370</v>
      </c>
      <c r="W1211">
        <v>0</v>
      </c>
    </row>
    <row r="1212" spans="1:23" hidden="1" x14ac:dyDescent="0.25">
      <c r="A1212" s="2">
        <v>45832.642557870371</v>
      </c>
      <c r="B1212">
        <v>237</v>
      </c>
      <c r="C1212" t="s">
        <v>935</v>
      </c>
      <c r="D1212" s="3">
        <v>45832</v>
      </c>
      <c r="E1212" s="3">
        <v>46264</v>
      </c>
      <c r="F1212" t="s">
        <v>66</v>
      </c>
      <c r="G1212" t="s">
        <v>1494</v>
      </c>
      <c r="H1212" t="s">
        <v>22</v>
      </c>
      <c r="I1212" t="s">
        <v>63</v>
      </c>
      <c r="J1212" t="s">
        <v>1491</v>
      </c>
      <c r="K1212" t="s">
        <v>31</v>
      </c>
      <c r="L1212" s="4">
        <v>200</v>
      </c>
      <c r="M1212" t="s">
        <v>936</v>
      </c>
      <c r="N1212" t="s">
        <v>46</v>
      </c>
      <c r="O1212" s="4">
        <v>90</v>
      </c>
      <c r="P1212">
        <v>0</v>
      </c>
      <c r="Q1212" s="4">
        <v>90</v>
      </c>
      <c r="R1212" s="12">
        <f t="shared" si="18"/>
        <v>18000</v>
      </c>
      <c r="T1212" t="s">
        <v>263</v>
      </c>
      <c r="U1212" t="s">
        <v>937</v>
      </c>
      <c r="V1212" s="4">
        <v>200</v>
      </c>
      <c r="W1212">
        <v>0</v>
      </c>
    </row>
    <row r="1213" spans="1:23" hidden="1" x14ac:dyDescent="0.25">
      <c r="A1213" s="2">
        <v>45832.642557870371</v>
      </c>
      <c r="B1213">
        <v>237</v>
      </c>
      <c r="C1213" t="s">
        <v>935</v>
      </c>
      <c r="D1213" s="3">
        <v>45832</v>
      </c>
      <c r="E1213" s="3">
        <v>46264</v>
      </c>
      <c r="F1213" t="s">
        <v>66</v>
      </c>
      <c r="G1213" t="s">
        <v>1494</v>
      </c>
      <c r="H1213" t="s">
        <v>22</v>
      </c>
      <c r="I1213" t="s">
        <v>38</v>
      </c>
      <c r="J1213" t="s">
        <v>1491</v>
      </c>
      <c r="K1213" t="s">
        <v>24</v>
      </c>
      <c r="L1213" s="4">
        <v>50</v>
      </c>
      <c r="M1213" t="s">
        <v>936</v>
      </c>
      <c r="N1213" t="s">
        <v>46</v>
      </c>
      <c r="O1213" s="4">
        <v>114</v>
      </c>
      <c r="P1213">
        <v>0</v>
      </c>
      <c r="Q1213" s="4">
        <v>114</v>
      </c>
      <c r="R1213" s="12">
        <f t="shared" si="18"/>
        <v>5700</v>
      </c>
      <c r="T1213" t="s">
        <v>263</v>
      </c>
      <c r="U1213" t="s">
        <v>937</v>
      </c>
      <c r="V1213" s="4">
        <v>50</v>
      </c>
      <c r="W1213">
        <v>0</v>
      </c>
    </row>
    <row r="1214" spans="1:23" hidden="1" x14ac:dyDescent="0.25">
      <c r="A1214" s="2">
        <v>45832.642557870371</v>
      </c>
      <c r="B1214">
        <v>237</v>
      </c>
      <c r="C1214" t="s">
        <v>935</v>
      </c>
      <c r="D1214" s="3">
        <v>45832</v>
      </c>
      <c r="E1214" s="3">
        <v>46264</v>
      </c>
      <c r="F1214" t="s">
        <v>66</v>
      </c>
      <c r="H1214" t="s">
        <v>22</v>
      </c>
      <c r="I1214" t="s">
        <v>42</v>
      </c>
      <c r="J1214" t="s">
        <v>1490</v>
      </c>
      <c r="K1214" t="s">
        <v>24</v>
      </c>
      <c r="L1214" s="4">
        <v>190</v>
      </c>
      <c r="M1214" t="s">
        <v>936</v>
      </c>
      <c r="N1214" t="s">
        <v>46</v>
      </c>
      <c r="O1214" s="4">
        <v>115</v>
      </c>
      <c r="P1214">
        <v>0</v>
      </c>
      <c r="Q1214" s="4">
        <v>115</v>
      </c>
      <c r="R1214" s="12">
        <f t="shared" si="18"/>
        <v>21850</v>
      </c>
      <c r="T1214" t="s">
        <v>263</v>
      </c>
      <c r="U1214" t="s">
        <v>937</v>
      </c>
      <c r="V1214" s="4">
        <v>190</v>
      </c>
      <c r="W1214">
        <v>0</v>
      </c>
    </row>
    <row r="1215" spans="1:23" hidden="1" x14ac:dyDescent="0.25">
      <c r="A1215" s="2">
        <v>46087.350011574075</v>
      </c>
      <c r="B1215">
        <v>4632</v>
      </c>
      <c r="C1215" t="s">
        <v>938</v>
      </c>
      <c r="D1215" s="3">
        <v>46087</v>
      </c>
      <c r="E1215" s="3">
        <v>46088</v>
      </c>
      <c r="F1215" t="s">
        <v>79</v>
      </c>
      <c r="H1215" t="s">
        <v>22</v>
      </c>
      <c r="I1215" t="s">
        <v>80</v>
      </c>
      <c r="K1215" t="s">
        <v>31</v>
      </c>
      <c r="L1215" s="4">
        <v>45</v>
      </c>
      <c r="M1215" t="s">
        <v>939</v>
      </c>
      <c r="N1215" t="s">
        <v>46</v>
      </c>
      <c r="O1215" s="4">
        <v>60</v>
      </c>
      <c r="P1215">
        <v>0</v>
      </c>
      <c r="Q1215" s="4">
        <v>60</v>
      </c>
      <c r="R1215" s="12">
        <f t="shared" si="18"/>
        <v>2700</v>
      </c>
      <c r="T1215" t="s">
        <v>230</v>
      </c>
      <c r="U1215" t="s">
        <v>940</v>
      </c>
      <c r="V1215" s="4">
        <v>45</v>
      </c>
      <c r="W1215">
        <v>0</v>
      </c>
    </row>
    <row r="1216" spans="1:23" hidden="1" x14ac:dyDescent="0.25">
      <c r="A1216" s="2">
        <v>46043.717905092592</v>
      </c>
      <c r="B1216">
        <v>512</v>
      </c>
      <c r="C1216" t="s">
        <v>941</v>
      </c>
      <c r="D1216" s="3">
        <v>46043</v>
      </c>
      <c r="E1216" s="3">
        <v>46157</v>
      </c>
      <c r="F1216" t="s">
        <v>418</v>
      </c>
      <c r="H1216" t="s">
        <v>22</v>
      </c>
      <c r="I1216" t="s">
        <v>942</v>
      </c>
      <c r="J1216" t="s">
        <v>1490</v>
      </c>
      <c r="K1216" t="s">
        <v>31</v>
      </c>
      <c r="L1216" s="4">
        <v>17.5</v>
      </c>
      <c r="M1216" t="s">
        <v>943</v>
      </c>
      <c r="N1216" t="s">
        <v>26</v>
      </c>
      <c r="O1216" s="4">
        <v>150</v>
      </c>
      <c r="P1216">
        <v>0</v>
      </c>
      <c r="Q1216" s="4">
        <v>150</v>
      </c>
      <c r="R1216" s="12">
        <f t="shared" si="18"/>
        <v>2625</v>
      </c>
      <c r="T1216" t="s">
        <v>337</v>
      </c>
      <c r="U1216" t="s">
        <v>944</v>
      </c>
      <c r="V1216" s="4">
        <v>17.5</v>
      </c>
      <c r="W1216">
        <v>0</v>
      </c>
    </row>
    <row r="1217" spans="1:23" hidden="1" x14ac:dyDescent="0.25">
      <c r="A1217" s="2">
        <v>45856.610150462962</v>
      </c>
      <c r="B1217">
        <v>3937</v>
      </c>
      <c r="C1217" t="s">
        <v>945</v>
      </c>
      <c r="D1217" s="3">
        <v>45856</v>
      </c>
      <c r="E1217" s="3">
        <v>46111</v>
      </c>
      <c r="F1217" t="s">
        <v>52</v>
      </c>
      <c r="H1217" t="s">
        <v>22</v>
      </c>
      <c r="I1217" t="s">
        <v>946</v>
      </c>
      <c r="K1217" t="s">
        <v>24</v>
      </c>
      <c r="L1217" s="4">
        <v>12</v>
      </c>
      <c r="M1217" t="s">
        <v>947</v>
      </c>
      <c r="N1217" t="s">
        <v>26</v>
      </c>
      <c r="O1217" s="4">
        <v>220</v>
      </c>
      <c r="P1217">
        <v>0</v>
      </c>
      <c r="Q1217" s="4">
        <v>220</v>
      </c>
      <c r="R1217" s="12">
        <f t="shared" si="18"/>
        <v>2640</v>
      </c>
      <c r="T1217" t="s">
        <v>151</v>
      </c>
      <c r="U1217" t="s">
        <v>948</v>
      </c>
      <c r="V1217" s="4">
        <v>12</v>
      </c>
      <c r="W1217">
        <v>0</v>
      </c>
    </row>
    <row r="1218" spans="1:23" hidden="1" x14ac:dyDescent="0.25">
      <c r="A1218" s="2">
        <v>46013.638252314813</v>
      </c>
      <c r="B1218">
        <v>4374</v>
      </c>
      <c r="C1218" t="s">
        <v>945</v>
      </c>
      <c r="D1218" s="3">
        <v>46013</v>
      </c>
      <c r="E1218" s="3">
        <v>46295</v>
      </c>
      <c r="F1218" t="s">
        <v>52</v>
      </c>
      <c r="G1218" t="s">
        <v>1494</v>
      </c>
      <c r="H1218" t="s">
        <v>22</v>
      </c>
      <c r="I1218" t="s">
        <v>63</v>
      </c>
      <c r="J1218" t="s">
        <v>1491</v>
      </c>
      <c r="K1218" t="s">
        <v>31</v>
      </c>
      <c r="L1218" s="4">
        <v>190</v>
      </c>
      <c r="M1218" t="s">
        <v>949</v>
      </c>
      <c r="N1218" t="s">
        <v>46</v>
      </c>
      <c r="O1218" s="4">
        <v>100</v>
      </c>
      <c r="P1218">
        <v>0</v>
      </c>
      <c r="Q1218" s="4">
        <v>100</v>
      </c>
      <c r="R1218" s="12">
        <f t="shared" si="18"/>
        <v>19000</v>
      </c>
      <c r="T1218" t="s">
        <v>151</v>
      </c>
      <c r="U1218" t="s">
        <v>948</v>
      </c>
      <c r="V1218" s="4">
        <v>190</v>
      </c>
      <c r="W1218">
        <v>0</v>
      </c>
    </row>
    <row r="1219" spans="1:23" hidden="1" x14ac:dyDescent="0.25">
      <c r="A1219" s="2">
        <v>46013.638252314813</v>
      </c>
      <c r="B1219">
        <v>4374</v>
      </c>
      <c r="C1219" t="s">
        <v>945</v>
      </c>
      <c r="D1219" s="3">
        <v>46013</v>
      </c>
      <c r="E1219" s="3">
        <v>46295</v>
      </c>
      <c r="F1219" t="s">
        <v>52</v>
      </c>
      <c r="G1219" t="s">
        <v>1494</v>
      </c>
      <c r="H1219" t="s">
        <v>22</v>
      </c>
      <c r="I1219" t="s">
        <v>40</v>
      </c>
      <c r="J1219" t="s">
        <v>1491</v>
      </c>
      <c r="K1219" t="s">
        <v>24</v>
      </c>
      <c r="L1219" s="4">
        <v>340</v>
      </c>
      <c r="M1219" t="s">
        <v>949</v>
      </c>
      <c r="N1219" t="s">
        <v>46</v>
      </c>
      <c r="O1219" s="4">
        <v>48</v>
      </c>
      <c r="P1219">
        <v>0</v>
      </c>
      <c r="Q1219" s="4">
        <v>48</v>
      </c>
      <c r="R1219" s="12">
        <f t="shared" ref="R1219:R1282" si="19">Q1219*L1219</f>
        <v>16320</v>
      </c>
      <c r="T1219" t="s">
        <v>151</v>
      </c>
      <c r="U1219" t="s">
        <v>948</v>
      </c>
      <c r="V1219" s="4">
        <v>340</v>
      </c>
      <c r="W1219">
        <v>0</v>
      </c>
    </row>
    <row r="1220" spans="1:23" hidden="1" x14ac:dyDescent="0.25">
      <c r="A1220" s="2">
        <v>46013.638252314813</v>
      </c>
      <c r="B1220">
        <v>4374</v>
      </c>
      <c r="C1220" t="s">
        <v>945</v>
      </c>
      <c r="D1220" s="3">
        <v>46013</v>
      </c>
      <c r="E1220" s="3">
        <v>46295</v>
      </c>
      <c r="F1220" t="s">
        <v>52</v>
      </c>
      <c r="H1220" t="s">
        <v>22</v>
      </c>
      <c r="I1220" t="s">
        <v>72</v>
      </c>
      <c r="J1220" t="s">
        <v>1490</v>
      </c>
      <c r="K1220" t="s">
        <v>24</v>
      </c>
      <c r="L1220" s="4">
        <v>940</v>
      </c>
      <c r="M1220" t="s">
        <v>949</v>
      </c>
      <c r="N1220" t="s">
        <v>46</v>
      </c>
      <c r="O1220" s="4">
        <v>2</v>
      </c>
      <c r="P1220">
        <v>0</v>
      </c>
      <c r="Q1220" s="4">
        <v>2</v>
      </c>
      <c r="R1220" s="12">
        <f t="shared" si="19"/>
        <v>1880</v>
      </c>
      <c r="T1220" t="s">
        <v>151</v>
      </c>
      <c r="U1220" t="s">
        <v>948</v>
      </c>
      <c r="V1220" s="4">
        <v>940</v>
      </c>
      <c r="W1220">
        <v>0</v>
      </c>
    </row>
    <row r="1221" spans="1:23" hidden="1" x14ac:dyDescent="0.25">
      <c r="A1221" s="2">
        <v>46013.638252314813</v>
      </c>
      <c r="B1221">
        <v>4374</v>
      </c>
      <c r="C1221" t="s">
        <v>945</v>
      </c>
      <c r="D1221" s="3">
        <v>46013</v>
      </c>
      <c r="E1221" s="3">
        <v>46295</v>
      </c>
      <c r="F1221" t="s">
        <v>52</v>
      </c>
      <c r="H1221" t="s">
        <v>22</v>
      </c>
      <c r="I1221" t="s">
        <v>42</v>
      </c>
      <c r="J1221" t="s">
        <v>1490</v>
      </c>
      <c r="K1221" t="s">
        <v>24</v>
      </c>
      <c r="L1221" s="4">
        <v>250</v>
      </c>
      <c r="M1221" t="s">
        <v>949</v>
      </c>
      <c r="N1221" t="s">
        <v>46</v>
      </c>
      <c r="O1221" s="4">
        <v>20</v>
      </c>
      <c r="P1221">
        <v>0</v>
      </c>
      <c r="Q1221" s="4">
        <v>20</v>
      </c>
      <c r="R1221" s="12">
        <f t="shared" si="19"/>
        <v>5000</v>
      </c>
      <c r="T1221" t="s">
        <v>151</v>
      </c>
      <c r="U1221" t="s">
        <v>948</v>
      </c>
      <c r="V1221" s="4">
        <v>250</v>
      </c>
      <c r="W1221">
        <v>0</v>
      </c>
    </row>
    <row r="1222" spans="1:23" hidden="1" x14ac:dyDescent="0.25">
      <c r="A1222" s="2">
        <v>46013.638252314813</v>
      </c>
      <c r="B1222">
        <v>4374</v>
      </c>
      <c r="C1222" t="s">
        <v>945</v>
      </c>
      <c r="D1222" s="3">
        <v>46013</v>
      </c>
      <c r="E1222" s="3">
        <v>46295</v>
      </c>
      <c r="F1222" t="s">
        <v>52</v>
      </c>
      <c r="G1222" t="s">
        <v>1494</v>
      </c>
      <c r="H1222" t="s">
        <v>22</v>
      </c>
      <c r="I1222" t="s">
        <v>41</v>
      </c>
      <c r="J1222" t="s">
        <v>1491</v>
      </c>
      <c r="K1222" t="s">
        <v>24</v>
      </c>
      <c r="L1222" s="4">
        <v>340</v>
      </c>
      <c r="M1222" t="s">
        <v>949</v>
      </c>
      <c r="N1222" t="s">
        <v>46</v>
      </c>
      <c r="O1222" s="4">
        <v>48</v>
      </c>
      <c r="P1222">
        <v>0</v>
      </c>
      <c r="Q1222" s="4">
        <v>48</v>
      </c>
      <c r="R1222" s="12">
        <f t="shared" si="19"/>
        <v>16320</v>
      </c>
      <c r="T1222" t="s">
        <v>151</v>
      </c>
      <c r="U1222" t="s">
        <v>948</v>
      </c>
      <c r="V1222" s="4">
        <v>340</v>
      </c>
      <c r="W1222">
        <v>0</v>
      </c>
    </row>
    <row r="1223" spans="1:23" hidden="1" x14ac:dyDescent="0.25">
      <c r="A1223" s="2">
        <v>46055.364062499997</v>
      </c>
      <c r="B1223">
        <v>4518</v>
      </c>
      <c r="C1223" t="s">
        <v>945</v>
      </c>
      <c r="D1223" s="3">
        <v>46055</v>
      </c>
      <c r="E1223" s="3">
        <v>46295</v>
      </c>
      <c r="F1223" t="s">
        <v>52</v>
      </c>
      <c r="G1223" t="s">
        <v>1494</v>
      </c>
      <c r="H1223" t="s">
        <v>22</v>
      </c>
      <c r="I1223" t="s">
        <v>41</v>
      </c>
      <c r="J1223" t="s">
        <v>1491</v>
      </c>
      <c r="K1223" t="s">
        <v>24</v>
      </c>
      <c r="L1223" s="4">
        <v>340</v>
      </c>
      <c r="M1223" t="s">
        <v>950</v>
      </c>
      <c r="N1223" t="s">
        <v>46</v>
      </c>
      <c r="O1223" s="4">
        <v>25</v>
      </c>
      <c r="P1223">
        <v>0</v>
      </c>
      <c r="Q1223" s="4">
        <v>25</v>
      </c>
      <c r="R1223" s="12">
        <f t="shared" si="19"/>
        <v>8500</v>
      </c>
      <c r="T1223" t="s">
        <v>151</v>
      </c>
      <c r="U1223" t="s">
        <v>948</v>
      </c>
      <c r="V1223" s="4">
        <v>340</v>
      </c>
      <c r="W1223">
        <v>0</v>
      </c>
    </row>
    <row r="1224" spans="1:23" hidden="1" x14ac:dyDescent="0.25">
      <c r="A1224" s="2">
        <v>46055.364062499997</v>
      </c>
      <c r="B1224">
        <v>4518</v>
      </c>
      <c r="C1224" t="s">
        <v>945</v>
      </c>
      <c r="D1224" s="3">
        <v>46055</v>
      </c>
      <c r="E1224" s="3">
        <v>46295</v>
      </c>
      <c r="F1224" t="s">
        <v>52</v>
      </c>
      <c r="G1224" t="s">
        <v>1494</v>
      </c>
      <c r="H1224" t="s">
        <v>22</v>
      </c>
      <c r="I1224" t="s">
        <v>63</v>
      </c>
      <c r="J1224" t="s">
        <v>1491</v>
      </c>
      <c r="K1224" t="s">
        <v>31</v>
      </c>
      <c r="L1224" s="4">
        <v>190</v>
      </c>
      <c r="M1224" t="s">
        <v>950</v>
      </c>
      <c r="N1224" t="s">
        <v>46</v>
      </c>
      <c r="O1224" s="4">
        <v>50</v>
      </c>
      <c r="P1224">
        <v>0</v>
      </c>
      <c r="Q1224" s="4">
        <v>50</v>
      </c>
      <c r="R1224" s="12">
        <f t="shared" si="19"/>
        <v>9500</v>
      </c>
      <c r="T1224" t="s">
        <v>151</v>
      </c>
      <c r="U1224" t="s">
        <v>948</v>
      </c>
      <c r="V1224" s="4">
        <v>190</v>
      </c>
      <c r="W1224">
        <v>0</v>
      </c>
    </row>
    <row r="1225" spans="1:23" hidden="1" x14ac:dyDescent="0.25">
      <c r="A1225" s="2">
        <v>46055.364062499997</v>
      </c>
      <c r="B1225">
        <v>4518</v>
      </c>
      <c r="C1225" t="s">
        <v>945</v>
      </c>
      <c r="D1225" s="3">
        <v>46055</v>
      </c>
      <c r="E1225" s="3">
        <v>46295</v>
      </c>
      <c r="F1225" t="s">
        <v>52</v>
      </c>
      <c r="G1225" t="s">
        <v>1494</v>
      </c>
      <c r="H1225" t="s">
        <v>22</v>
      </c>
      <c r="I1225" t="s">
        <v>40</v>
      </c>
      <c r="J1225" t="s">
        <v>1491</v>
      </c>
      <c r="K1225" t="s">
        <v>24</v>
      </c>
      <c r="L1225" s="4">
        <v>340</v>
      </c>
      <c r="M1225" t="s">
        <v>950</v>
      </c>
      <c r="N1225" t="s">
        <v>46</v>
      </c>
      <c r="O1225" s="4">
        <v>25</v>
      </c>
      <c r="P1225">
        <v>0</v>
      </c>
      <c r="Q1225" s="4">
        <v>25</v>
      </c>
      <c r="R1225" s="12">
        <f t="shared" si="19"/>
        <v>8500</v>
      </c>
      <c r="T1225" t="s">
        <v>151</v>
      </c>
      <c r="U1225" t="s">
        <v>948</v>
      </c>
      <c r="V1225" s="4">
        <v>340</v>
      </c>
      <c r="W1225">
        <v>0</v>
      </c>
    </row>
    <row r="1226" spans="1:23" hidden="1" x14ac:dyDescent="0.25">
      <c r="A1226" s="2">
        <v>46066.706319444442</v>
      </c>
      <c r="B1226">
        <v>4561</v>
      </c>
      <c r="C1226" t="s">
        <v>945</v>
      </c>
      <c r="D1226" s="3">
        <v>46066</v>
      </c>
      <c r="E1226" s="3">
        <v>46295</v>
      </c>
      <c r="F1226" t="s">
        <v>52</v>
      </c>
      <c r="G1226" t="s">
        <v>1494</v>
      </c>
      <c r="H1226" t="s">
        <v>22</v>
      </c>
      <c r="I1226" t="s">
        <v>63</v>
      </c>
      <c r="J1226" t="s">
        <v>1491</v>
      </c>
      <c r="K1226" t="s">
        <v>31</v>
      </c>
      <c r="L1226" s="4">
        <v>190</v>
      </c>
      <c r="M1226" t="s">
        <v>951</v>
      </c>
      <c r="N1226" t="s">
        <v>46</v>
      </c>
      <c r="O1226" s="4">
        <v>20</v>
      </c>
      <c r="P1226">
        <v>0</v>
      </c>
      <c r="Q1226" s="4">
        <v>20</v>
      </c>
      <c r="R1226" s="12">
        <f t="shared" si="19"/>
        <v>3800</v>
      </c>
      <c r="T1226" t="s">
        <v>151</v>
      </c>
      <c r="U1226" t="s">
        <v>948</v>
      </c>
      <c r="V1226" s="4">
        <v>190</v>
      </c>
      <c r="W1226">
        <v>0</v>
      </c>
    </row>
    <row r="1227" spans="1:23" hidden="1" x14ac:dyDescent="0.25">
      <c r="A1227" s="2">
        <v>45929.732511574075</v>
      </c>
      <c r="B1227">
        <v>321</v>
      </c>
      <c r="C1227" t="s">
        <v>945</v>
      </c>
      <c r="D1227" s="3">
        <v>45929</v>
      </c>
      <c r="E1227" s="3">
        <v>46111</v>
      </c>
      <c r="F1227" t="s">
        <v>52</v>
      </c>
      <c r="H1227" t="s">
        <v>22</v>
      </c>
      <c r="I1227" t="s">
        <v>339</v>
      </c>
      <c r="J1227" t="s">
        <v>1490</v>
      </c>
      <c r="K1227" t="s">
        <v>24</v>
      </c>
      <c r="L1227" s="4">
        <v>18.5</v>
      </c>
      <c r="M1227" t="s">
        <v>952</v>
      </c>
      <c r="N1227" t="s">
        <v>26</v>
      </c>
      <c r="O1227" s="4">
        <v>300</v>
      </c>
      <c r="P1227">
        <v>0</v>
      </c>
      <c r="Q1227" s="4">
        <v>300</v>
      </c>
      <c r="R1227" s="12">
        <f t="shared" si="19"/>
        <v>5550</v>
      </c>
      <c r="T1227" t="s">
        <v>151</v>
      </c>
      <c r="U1227" t="s">
        <v>948</v>
      </c>
      <c r="V1227" s="4">
        <v>18.5</v>
      </c>
      <c r="W1227">
        <v>0</v>
      </c>
    </row>
    <row r="1228" spans="1:23" hidden="1" x14ac:dyDescent="0.25">
      <c r="A1228" s="2">
        <v>46038.729791666665</v>
      </c>
      <c r="B1228">
        <v>506</v>
      </c>
      <c r="C1228" t="s">
        <v>945</v>
      </c>
      <c r="D1228" s="3">
        <v>46038</v>
      </c>
      <c r="E1228" s="3">
        <v>46142</v>
      </c>
      <c r="F1228" t="s">
        <v>52</v>
      </c>
      <c r="H1228" t="s">
        <v>22</v>
      </c>
      <c r="I1228" t="s">
        <v>614</v>
      </c>
      <c r="K1228" t="s">
        <v>24</v>
      </c>
      <c r="L1228" s="4">
        <v>17</v>
      </c>
      <c r="M1228" t="s">
        <v>953</v>
      </c>
      <c r="N1228" t="s">
        <v>26</v>
      </c>
      <c r="O1228" s="4">
        <v>160</v>
      </c>
      <c r="P1228">
        <v>0</v>
      </c>
      <c r="Q1228" s="4">
        <v>160</v>
      </c>
      <c r="R1228" s="12">
        <f t="shared" si="19"/>
        <v>2720</v>
      </c>
      <c r="T1228" t="s">
        <v>151</v>
      </c>
      <c r="U1228" t="s">
        <v>948</v>
      </c>
      <c r="V1228" s="4">
        <v>17</v>
      </c>
      <c r="W1228">
        <v>0</v>
      </c>
    </row>
    <row r="1229" spans="1:23" hidden="1" x14ac:dyDescent="0.25">
      <c r="A1229" s="2">
        <v>45894.444733796299</v>
      </c>
      <c r="B1229">
        <v>3995</v>
      </c>
      <c r="C1229" t="s">
        <v>954</v>
      </c>
      <c r="D1229" s="3">
        <v>45894</v>
      </c>
      <c r="E1229" s="3">
        <v>46111</v>
      </c>
      <c r="F1229" t="s">
        <v>79</v>
      </c>
      <c r="H1229" t="s">
        <v>22</v>
      </c>
      <c r="I1229" t="s">
        <v>381</v>
      </c>
      <c r="K1229" t="s">
        <v>31</v>
      </c>
      <c r="L1229" s="4">
        <v>330</v>
      </c>
      <c r="M1229" t="s">
        <v>955</v>
      </c>
      <c r="N1229" t="s">
        <v>26</v>
      </c>
      <c r="O1229" s="4">
        <v>11</v>
      </c>
      <c r="P1229">
        <v>0</v>
      </c>
      <c r="Q1229" s="4">
        <v>11</v>
      </c>
      <c r="R1229" s="12">
        <f t="shared" si="19"/>
        <v>3630</v>
      </c>
      <c r="T1229" t="s">
        <v>27</v>
      </c>
      <c r="U1229" t="s">
        <v>956</v>
      </c>
      <c r="V1229" s="4">
        <v>330</v>
      </c>
      <c r="W1229">
        <v>0</v>
      </c>
    </row>
    <row r="1230" spans="1:23" hidden="1" x14ac:dyDescent="0.25">
      <c r="A1230" s="2">
        <v>45894.444733796299</v>
      </c>
      <c r="B1230">
        <v>3995</v>
      </c>
      <c r="C1230" t="s">
        <v>954</v>
      </c>
      <c r="D1230" s="3">
        <v>45894</v>
      </c>
      <c r="E1230" s="3">
        <v>46111</v>
      </c>
      <c r="F1230" t="s">
        <v>79</v>
      </c>
      <c r="H1230" t="s">
        <v>22</v>
      </c>
      <c r="I1230" t="s">
        <v>120</v>
      </c>
      <c r="K1230" t="s">
        <v>24</v>
      </c>
      <c r="L1230" s="4">
        <v>11</v>
      </c>
      <c r="M1230" t="s">
        <v>955</v>
      </c>
      <c r="N1230" t="s">
        <v>26</v>
      </c>
      <c r="O1230" s="4">
        <v>225</v>
      </c>
      <c r="P1230">
        <v>0</v>
      </c>
      <c r="Q1230" s="4">
        <v>225</v>
      </c>
      <c r="R1230" s="12">
        <f t="shared" si="19"/>
        <v>2475</v>
      </c>
      <c r="T1230" t="s">
        <v>27</v>
      </c>
      <c r="U1230" t="s">
        <v>956</v>
      </c>
      <c r="V1230" s="4">
        <v>11</v>
      </c>
      <c r="W1230">
        <v>0</v>
      </c>
    </row>
    <row r="1231" spans="1:23" hidden="1" x14ac:dyDescent="0.25">
      <c r="A1231" s="2">
        <v>45894.444733796299</v>
      </c>
      <c r="B1231">
        <v>3995</v>
      </c>
      <c r="C1231" t="s">
        <v>954</v>
      </c>
      <c r="D1231" s="3">
        <v>45894</v>
      </c>
      <c r="E1231" s="3">
        <v>46111</v>
      </c>
      <c r="F1231" t="s">
        <v>79</v>
      </c>
      <c r="H1231" t="s">
        <v>22</v>
      </c>
      <c r="I1231" t="s">
        <v>380</v>
      </c>
      <c r="K1231" t="s">
        <v>24</v>
      </c>
      <c r="L1231" s="4">
        <v>18.7805</v>
      </c>
      <c r="M1231" t="s">
        <v>955</v>
      </c>
      <c r="N1231" t="s">
        <v>26</v>
      </c>
      <c r="O1231" s="4">
        <v>35</v>
      </c>
      <c r="P1231">
        <v>0</v>
      </c>
      <c r="Q1231" s="4">
        <v>35</v>
      </c>
      <c r="R1231" s="12">
        <f t="shared" si="19"/>
        <v>657.3175</v>
      </c>
      <c r="T1231" t="s">
        <v>27</v>
      </c>
      <c r="U1231" t="s">
        <v>956</v>
      </c>
      <c r="V1231" s="4">
        <v>18.7805</v>
      </c>
      <c r="W1231">
        <v>0</v>
      </c>
    </row>
    <row r="1232" spans="1:23" hidden="1" x14ac:dyDescent="0.25">
      <c r="A1232" s="2">
        <v>45894.444733796299</v>
      </c>
      <c r="B1232">
        <v>3995</v>
      </c>
      <c r="C1232" t="s">
        <v>954</v>
      </c>
      <c r="D1232" s="3">
        <v>45894</v>
      </c>
      <c r="E1232" s="3">
        <v>46111</v>
      </c>
      <c r="F1232" t="s">
        <v>79</v>
      </c>
      <c r="H1232" t="s">
        <v>22</v>
      </c>
      <c r="I1232" t="s">
        <v>377</v>
      </c>
      <c r="K1232" t="s">
        <v>24</v>
      </c>
      <c r="L1232" s="4">
        <v>35</v>
      </c>
      <c r="M1232" t="s">
        <v>955</v>
      </c>
      <c r="N1232" t="s">
        <v>26</v>
      </c>
      <c r="O1232" s="4">
        <v>20</v>
      </c>
      <c r="P1232">
        <v>0</v>
      </c>
      <c r="Q1232" s="4">
        <v>20</v>
      </c>
      <c r="R1232" s="12">
        <f t="shared" si="19"/>
        <v>700</v>
      </c>
      <c r="T1232" t="s">
        <v>27</v>
      </c>
      <c r="U1232" t="s">
        <v>956</v>
      </c>
      <c r="V1232" s="4">
        <v>35</v>
      </c>
      <c r="W1232">
        <v>0</v>
      </c>
    </row>
    <row r="1233" spans="1:23" hidden="1" x14ac:dyDescent="0.25">
      <c r="A1233" s="2">
        <v>45789.595729166664</v>
      </c>
      <c r="B1233">
        <v>217</v>
      </c>
      <c r="C1233" t="s">
        <v>957</v>
      </c>
      <c r="D1233" s="3">
        <v>45789</v>
      </c>
      <c r="E1233" s="3">
        <v>45930</v>
      </c>
      <c r="F1233" t="s">
        <v>66</v>
      </c>
      <c r="H1233" t="s">
        <v>22</v>
      </c>
      <c r="I1233" t="s">
        <v>134</v>
      </c>
      <c r="K1233" t="s">
        <v>105</v>
      </c>
      <c r="L1233" s="4">
        <v>1400</v>
      </c>
      <c r="N1233" t="s">
        <v>26</v>
      </c>
      <c r="O1233" s="4">
        <v>10</v>
      </c>
      <c r="P1233">
        <v>0</v>
      </c>
      <c r="Q1233" s="4">
        <v>10</v>
      </c>
      <c r="R1233" s="12">
        <f t="shared" si="19"/>
        <v>14000</v>
      </c>
      <c r="T1233" t="s">
        <v>405</v>
      </c>
      <c r="U1233" t="s">
        <v>958</v>
      </c>
      <c r="V1233" s="4">
        <v>1400</v>
      </c>
      <c r="W1233">
        <v>0</v>
      </c>
    </row>
    <row r="1234" spans="1:23" hidden="1" x14ac:dyDescent="0.25">
      <c r="A1234" s="2">
        <v>45910.425659722219</v>
      </c>
      <c r="B1234">
        <v>4021</v>
      </c>
      <c r="C1234" t="s">
        <v>959</v>
      </c>
      <c r="D1234" s="3">
        <v>45910</v>
      </c>
      <c r="E1234" s="3">
        <v>46111</v>
      </c>
      <c r="F1234" t="s">
        <v>143</v>
      </c>
      <c r="G1234" t="s">
        <v>1493</v>
      </c>
      <c r="H1234" t="s">
        <v>22</v>
      </c>
      <c r="I1234" t="s">
        <v>101</v>
      </c>
      <c r="J1234" t="s">
        <v>1491</v>
      </c>
      <c r="K1234" t="s">
        <v>31</v>
      </c>
      <c r="L1234" s="4">
        <v>570</v>
      </c>
      <c r="M1234" t="s">
        <v>960</v>
      </c>
      <c r="N1234" t="s">
        <v>26</v>
      </c>
      <c r="O1234" s="4">
        <v>4</v>
      </c>
      <c r="P1234">
        <v>0</v>
      </c>
      <c r="Q1234" s="4">
        <v>4</v>
      </c>
      <c r="R1234" s="12">
        <f t="shared" si="19"/>
        <v>2280</v>
      </c>
      <c r="T1234" t="s">
        <v>151</v>
      </c>
      <c r="U1234" t="s">
        <v>961</v>
      </c>
      <c r="V1234" s="4">
        <v>570</v>
      </c>
      <c r="W1234">
        <v>0</v>
      </c>
    </row>
    <row r="1235" spans="1:23" hidden="1" x14ac:dyDescent="0.25">
      <c r="A1235" s="2">
        <v>45916.312037037038</v>
      </c>
      <c r="B1235">
        <v>4042</v>
      </c>
      <c r="C1235" t="s">
        <v>959</v>
      </c>
      <c r="D1235" s="3">
        <v>45916</v>
      </c>
      <c r="E1235" s="3">
        <v>46111</v>
      </c>
      <c r="F1235" t="s">
        <v>143</v>
      </c>
      <c r="G1235" t="s">
        <v>1493</v>
      </c>
      <c r="H1235" t="s">
        <v>22</v>
      </c>
      <c r="I1235" t="s">
        <v>101</v>
      </c>
      <c r="J1235" t="s">
        <v>1491</v>
      </c>
      <c r="K1235" t="s">
        <v>31</v>
      </c>
      <c r="L1235" s="4">
        <v>570</v>
      </c>
      <c r="M1235" t="s">
        <v>962</v>
      </c>
      <c r="N1235" t="s">
        <v>26</v>
      </c>
      <c r="O1235" s="4">
        <v>18</v>
      </c>
      <c r="P1235">
        <v>0</v>
      </c>
      <c r="Q1235" s="4">
        <v>18</v>
      </c>
      <c r="R1235" s="12">
        <f t="shared" si="19"/>
        <v>10260</v>
      </c>
      <c r="T1235" t="s">
        <v>151</v>
      </c>
      <c r="U1235" t="s">
        <v>961</v>
      </c>
      <c r="V1235" s="4">
        <v>570</v>
      </c>
      <c r="W1235">
        <v>0</v>
      </c>
    </row>
    <row r="1236" spans="1:23" hidden="1" x14ac:dyDescent="0.25">
      <c r="A1236" s="2">
        <v>45994.584143518521</v>
      </c>
      <c r="B1236">
        <v>4319</v>
      </c>
      <c r="C1236" t="s">
        <v>959</v>
      </c>
      <c r="D1236" s="3">
        <v>45994</v>
      </c>
      <c r="E1236" s="3">
        <v>46264</v>
      </c>
      <c r="F1236" t="s">
        <v>143</v>
      </c>
      <c r="H1236" t="s">
        <v>22</v>
      </c>
      <c r="I1236" t="s">
        <v>207</v>
      </c>
      <c r="K1236" t="s">
        <v>24</v>
      </c>
      <c r="L1236" s="4">
        <v>450</v>
      </c>
      <c r="M1236" t="s">
        <v>963</v>
      </c>
      <c r="N1236" t="s">
        <v>46</v>
      </c>
      <c r="O1236" s="4">
        <v>53</v>
      </c>
      <c r="P1236">
        <v>0</v>
      </c>
      <c r="Q1236" s="4">
        <v>53</v>
      </c>
      <c r="R1236" s="12">
        <f t="shared" si="19"/>
        <v>23850</v>
      </c>
      <c r="T1236" t="s">
        <v>151</v>
      </c>
      <c r="U1236" t="s">
        <v>961</v>
      </c>
      <c r="V1236" s="4">
        <v>450</v>
      </c>
      <c r="W1236">
        <v>0</v>
      </c>
    </row>
    <row r="1237" spans="1:23" hidden="1" x14ac:dyDescent="0.25">
      <c r="A1237" s="2">
        <v>45994.584143518521</v>
      </c>
      <c r="B1237">
        <v>4319</v>
      </c>
      <c r="C1237" t="s">
        <v>959</v>
      </c>
      <c r="D1237" s="3">
        <v>45994</v>
      </c>
      <c r="E1237" s="3">
        <v>46264</v>
      </c>
      <c r="F1237" t="s">
        <v>143</v>
      </c>
      <c r="G1237" t="s">
        <v>1493</v>
      </c>
      <c r="H1237" t="s">
        <v>22</v>
      </c>
      <c r="I1237" t="s">
        <v>63</v>
      </c>
      <c r="J1237" t="s">
        <v>1491</v>
      </c>
      <c r="K1237" t="s">
        <v>31</v>
      </c>
      <c r="L1237" s="4">
        <v>195</v>
      </c>
      <c r="M1237" t="s">
        <v>963</v>
      </c>
      <c r="N1237" t="s">
        <v>46</v>
      </c>
      <c r="O1237" s="4">
        <v>7</v>
      </c>
      <c r="P1237">
        <v>0</v>
      </c>
      <c r="Q1237" s="4">
        <v>7</v>
      </c>
      <c r="R1237" s="12">
        <f t="shared" si="19"/>
        <v>1365</v>
      </c>
      <c r="T1237" t="s">
        <v>151</v>
      </c>
      <c r="U1237" t="s">
        <v>961</v>
      </c>
      <c r="V1237" s="4">
        <v>195</v>
      </c>
      <c r="W1237">
        <v>0</v>
      </c>
    </row>
    <row r="1238" spans="1:23" hidden="1" x14ac:dyDescent="0.25">
      <c r="A1238" s="2">
        <v>45994.584143518521</v>
      </c>
      <c r="B1238">
        <v>4319</v>
      </c>
      <c r="C1238" t="s">
        <v>959</v>
      </c>
      <c r="D1238" s="3">
        <v>45994</v>
      </c>
      <c r="E1238" s="3">
        <v>46264</v>
      </c>
      <c r="F1238" t="s">
        <v>143</v>
      </c>
      <c r="H1238" t="s">
        <v>22</v>
      </c>
      <c r="I1238" t="s">
        <v>72</v>
      </c>
      <c r="J1238" t="s">
        <v>1490</v>
      </c>
      <c r="K1238" t="s">
        <v>24</v>
      </c>
      <c r="L1238" s="4">
        <v>950</v>
      </c>
      <c r="M1238" t="s">
        <v>963</v>
      </c>
      <c r="N1238" t="s">
        <v>46</v>
      </c>
      <c r="O1238" s="4">
        <v>5</v>
      </c>
      <c r="P1238">
        <v>0</v>
      </c>
      <c r="Q1238" s="4">
        <v>5</v>
      </c>
      <c r="R1238" s="12">
        <f t="shared" si="19"/>
        <v>4750</v>
      </c>
      <c r="T1238" t="s">
        <v>151</v>
      </c>
      <c r="U1238" t="s">
        <v>961</v>
      </c>
      <c r="V1238" s="4">
        <v>950</v>
      </c>
      <c r="W1238">
        <v>0</v>
      </c>
    </row>
    <row r="1239" spans="1:23" hidden="1" x14ac:dyDescent="0.25">
      <c r="A1239" s="2">
        <v>45994.584143518521</v>
      </c>
      <c r="B1239">
        <v>4319</v>
      </c>
      <c r="C1239" t="s">
        <v>959</v>
      </c>
      <c r="D1239" s="3">
        <v>45994</v>
      </c>
      <c r="E1239" s="3">
        <v>46264</v>
      </c>
      <c r="F1239" t="s">
        <v>143</v>
      </c>
      <c r="G1239" t="s">
        <v>1493</v>
      </c>
      <c r="H1239" t="s">
        <v>22</v>
      </c>
      <c r="I1239" t="s">
        <v>38</v>
      </c>
      <c r="J1239" t="s">
        <v>1491</v>
      </c>
      <c r="K1239" t="s">
        <v>24</v>
      </c>
      <c r="L1239" s="4">
        <v>50</v>
      </c>
      <c r="M1239" t="s">
        <v>963</v>
      </c>
      <c r="N1239" t="s">
        <v>46</v>
      </c>
      <c r="O1239" s="4">
        <v>54</v>
      </c>
      <c r="P1239">
        <v>0</v>
      </c>
      <c r="Q1239" s="4">
        <v>54</v>
      </c>
      <c r="R1239" s="12">
        <f t="shared" si="19"/>
        <v>2700</v>
      </c>
      <c r="T1239" t="s">
        <v>151</v>
      </c>
      <c r="U1239" t="s">
        <v>961</v>
      </c>
      <c r="V1239" s="4">
        <v>50</v>
      </c>
      <c r="W1239">
        <v>0</v>
      </c>
    </row>
    <row r="1240" spans="1:23" hidden="1" x14ac:dyDescent="0.25">
      <c r="A1240" s="2">
        <v>45905.725462962961</v>
      </c>
      <c r="B1240">
        <v>288</v>
      </c>
      <c r="C1240" t="s">
        <v>964</v>
      </c>
      <c r="D1240" s="3">
        <v>45905</v>
      </c>
      <c r="E1240" s="3">
        <v>45930</v>
      </c>
      <c r="F1240" t="s">
        <v>418</v>
      </c>
      <c r="H1240" t="s">
        <v>22</v>
      </c>
      <c r="I1240" t="s">
        <v>148</v>
      </c>
      <c r="J1240" t="s">
        <v>1490</v>
      </c>
      <c r="K1240" t="s">
        <v>24</v>
      </c>
      <c r="L1240" s="4">
        <v>82</v>
      </c>
      <c r="M1240" t="s">
        <v>965</v>
      </c>
      <c r="N1240" t="s">
        <v>26</v>
      </c>
      <c r="O1240" s="4">
        <v>10</v>
      </c>
      <c r="P1240">
        <v>0</v>
      </c>
      <c r="Q1240" s="4">
        <v>10</v>
      </c>
      <c r="R1240" s="12">
        <f t="shared" si="19"/>
        <v>820</v>
      </c>
      <c r="T1240" t="s">
        <v>140</v>
      </c>
      <c r="U1240" t="s">
        <v>966</v>
      </c>
      <c r="V1240" s="4">
        <v>82</v>
      </c>
      <c r="W1240">
        <v>0</v>
      </c>
    </row>
    <row r="1241" spans="1:23" hidden="1" x14ac:dyDescent="0.25">
      <c r="A1241" s="2">
        <v>45905.725462962961</v>
      </c>
      <c r="B1241">
        <v>288</v>
      </c>
      <c r="C1241" t="s">
        <v>964</v>
      </c>
      <c r="D1241" s="3">
        <v>45905</v>
      </c>
      <c r="E1241" s="3">
        <v>45930</v>
      </c>
      <c r="F1241" t="s">
        <v>418</v>
      </c>
      <c r="H1241" t="s">
        <v>22</v>
      </c>
      <c r="I1241" t="s">
        <v>35</v>
      </c>
      <c r="J1241" t="s">
        <v>1490</v>
      </c>
      <c r="K1241" t="s">
        <v>24</v>
      </c>
      <c r="L1241" s="4">
        <v>67.5</v>
      </c>
      <c r="M1241" t="s">
        <v>965</v>
      </c>
      <c r="N1241" t="s">
        <v>26</v>
      </c>
      <c r="O1241" s="4">
        <v>20</v>
      </c>
      <c r="P1241">
        <v>0</v>
      </c>
      <c r="Q1241" s="4">
        <v>20</v>
      </c>
      <c r="R1241" s="12">
        <f t="shared" si="19"/>
        <v>1350</v>
      </c>
      <c r="T1241" t="s">
        <v>140</v>
      </c>
      <c r="U1241" t="s">
        <v>966</v>
      </c>
      <c r="V1241" s="4">
        <v>67.5</v>
      </c>
      <c r="W1241">
        <v>0</v>
      </c>
    </row>
    <row r="1242" spans="1:23" hidden="1" x14ac:dyDescent="0.25">
      <c r="A1242" s="2">
        <v>45905.725462962961</v>
      </c>
      <c r="B1242">
        <v>288</v>
      </c>
      <c r="C1242" t="s">
        <v>964</v>
      </c>
      <c r="D1242" s="3">
        <v>45905</v>
      </c>
      <c r="E1242" s="3">
        <v>45930</v>
      </c>
      <c r="F1242" t="s">
        <v>418</v>
      </c>
      <c r="H1242" t="s">
        <v>22</v>
      </c>
      <c r="I1242" t="s">
        <v>53</v>
      </c>
      <c r="K1242" t="s">
        <v>24</v>
      </c>
      <c r="L1242" s="4">
        <v>148.5</v>
      </c>
      <c r="M1242" t="s">
        <v>965</v>
      </c>
      <c r="N1242" t="s">
        <v>26</v>
      </c>
      <c r="O1242" s="4">
        <v>10</v>
      </c>
      <c r="P1242">
        <v>0</v>
      </c>
      <c r="Q1242" s="4">
        <v>10</v>
      </c>
      <c r="R1242" s="12">
        <f t="shared" si="19"/>
        <v>1485</v>
      </c>
      <c r="T1242" t="s">
        <v>140</v>
      </c>
      <c r="U1242" t="s">
        <v>966</v>
      </c>
      <c r="V1242" s="4">
        <v>148.5</v>
      </c>
      <c r="W1242">
        <v>0</v>
      </c>
    </row>
    <row r="1243" spans="1:23" hidden="1" x14ac:dyDescent="0.25">
      <c r="A1243" s="2">
        <v>45905.725462962961</v>
      </c>
      <c r="B1243">
        <v>288</v>
      </c>
      <c r="C1243" t="s">
        <v>964</v>
      </c>
      <c r="D1243" s="3">
        <v>45905</v>
      </c>
      <c r="E1243" s="3">
        <v>45930</v>
      </c>
      <c r="F1243" t="s">
        <v>418</v>
      </c>
      <c r="H1243" t="s">
        <v>22</v>
      </c>
      <c r="I1243" t="s">
        <v>57</v>
      </c>
      <c r="K1243" t="s">
        <v>31</v>
      </c>
      <c r="L1243" s="4">
        <v>76</v>
      </c>
      <c r="M1243" t="s">
        <v>965</v>
      </c>
      <c r="N1243" t="s">
        <v>26</v>
      </c>
      <c r="O1243" s="4">
        <v>6</v>
      </c>
      <c r="P1243">
        <v>0</v>
      </c>
      <c r="Q1243" s="4">
        <v>6</v>
      </c>
      <c r="R1243" s="12">
        <f t="shared" si="19"/>
        <v>456</v>
      </c>
      <c r="T1243" t="s">
        <v>140</v>
      </c>
      <c r="U1243" t="s">
        <v>966</v>
      </c>
      <c r="V1243" s="4">
        <v>76</v>
      </c>
      <c r="W1243">
        <v>0</v>
      </c>
    </row>
    <row r="1244" spans="1:23" hidden="1" x14ac:dyDescent="0.25">
      <c r="A1244" s="2">
        <v>45905.725462962961</v>
      </c>
      <c r="B1244">
        <v>288</v>
      </c>
      <c r="C1244" t="s">
        <v>964</v>
      </c>
      <c r="D1244" s="3">
        <v>45905</v>
      </c>
      <c r="E1244" s="3">
        <v>45930</v>
      </c>
      <c r="F1244" t="s">
        <v>418</v>
      </c>
      <c r="H1244" t="s">
        <v>22</v>
      </c>
      <c r="I1244" t="s">
        <v>36</v>
      </c>
      <c r="J1244" t="s">
        <v>1490</v>
      </c>
      <c r="K1244" t="s">
        <v>24</v>
      </c>
      <c r="L1244" s="4">
        <v>67.5</v>
      </c>
      <c r="M1244" t="s">
        <v>965</v>
      </c>
      <c r="N1244" t="s">
        <v>26</v>
      </c>
      <c r="O1244" s="4">
        <v>20</v>
      </c>
      <c r="P1244">
        <v>0</v>
      </c>
      <c r="Q1244" s="4">
        <v>20</v>
      </c>
      <c r="R1244" s="12">
        <f t="shared" si="19"/>
        <v>1350</v>
      </c>
      <c r="T1244" t="s">
        <v>140</v>
      </c>
      <c r="U1244" t="s">
        <v>966</v>
      </c>
      <c r="V1244" s="4">
        <v>67.5</v>
      </c>
      <c r="W1244">
        <v>0</v>
      </c>
    </row>
    <row r="1245" spans="1:23" hidden="1" x14ac:dyDescent="0.25">
      <c r="A1245" s="2">
        <v>45789.585960648146</v>
      </c>
      <c r="B1245">
        <v>216</v>
      </c>
      <c r="C1245" t="s">
        <v>967</v>
      </c>
      <c r="D1245" s="3">
        <v>45789</v>
      </c>
      <c r="E1245" s="3">
        <v>45930</v>
      </c>
      <c r="F1245" t="s">
        <v>66</v>
      </c>
      <c r="H1245" t="s">
        <v>22</v>
      </c>
      <c r="I1245" t="s">
        <v>134</v>
      </c>
      <c r="K1245" t="s">
        <v>105</v>
      </c>
      <c r="L1245" s="4">
        <v>1400</v>
      </c>
      <c r="N1245" t="s">
        <v>26</v>
      </c>
      <c r="O1245" s="4">
        <v>10</v>
      </c>
      <c r="P1245">
        <v>0</v>
      </c>
      <c r="Q1245" s="4">
        <v>10</v>
      </c>
      <c r="R1245" s="12">
        <f t="shared" si="19"/>
        <v>14000</v>
      </c>
      <c r="T1245" t="s">
        <v>405</v>
      </c>
      <c r="U1245" t="s">
        <v>968</v>
      </c>
      <c r="V1245" s="4">
        <v>1400</v>
      </c>
      <c r="W1245">
        <v>0</v>
      </c>
    </row>
    <row r="1246" spans="1:23" hidden="1" x14ac:dyDescent="0.25">
      <c r="A1246" s="2">
        <v>45797.344814814816</v>
      </c>
      <c r="B1246">
        <v>223</v>
      </c>
      <c r="C1246" t="s">
        <v>969</v>
      </c>
      <c r="D1246" s="3">
        <v>45797</v>
      </c>
      <c r="E1246" s="3">
        <v>46142</v>
      </c>
      <c r="F1246" t="s">
        <v>66</v>
      </c>
      <c r="G1246" t="s">
        <v>1494</v>
      </c>
      <c r="H1246" t="s">
        <v>22</v>
      </c>
      <c r="I1246" t="s">
        <v>63</v>
      </c>
      <c r="J1246" t="s">
        <v>1491</v>
      </c>
      <c r="K1246" t="s">
        <v>31</v>
      </c>
      <c r="L1246" s="4">
        <v>170</v>
      </c>
      <c r="M1246" t="s">
        <v>970</v>
      </c>
      <c r="N1246" t="s">
        <v>26</v>
      </c>
      <c r="O1246" s="4">
        <v>100</v>
      </c>
      <c r="P1246">
        <v>0</v>
      </c>
      <c r="Q1246" s="4">
        <v>100</v>
      </c>
      <c r="R1246" s="12">
        <f t="shared" si="19"/>
        <v>17000</v>
      </c>
      <c r="T1246" t="s">
        <v>263</v>
      </c>
      <c r="U1246" t="s">
        <v>971</v>
      </c>
      <c r="V1246" s="4">
        <v>170</v>
      </c>
      <c r="W1246">
        <v>0</v>
      </c>
    </row>
    <row r="1247" spans="1:23" hidden="1" x14ac:dyDescent="0.25">
      <c r="A1247" s="2">
        <v>45797.344814814816</v>
      </c>
      <c r="B1247">
        <v>223</v>
      </c>
      <c r="C1247" t="s">
        <v>969</v>
      </c>
      <c r="D1247" s="3">
        <v>45797</v>
      </c>
      <c r="E1247" s="3">
        <v>46142</v>
      </c>
      <c r="F1247" t="s">
        <v>66</v>
      </c>
      <c r="G1247" t="s">
        <v>1494</v>
      </c>
      <c r="H1247" t="s">
        <v>22</v>
      </c>
      <c r="I1247" t="s">
        <v>41</v>
      </c>
      <c r="J1247" t="s">
        <v>1491</v>
      </c>
      <c r="K1247" t="s">
        <v>24</v>
      </c>
      <c r="L1247" s="4">
        <v>300</v>
      </c>
      <c r="M1247" t="s">
        <v>970</v>
      </c>
      <c r="N1247" t="s">
        <v>26</v>
      </c>
      <c r="O1247" s="4">
        <v>50</v>
      </c>
      <c r="P1247">
        <v>0</v>
      </c>
      <c r="Q1247" s="4">
        <v>50</v>
      </c>
      <c r="R1247" s="12">
        <f t="shared" si="19"/>
        <v>15000</v>
      </c>
      <c r="T1247" t="s">
        <v>263</v>
      </c>
      <c r="U1247" t="s">
        <v>971</v>
      </c>
      <c r="V1247" s="4">
        <v>300</v>
      </c>
      <c r="W1247">
        <v>0</v>
      </c>
    </row>
    <row r="1248" spans="1:23" hidden="1" x14ac:dyDescent="0.25">
      <c r="A1248" s="2">
        <v>45797.344814814816</v>
      </c>
      <c r="B1248">
        <v>223</v>
      </c>
      <c r="C1248" t="s">
        <v>969</v>
      </c>
      <c r="D1248" s="3">
        <v>45797</v>
      </c>
      <c r="E1248" s="3">
        <v>46142</v>
      </c>
      <c r="F1248" t="s">
        <v>66</v>
      </c>
      <c r="G1248" t="s">
        <v>1494</v>
      </c>
      <c r="H1248" t="s">
        <v>22</v>
      </c>
      <c r="I1248" t="s">
        <v>101</v>
      </c>
      <c r="J1248" t="s">
        <v>1491</v>
      </c>
      <c r="K1248" t="s">
        <v>31</v>
      </c>
      <c r="L1248" s="4">
        <v>560</v>
      </c>
      <c r="M1248" t="s">
        <v>970</v>
      </c>
      <c r="N1248" t="s">
        <v>26</v>
      </c>
      <c r="O1248" s="4">
        <v>50</v>
      </c>
      <c r="P1248">
        <v>0</v>
      </c>
      <c r="Q1248" s="4">
        <v>50</v>
      </c>
      <c r="R1248" s="12">
        <f t="shared" si="19"/>
        <v>28000</v>
      </c>
      <c r="T1248" t="s">
        <v>263</v>
      </c>
      <c r="U1248" t="s">
        <v>971</v>
      </c>
      <c r="V1248" s="4">
        <v>560</v>
      </c>
      <c r="W1248">
        <v>0</v>
      </c>
    </row>
    <row r="1249" spans="1:23" hidden="1" x14ac:dyDescent="0.25">
      <c r="A1249" s="2">
        <v>45761.33489583333</v>
      </c>
      <c r="B1249">
        <v>174</v>
      </c>
      <c r="C1249" t="s">
        <v>972</v>
      </c>
      <c r="D1249" s="3">
        <v>45761</v>
      </c>
      <c r="E1249" s="3">
        <v>46142</v>
      </c>
      <c r="F1249" t="s">
        <v>66</v>
      </c>
      <c r="G1249" t="s">
        <v>1494</v>
      </c>
      <c r="H1249" t="s">
        <v>22</v>
      </c>
      <c r="I1249" t="s">
        <v>101</v>
      </c>
      <c r="J1249" t="s">
        <v>1491</v>
      </c>
      <c r="K1249" t="s">
        <v>31</v>
      </c>
      <c r="L1249" s="4">
        <v>500</v>
      </c>
      <c r="M1249" t="s">
        <v>973</v>
      </c>
      <c r="N1249" t="s">
        <v>26</v>
      </c>
      <c r="O1249" s="4">
        <v>17</v>
      </c>
      <c r="P1249">
        <v>0</v>
      </c>
      <c r="Q1249" s="4">
        <v>17</v>
      </c>
      <c r="R1249" s="12">
        <f t="shared" si="19"/>
        <v>8500</v>
      </c>
      <c r="T1249" t="s">
        <v>263</v>
      </c>
      <c r="U1249" t="s">
        <v>974</v>
      </c>
      <c r="V1249" s="4">
        <v>500</v>
      </c>
      <c r="W1249">
        <v>0</v>
      </c>
    </row>
    <row r="1250" spans="1:23" hidden="1" x14ac:dyDescent="0.25">
      <c r="A1250" s="2">
        <v>45761.33489583333</v>
      </c>
      <c r="B1250">
        <v>174</v>
      </c>
      <c r="C1250" t="s">
        <v>972</v>
      </c>
      <c r="D1250" s="3">
        <v>45761</v>
      </c>
      <c r="E1250" s="3">
        <v>46142</v>
      </c>
      <c r="F1250" t="s">
        <v>66</v>
      </c>
      <c r="G1250" t="s">
        <v>1494</v>
      </c>
      <c r="H1250" t="s">
        <v>22</v>
      </c>
      <c r="I1250" t="s">
        <v>40</v>
      </c>
      <c r="J1250" t="s">
        <v>1491</v>
      </c>
      <c r="K1250" t="s">
        <v>24</v>
      </c>
      <c r="L1250" s="4">
        <v>310</v>
      </c>
      <c r="M1250" t="s">
        <v>973</v>
      </c>
      <c r="N1250" t="s">
        <v>26</v>
      </c>
      <c r="O1250" s="4">
        <v>28</v>
      </c>
      <c r="P1250">
        <v>0</v>
      </c>
      <c r="Q1250" s="4">
        <v>28</v>
      </c>
      <c r="R1250" s="12">
        <f t="shared" si="19"/>
        <v>8680</v>
      </c>
      <c r="T1250" t="s">
        <v>263</v>
      </c>
      <c r="U1250" t="s">
        <v>974</v>
      </c>
      <c r="V1250" s="4">
        <v>310</v>
      </c>
      <c r="W1250">
        <v>0</v>
      </c>
    </row>
    <row r="1251" spans="1:23" hidden="1" x14ac:dyDescent="0.25">
      <c r="A1251" s="2">
        <v>45761.33489583333</v>
      </c>
      <c r="B1251">
        <v>174</v>
      </c>
      <c r="C1251" t="s">
        <v>972</v>
      </c>
      <c r="D1251" s="3">
        <v>45761</v>
      </c>
      <c r="E1251" s="3">
        <v>46142</v>
      </c>
      <c r="F1251" t="s">
        <v>66</v>
      </c>
      <c r="G1251" t="s">
        <v>1494</v>
      </c>
      <c r="H1251" t="s">
        <v>22</v>
      </c>
      <c r="I1251" t="s">
        <v>63</v>
      </c>
      <c r="J1251" t="s">
        <v>1491</v>
      </c>
      <c r="K1251" t="s">
        <v>31</v>
      </c>
      <c r="L1251" s="4">
        <v>187.4</v>
      </c>
      <c r="M1251" t="s">
        <v>973</v>
      </c>
      <c r="N1251" t="s">
        <v>26</v>
      </c>
      <c r="O1251" s="4">
        <v>90</v>
      </c>
      <c r="P1251">
        <v>0</v>
      </c>
      <c r="Q1251" s="4">
        <v>90</v>
      </c>
      <c r="R1251" s="12">
        <f t="shared" si="19"/>
        <v>16866</v>
      </c>
      <c r="T1251" t="s">
        <v>263</v>
      </c>
      <c r="U1251" t="s">
        <v>974</v>
      </c>
      <c r="V1251" s="4">
        <v>187.4</v>
      </c>
      <c r="W1251">
        <v>0</v>
      </c>
    </row>
    <row r="1252" spans="1:23" hidden="1" x14ac:dyDescent="0.25">
      <c r="A1252" s="2">
        <v>45761.33489583333</v>
      </c>
      <c r="B1252">
        <v>174</v>
      </c>
      <c r="C1252" t="s">
        <v>972</v>
      </c>
      <c r="D1252" s="3">
        <v>45761</v>
      </c>
      <c r="E1252" s="3">
        <v>46142</v>
      </c>
      <c r="F1252" t="s">
        <v>66</v>
      </c>
      <c r="G1252" t="s">
        <v>1494</v>
      </c>
      <c r="H1252" t="s">
        <v>22</v>
      </c>
      <c r="I1252" t="s">
        <v>41</v>
      </c>
      <c r="J1252" t="s">
        <v>1491</v>
      </c>
      <c r="K1252" t="s">
        <v>24</v>
      </c>
      <c r="L1252" s="4">
        <v>310</v>
      </c>
      <c r="M1252" t="s">
        <v>973</v>
      </c>
      <c r="N1252" t="s">
        <v>26</v>
      </c>
      <c r="O1252" s="4">
        <v>62</v>
      </c>
      <c r="P1252">
        <v>0</v>
      </c>
      <c r="Q1252" s="4">
        <v>62</v>
      </c>
      <c r="R1252" s="12">
        <f t="shared" si="19"/>
        <v>19220</v>
      </c>
      <c r="T1252" t="s">
        <v>263</v>
      </c>
      <c r="U1252" t="s">
        <v>974</v>
      </c>
      <c r="V1252" s="4">
        <v>310</v>
      </c>
      <c r="W1252">
        <v>0</v>
      </c>
    </row>
    <row r="1253" spans="1:23" hidden="1" x14ac:dyDescent="0.25">
      <c r="A1253" s="2">
        <v>45797.316377314812</v>
      </c>
      <c r="B1253">
        <v>221</v>
      </c>
      <c r="C1253" t="s">
        <v>972</v>
      </c>
      <c r="D1253" s="3">
        <v>45797</v>
      </c>
      <c r="E1253" s="3">
        <v>46142</v>
      </c>
      <c r="F1253" t="s">
        <v>66</v>
      </c>
      <c r="H1253" t="s">
        <v>22</v>
      </c>
      <c r="I1253" t="s">
        <v>328</v>
      </c>
      <c r="K1253" t="s">
        <v>24</v>
      </c>
      <c r="L1253" s="4">
        <v>61</v>
      </c>
      <c r="M1253" t="s">
        <v>975</v>
      </c>
      <c r="N1253" t="s">
        <v>26</v>
      </c>
      <c r="O1253" s="4">
        <v>200</v>
      </c>
      <c r="P1253">
        <v>0</v>
      </c>
      <c r="Q1253" s="4">
        <v>200</v>
      </c>
      <c r="R1253" s="12">
        <f t="shared" si="19"/>
        <v>12200</v>
      </c>
      <c r="T1253" t="s">
        <v>263</v>
      </c>
      <c r="U1253" t="s">
        <v>974</v>
      </c>
      <c r="V1253" s="4">
        <v>61</v>
      </c>
      <c r="W1253">
        <v>0</v>
      </c>
    </row>
    <row r="1254" spans="1:23" hidden="1" x14ac:dyDescent="0.25">
      <c r="A1254" s="2">
        <v>45797.316377314812</v>
      </c>
      <c r="B1254">
        <v>221</v>
      </c>
      <c r="C1254" t="s">
        <v>972</v>
      </c>
      <c r="D1254" s="3">
        <v>45797</v>
      </c>
      <c r="E1254" s="3">
        <v>46142</v>
      </c>
      <c r="F1254" t="s">
        <v>66</v>
      </c>
      <c r="H1254" t="s">
        <v>22</v>
      </c>
      <c r="I1254" t="s">
        <v>35</v>
      </c>
      <c r="J1254" t="s">
        <v>1490</v>
      </c>
      <c r="K1254" t="s">
        <v>24</v>
      </c>
      <c r="L1254" s="4">
        <v>61</v>
      </c>
      <c r="M1254" t="s">
        <v>975</v>
      </c>
      <c r="N1254" t="s">
        <v>26</v>
      </c>
      <c r="O1254" s="4">
        <v>200</v>
      </c>
      <c r="P1254">
        <v>0</v>
      </c>
      <c r="Q1254" s="4">
        <v>200</v>
      </c>
      <c r="R1254" s="12">
        <f t="shared" si="19"/>
        <v>12200</v>
      </c>
      <c r="T1254" t="s">
        <v>263</v>
      </c>
      <c r="U1254" t="s">
        <v>974</v>
      </c>
      <c r="V1254" s="4">
        <v>61</v>
      </c>
      <c r="W1254">
        <v>0</v>
      </c>
    </row>
    <row r="1255" spans="1:23" hidden="1" x14ac:dyDescent="0.25">
      <c r="A1255" s="2">
        <v>45989.594444444447</v>
      </c>
      <c r="B1255">
        <v>433</v>
      </c>
      <c r="C1255" t="s">
        <v>972</v>
      </c>
      <c r="D1255" s="3">
        <v>45989</v>
      </c>
      <c r="E1255" s="3">
        <v>46295</v>
      </c>
      <c r="F1255" t="s">
        <v>66</v>
      </c>
      <c r="H1255" t="s">
        <v>22</v>
      </c>
      <c r="I1255" t="s">
        <v>35</v>
      </c>
      <c r="J1255" t="s">
        <v>1490</v>
      </c>
      <c r="K1255" t="s">
        <v>24</v>
      </c>
      <c r="L1255" s="4">
        <v>61</v>
      </c>
      <c r="M1255" t="s">
        <v>976</v>
      </c>
      <c r="N1255" t="s">
        <v>46</v>
      </c>
      <c r="O1255" s="4">
        <v>400</v>
      </c>
      <c r="P1255">
        <v>0</v>
      </c>
      <c r="Q1255" s="4">
        <v>400</v>
      </c>
      <c r="R1255" s="12">
        <f t="shared" si="19"/>
        <v>24400</v>
      </c>
      <c r="T1255" t="s">
        <v>263</v>
      </c>
      <c r="U1255" t="s">
        <v>974</v>
      </c>
      <c r="V1255" s="4">
        <v>61</v>
      </c>
      <c r="W1255">
        <v>0</v>
      </c>
    </row>
    <row r="1256" spans="1:23" hidden="1" x14ac:dyDescent="0.25">
      <c r="A1256" s="2">
        <v>46029.31490740741</v>
      </c>
      <c r="B1256">
        <v>481</v>
      </c>
      <c r="C1256" t="s">
        <v>972</v>
      </c>
      <c r="D1256" s="3">
        <v>46029</v>
      </c>
      <c r="E1256" s="3">
        <v>46295</v>
      </c>
      <c r="F1256" t="s">
        <v>66</v>
      </c>
      <c r="G1256" t="s">
        <v>1494</v>
      </c>
      <c r="H1256" t="s">
        <v>22</v>
      </c>
      <c r="I1256" t="s">
        <v>63</v>
      </c>
      <c r="J1256" t="s">
        <v>1491</v>
      </c>
      <c r="K1256" t="s">
        <v>31</v>
      </c>
      <c r="L1256" s="4">
        <v>205.31</v>
      </c>
      <c r="M1256" t="s">
        <v>977</v>
      </c>
      <c r="N1256" t="s">
        <v>46</v>
      </c>
      <c r="O1256" s="4">
        <v>58</v>
      </c>
      <c r="P1256">
        <v>0</v>
      </c>
      <c r="Q1256" s="4">
        <v>58</v>
      </c>
      <c r="R1256" s="12">
        <f t="shared" si="19"/>
        <v>11907.98</v>
      </c>
      <c r="T1256" t="s">
        <v>263</v>
      </c>
      <c r="U1256" t="s">
        <v>974</v>
      </c>
      <c r="V1256" s="4">
        <v>205.31</v>
      </c>
      <c r="W1256">
        <v>0</v>
      </c>
    </row>
    <row r="1257" spans="1:23" hidden="1" x14ac:dyDescent="0.25">
      <c r="A1257" s="2">
        <v>46029.31490740741</v>
      </c>
      <c r="B1257">
        <v>481</v>
      </c>
      <c r="C1257" t="s">
        <v>972</v>
      </c>
      <c r="D1257" s="3">
        <v>46029</v>
      </c>
      <c r="E1257" s="3">
        <v>46295</v>
      </c>
      <c r="F1257" t="s">
        <v>66</v>
      </c>
      <c r="G1257" t="s">
        <v>1494</v>
      </c>
      <c r="H1257" t="s">
        <v>22</v>
      </c>
      <c r="I1257" t="s">
        <v>41</v>
      </c>
      <c r="J1257" t="s">
        <v>1491</v>
      </c>
      <c r="K1257" t="s">
        <v>24</v>
      </c>
      <c r="L1257" s="4">
        <v>335</v>
      </c>
      <c r="M1257" t="s">
        <v>977</v>
      </c>
      <c r="N1257" t="s">
        <v>46</v>
      </c>
      <c r="O1257" s="4">
        <v>26</v>
      </c>
      <c r="P1257">
        <v>0</v>
      </c>
      <c r="Q1257" s="4">
        <v>26</v>
      </c>
      <c r="R1257" s="12">
        <f t="shared" si="19"/>
        <v>8710</v>
      </c>
      <c r="T1257" t="s">
        <v>263</v>
      </c>
      <c r="U1257" t="s">
        <v>974</v>
      </c>
      <c r="V1257" s="4">
        <v>335</v>
      </c>
      <c r="W1257">
        <v>0</v>
      </c>
    </row>
    <row r="1258" spans="1:23" hidden="1" x14ac:dyDescent="0.25">
      <c r="A1258" s="2">
        <v>46029.31490740741</v>
      </c>
      <c r="B1258">
        <v>481</v>
      </c>
      <c r="C1258" t="s">
        <v>972</v>
      </c>
      <c r="D1258" s="3">
        <v>46029</v>
      </c>
      <c r="E1258" s="3">
        <v>46295</v>
      </c>
      <c r="F1258" t="s">
        <v>66</v>
      </c>
      <c r="G1258" t="s">
        <v>1494</v>
      </c>
      <c r="H1258" t="s">
        <v>22</v>
      </c>
      <c r="I1258" t="s">
        <v>40</v>
      </c>
      <c r="J1258" t="s">
        <v>1491</v>
      </c>
      <c r="K1258" t="s">
        <v>24</v>
      </c>
      <c r="L1258" s="4">
        <v>335</v>
      </c>
      <c r="M1258" t="s">
        <v>977</v>
      </c>
      <c r="N1258" t="s">
        <v>46</v>
      </c>
      <c r="O1258" s="4">
        <v>26</v>
      </c>
      <c r="P1258">
        <v>0</v>
      </c>
      <c r="Q1258" s="4">
        <v>26</v>
      </c>
      <c r="R1258" s="12">
        <f t="shared" si="19"/>
        <v>8710</v>
      </c>
      <c r="T1258" t="s">
        <v>263</v>
      </c>
      <c r="U1258" t="s">
        <v>974</v>
      </c>
      <c r="V1258" s="4">
        <v>335</v>
      </c>
      <c r="W1258">
        <v>0</v>
      </c>
    </row>
    <row r="1259" spans="1:23" hidden="1" x14ac:dyDescent="0.25">
      <c r="A1259" s="2">
        <v>46052.608194444445</v>
      </c>
      <c r="B1259">
        <v>521</v>
      </c>
      <c r="C1259" t="s">
        <v>972</v>
      </c>
      <c r="D1259" s="3">
        <v>46052</v>
      </c>
      <c r="E1259" s="3">
        <v>46264</v>
      </c>
      <c r="F1259" t="s">
        <v>66</v>
      </c>
      <c r="H1259" t="s">
        <v>22</v>
      </c>
      <c r="I1259" t="s">
        <v>559</v>
      </c>
      <c r="K1259" t="s">
        <v>24</v>
      </c>
      <c r="L1259" s="4">
        <v>18</v>
      </c>
      <c r="M1259" t="s">
        <v>978</v>
      </c>
      <c r="N1259" t="s">
        <v>46</v>
      </c>
      <c r="O1259" s="4">
        <v>60</v>
      </c>
      <c r="P1259">
        <v>0</v>
      </c>
      <c r="Q1259" s="4">
        <v>60</v>
      </c>
      <c r="R1259" s="12">
        <f t="shared" si="19"/>
        <v>1080</v>
      </c>
      <c r="T1259" t="s">
        <v>263</v>
      </c>
      <c r="U1259" t="s">
        <v>974</v>
      </c>
      <c r="V1259" s="4">
        <v>18</v>
      </c>
      <c r="W1259">
        <v>0</v>
      </c>
    </row>
    <row r="1260" spans="1:23" hidden="1" x14ac:dyDescent="0.25">
      <c r="A1260" s="2">
        <v>46052.608194444445</v>
      </c>
      <c r="B1260">
        <v>521</v>
      </c>
      <c r="C1260" t="s">
        <v>972</v>
      </c>
      <c r="D1260" s="3">
        <v>46052</v>
      </c>
      <c r="E1260" s="3">
        <v>46264</v>
      </c>
      <c r="F1260" t="s">
        <v>66</v>
      </c>
      <c r="G1260" t="s">
        <v>1494</v>
      </c>
      <c r="H1260" t="s">
        <v>22</v>
      </c>
      <c r="I1260" t="s">
        <v>468</v>
      </c>
      <c r="J1260" t="s">
        <v>1491</v>
      </c>
      <c r="K1260" t="s">
        <v>24</v>
      </c>
      <c r="L1260" s="4">
        <v>42</v>
      </c>
      <c r="M1260" t="s">
        <v>978</v>
      </c>
      <c r="N1260" t="s">
        <v>46</v>
      </c>
      <c r="O1260" s="4">
        <v>60</v>
      </c>
      <c r="P1260">
        <v>0</v>
      </c>
      <c r="Q1260" s="4">
        <v>60</v>
      </c>
      <c r="R1260" s="12">
        <f t="shared" si="19"/>
        <v>2520</v>
      </c>
      <c r="T1260" t="s">
        <v>263</v>
      </c>
      <c r="U1260" t="s">
        <v>974</v>
      </c>
      <c r="V1260" s="4">
        <v>42</v>
      </c>
      <c r="W1260">
        <v>0</v>
      </c>
    </row>
    <row r="1261" spans="1:23" hidden="1" x14ac:dyDescent="0.25">
      <c r="A1261" s="2">
        <v>45796.447581018518</v>
      </c>
      <c r="B1261">
        <v>3853</v>
      </c>
      <c r="C1261" t="s">
        <v>979</v>
      </c>
      <c r="D1261" s="3">
        <v>45785</v>
      </c>
      <c r="E1261" s="3">
        <v>45796</v>
      </c>
      <c r="F1261" t="s">
        <v>52</v>
      </c>
      <c r="G1261" t="s">
        <v>1494</v>
      </c>
      <c r="H1261" t="s">
        <v>22</v>
      </c>
      <c r="I1261" t="s">
        <v>38</v>
      </c>
      <c r="J1261" t="s">
        <v>1491</v>
      </c>
      <c r="K1261" t="s">
        <v>24</v>
      </c>
      <c r="L1261" s="4">
        <v>42</v>
      </c>
      <c r="M1261" t="s">
        <v>980</v>
      </c>
      <c r="N1261" t="s">
        <v>26</v>
      </c>
      <c r="O1261" s="4">
        <v>321</v>
      </c>
      <c r="P1261">
        <v>0</v>
      </c>
      <c r="Q1261" s="4">
        <v>321</v>
      </c>
      <c r="R1261" s="12">
        <f t="shared" si="19"/>
        <v>13482</v>
      </c>
      <c r="T1261" t="s">
        <v>117</v>
      </c>
      <c r="U1261" t="s">
        <v>981</v>
      </c>
      <c r="V1261" s="4">
        <v>42</v>
      </c>
      <c r="W1261">
        <v>0</v>
      </c>
    </row>
    <row r="1262" spans="1:23" hidden="1" x14ac:dyDescent="0.25">
      <c r="A1262" s="2">
        <v>45796.44835648148</v>
      </c>
      <c r="B1262">
        <v>3854</v>
      </c>
      <c r="C1262" t="s">
        <v>979</v>
      </c>
      <c r="D1262" s="3">
        <v>45785</v>
      </c>
      <c r="E1262" s="3">
        <v>45796</v>
      </c>
      <c r="F1262" t="s">
        <v>52</v>
      </c>
      <c r="G1262" t="s">
        <v>1494</v>
      </c>
      <c r="H1262" t="s">
        <v>22</v>
      </c>
      <c r="I1262" t="s">
        <v>38</v>
      </c>
      <c r="J1262" t="s">
        <v>1491</v>
      </c>
      <c r="K1262" t="s">
        <v>24</v>
      </c>
      <c r="L1262" s="4">
        <v>42</v>
      </c>
      <c r="M1262" t="s">
        <v>982</v>
      </c>
      <c r="N1262" t="s">
        <v>26</v>
      </c>
      <c r="O1262" s="4">
        <v>192</v>
      </c>
      <c r="P1262">
        <v>0</v>
      </c>
      <c r="Q1262" s="4">
        <v>192</v>
      </c>
      <c r="R1262" s="12">
        <f t="shared" si="19"/>
        <v>8064</v>
      </c>
      <c r="T1262" t="s">
        <v>151</v>
      </c>
      <c r="U1262" t="s">
        <v>981</v>
      </c>
      <c r="V1262" s="4">
        <v>42</v>
      </c>
      <c r="W1262">
        <v>0</v>
      </c>
    </row>
    <row r="1263" spans="1:23" hidden="1" x14ac:dyDescent="0.25">
      <c r="A1263" s="2">
        <v>45831.586967592593</v>
      </c>
      <c r="B1263">
        <v>3898</v>
      </c>
      <c r="C1263" t="s">
        <v>979</v>
      </c>
      <c r="D1263" s="3">
        <v>45828</v>
      </c>
      <c r="E1263" s="3">
        <v>46111</v>
      </c>
      <c r="F1263" t="s">
        <v>52</v>
      </c>
      <c r="G1263" t="s">
        <v>1494</v>
      </c>
      <c r="H1263" t="s">
        <v>22</v>
      </c>
      <c r="I1263" t="s">
        <v>44</v>
      </c>
      <c r="J1263" t="s">
        <v>1491</v>
      </c>
      <c r="K1263" t="s">
        <v>31</v>
      </c>
      <c r="L1263" s="4">
        <v>380</v>
      </c>
      <c r="M1263" t="s">
        <v>983</v>
      </c>
      <c r="N1263" t="s">
        <v>26</v>
      </c>
      <c r="O1263" s="4">
        <v>195</v>
      </c>
      <c r="P1263">
        <v>0</v>
      </c>
      <c r="Q1263" s="4">
        <v>195</v>
      </c>
      <c r="R1263" s="12">
        <f t="shared" si="19"/>
        <v>74100</v>
      </c>
      <c r="T1263" t="s">
        <v>117</v>
      </c>
      <c r="U1263" t="s">
        <v>981</v>
      </c>
      <c r="V1263" s="4">
        <v>380</v>
      </c>
      <c r="W1263">
        <v>0</v>
      </c>
    </row>
    <row r="1264" spans="1:23" hidden="1" x14ac:dyDescent="0.25">
      <c r="A1264" s="2">
        <v>45831.586967592593</v>
      </c>
      <c r="B1264">
        <v>3898</v>
      </c>
      <c r="C1264" t="s">
        <v>979</v>
      </c>
      <c r="D1264" s="3">
        <v>45828</v>
      </c>
      <c r="E1264" s="3">
        <v>46111</v>
      </c>
      <c r="F1264" t="s">
        <v>52</v>
      </c>
      <c r="G1264" t="s">
        <v>1494</v>
      </c>
      <c r="H1264" t="s">
        <v>22</v>
      </c>
      <c r="I1264" t="s">
        <v>41</v>
      </c>
      <c r="J1264" t="s">
        <v>1491</v>
      </c>
      <c r="K1264" t="s">
        <v>24</v>
      </c>
      <c r="L1264" s="4">
        <v>330</v>
      </c>
      <c r="M1264" t="s">
        <v>983</v>
      </c>
      <c r="N1264" t="s">
        <v>26</v>
      </c>
      <c r="O1264" s="4">
        <v>195</v>
      </c>
      <c r="P1264">
        <v>0</v>
      </c>
      <c r="Q1264" s="4">
        <v>195</v>
      </c>
      <c r="R1264" s="12">
        <f t="shared" si="19"/>
        <v>64350</v>
      </c>
      <c r="T1264" t="s">
        <v>117</v>
      </c>
      <c r="U1264" t="s">
        <v>981</v>
      </c>
      <c r="V1264" s="4">
        <v>330</v>
      </c>
      <c r="W1264">
        <v>0</v>
      </c>
    </row>
    <row r="1265" spans="1:23" hidden="1" x14ac:dyDescent="0.25">
      <c r="A1265" s="2">
        <v>45831.586967592593</v>
      </c>
      <c r="B1265">
        <v>3898</v>
      </c>
      <c r="C1265" t="s">
        <v>979</v>
      </c>
      <c r="D1265" s="3">
        <v>45828</v>
      </c>
      <c r="E1265" s="3">
        <v>46111</v>
      </c>
      <c r="F1265" t="s">
        <v>52</v>
      </c>
      <c r="G1265" t="s">
        <v>1494</v>
      </c>
      <c r="H1265" t="s">
        <v>22</v>
      </c>
      <c r="I1265" t="s">
        <v>40</v>
      </c>
      <c r="J1265" t="s">
        <v>1491</v>
      </c>
      <c r="K1265" t="s">
        <v>24</v>
      </c>
      <c r="L1265" s="4">
        <v>330</v>
      </c>
      <c r="M1265" t="s">
        <v>983</v>
      </c>
      <c r="N1265" t="s">
        <v>26</v>
      </c>
      <c r="O1265" s="4">
        <v>390</v>
      </c>
      <c r="P1265">
        <v>0</v>
      </c>
      <c r="Q1265" s="4">
        <v>390</v>
      </c>
      <c r="R1265" s="12">
        <f t="shared" si="19"/>
        <v>128700</v>
      </c>
      <c r="T1265" t="s">
        <v>117</v>
      </c>
      <c r="U1265" t="s">
        <v>981</v>
      </c>
      <c r="V1265" s="4">
        <v>330</v>
      </c>
      <c r="W1265">
        <v>0</v>
      </c>
    </row>
    <row r="1266" spans="1:23" hidden="1" x14ac:dyDescent="0.25">
      <c r="A1266" s="2">
        <v>45831.586967592593</v>
      </c>
      <c r="B1266">
        <v>3898</v>
      </c>
      <c r="C1266" t="s">
        <v>979</v>
      </c>
      <c r="D1266" s="3">
        <v>45828</v>
      </c>
      <c r="E1266" s="3">
        <v>46111</v>
      </c>
      <c r="F1266" t="s">
        <v>52</v>
      </c>
      <c r="G1266" t="s">
        <v>1494</v>
      </c>
      <c r="H1266" t="s">
        <v>22</v>
      </c>
      <c r="I1266" t="s">
        <v>59</v>
      </c>
      <c r="J1266" t="s">
        <v>1491</v>
      </c>
      <c r="K1266" t="s">
        <v>24</v>
      </c>
      <c r="L1266" s="4">
        <v>45</v>
      </c>
      <c r="M1266" t="s">
        <v>983</v>
      </c>
      <c r="N1266" t="s">
        <v>26</v>
      </c>
      <c r="O1266" s="4">
        <v>267</v>
      </c>
      <c r="P1266">
        <v>0</v>
      </c>
      <c r="Q1266" s="4">
        <v>267</v>
      </c>
      <c r="R1266" s="12">
        <f t="shared" si="19"/>
        <v>12015</v>
      </c>
      <c r="T1266" t="s">
        <v>117</v>
      </c>
      <c r="U1266" t="s">
        <v>981</v>
      </c>
      <c r="V1266" s="4">
        <v>45</v>
      </c>
      <c r="W1266">
        <v>0</v>
      </c>
    </row>
    <row r="1267" spans="1:23" hidden="1" x14ac:dyDescent="0.25">
      <c r="A1267" s="2">
        <v>45831.586967592593</v>
      </c>
      <c r="B1267">
        <v>3898</v>
      </c>
      <c r="C1267" t="s">
        <v>979</v>
      </c>
      <c r="D1267" s="3">
        <v>45828</v>
      </c>
      <c r="E1267" s="3">
        <v>46111</v>
      </c>
      <c r="F1267" t="s">
        <v>52</v>
      </c>
      <c r="G1267" t="s">
        <v>1494</v>
      </c>
      <c r="H1267" t="s">
        <v>22</v>
      </c>
      <c r="I1267" t="s">
        <v>38</v>
      </c>
      <c r="J1267" t="s">
        <v>1491</v>
      </c>
      <c r="K1267" t="s">
        <v>24</v>
      </c>
      <c r="L1267" s="4">
        <v>45</v>
      </c>
      <c r="M1267" t="s">
        <v>983</v>
      </c>
      <c r="N1267" t="s">
        <v>26</v>
      </c>
      <c r="O1267" s="4">
        <v>51</v>
      </c>
      <c r="P1267">
        <v>0</v>
      </c>
      <c r="Q1267" s="4">
        <v>51</v>
      </c>
      <c r="R1267" s="12">
        <f t="shared" si="19"/>
        <v>2295</v>
      </c>
      <c r="T1267" t="s">
        <v>117</v>
      </c>
      <c r="U1267" t="s">
        <v>981</v>
      </c>
      <c r="V1267" s="4">
        <v>45</v>
      </c>
      <c r="W1267">
        <v>0</v>
      </c>
    </row>
    <row r="1268" spans="1:23" hidden="1" x14ac:dyDescent="0.25">
      <c r="A1268" s="2">
        <v>45831.586967592593</v>
      </c>
      <c r="B1268">
        <v>3898</v>
      </c>
      <c r="C1268" t="s">
        <v>979</v>
      </c>
      <c r="D1268" s="3">
        <v>45828</v>
      </c>
      <c r="E1268" s="3">
        <v>46111</v>
      </c>
      <c r="F1268" t="s">
        <v>52</v>
      </c>
      <c r="G1268" t="s">
        <v>1494</v>
      </c>
      <c r="H1268" t="s">
        <v>22</v>
      </c>
      <c r="I1268" t="s">
        <v>43</v>
      </c>
      <c r="J1268" t="s">
        <v>1491</v>
      </c>
      <c r="K1268" t="s">
        <v>24</v>
      </c>
      <c r="L1268" s="4">
        <v>45</v>
      </c>
      <c r="M1268" t="s">
        <v>983</v>
      </c>
      <c r="N1268" t="s">
        <v>26</v>
      </c>
      <c r="O1268" s="4">
        <v>585</v>
      </c>
      <c r="P1268">
        <v>0</v>
      </c>
      <c r="Q1268" s="4">
        <v>585</v>
      </c>
      <c r="R1268" s="12">
        <f t="shared" si="19"/>
        <v>26325</v>
      </c>
      <c r="T1268" t="s">
        <v>117</v>
      </c>
      <c r="U1268" t="s">
        <v>981</v>
      </c>
      <c r="V1268" s="4">
        <v>45</v>
      </c>
      <c r="W1268">
        <v>0</v>
      </c>
    </row>
    <row r="1269" spans="1:23" hidden="1" x14ac:dyDescent="0.25">
      <c r="A1269" s="2">
        <v>45831.586967592593</v>
      </c>
      <c r="B1269">
        <v>3898</v>
      </c>
      <c r="C1269" t="s">
        <v>979</v>
      </c>
      <c r="D1269" s="3">
        <v>45828</v>
      </c>
      <c r="E1269" s="3">
        <v>46111</v>
      </c>
      <c r="F1269" t="s">
        <v>52</v>
      </c>
      <c r="H1269" t="s">
        <v>22</v>
      </c>
      <c r="I1269" t="s">
        <v>162</v>
      </c>
      <c r="K1269" t="s">
        <v>24</v>
      </c>
      <c r="L1269" s="4">
        <v>34.071427999999997</v>
      </c>
      <c r="M1269" t="s">
        <v>983</v>
      </c>
      <c r="N1269" t="s">
        <v>26</v>
      </c>
      <c r="O1269" s="4">
        <v>420</v>
      </c>
      <c r="P1269">
        <v>0</v>
      </c>
      <c r="Q1269" s="4">
        <v>420</v>
      </c>
      <c r="R1269" s="12">
        <f t="shared" si="19"/>
        <v>14309.999759999999</v>
      </c>
      <c r="T1269" t="s">
        <v>117</v>
      </c>
      <c r="U1269" t="s">
        <v>981</v>
      </c>
      <c r="V1269" s="4">
        <v>34.071427999999997</v>
      </c>
      <c r="W1269">
        <v>0</v>
      </c>
    </row>
    <row r="1270" spans="1:23" hidden="1" x14ac:dyDescent="0.25">
      <c r="A1270" s="2">
        <v>45831.625555555554</v>
      </c>
      <c r="B1270">
        <v>3900</v>
      </c>
      <c r="C1270" t="s">
        <v>979</v>
      </c>
      <c r="D1270" s="3">
        <v>45828</v>
      </c>
      <c r="E1270" s="3">
        <v>46111</v>
      </c>
      <c r="F1270" t="s">
        <v>52</v>
      </c>
      <c r="G1270" t="s">
        <v>1494</v>
      </c>
      <c r="H1270" t="s">
        <v>22</v>
      </c>
      <c r="I1270" t="s">
        <v>40</v>
      </c>
      <c r="J1270" t="s">
        <v>1491</v>
      </c>
      <c r="K1270" t="s">
        <v>24</v>
      </c>
      <c r="L1270" s="4">
        <v>330</v>
      </c>
      <c r="M1270" t="s">
        <v>984</v>
      </c>
      <c r="N1270" t="s">
        <v>26</v>
      </c>
      <c r="O1270" s="4">
        <v>210</v>
      </c>
      <c r="P1270">
        <v>0</v>
      </c>
      <c r="Q1270" s="4">
        <v>210</v>
      </c>
      <c r="R1270" s="12">
        <f t="shared" si="19"/>
        <v>69300</v>
      </c>
      <c r="T1270" t="s">
        <v>151</v>
      </c>
      <c r="U1270" t="s">
        <v>981</v>
      </c>
      <c r="V1270" s="4">
        <v>330</v>
      </c>
      <c r="W1270">
        <v>0</v>
      </c>
    </row>
    <row r="1271" spans="1:23" hidden="1" x14ac:dyDescent="0.25">
      <c r="A1271" s="2">
        <v>45831.625555555554</v>
      </c>
      <c r="B1271">
        <v>3900</v>
      </c>
      <c r="C1271" t="s">
        <v>979</v>
      </c>
      <c r="D1271" s="3">
        <v>45828</v>
      </c>
      <c r="E1271" s="3">
        <v>46111</v>
      </c>
      <c r="F1271" t="s">
        <v>52</v>
      </c>
      <c r="G1271" t="s">
        <v>1494</v>
      </c>
      <c r="H1271" t="s">
        <v>22</v>
      </c>
      <c r="I1271" t="s">
        <v>59</v>
      </c>
      <c r="J1271" t="s">
        <v>1491</v>
      </c>
      <c r="K1271" t="s">
        <v>24</v>
      </c>
      <c r="L1271" s="4">
        <v>45</v>
      </c>
      <c r="M1271" t="s">
        <v>984</v>
      </c>
      <c r="N1271" t="s">
        <v>26</v>
      </c>
      <c r="O1271" s="4">
        <v>315</v>
      </c>
      <c r="P1271">
        <v>0</v>
      </c>
      <c r="Q1271" s="4">
        <v>315</v>
      </c>
      <c r="R1271" s="12">
        <f t="shared" si="19"/>
        <v>14175</v>
      </c>
      <c r="T1271" t="s">
        <v>151</v>
      </c>
      <c r="U1271" t="s">
        <v>981</v>
      </c>
      <c r="V1271" s="4">
        <v>45</v>
      </c>
      <c r="W1271">
        <v>0</v>
      </c>
    </row>
    <row r="1272" spans="1:23" hidden="1" x14ac:dyDescent="0.25">
      <c r="A1272" s="2">
        <v>45831.625555555554</v>
      </c>
      <c r="B1272">
        <v>3900</v>
      </c>
      <c r="C1272" t="s">
        <v>979</v>
      </c>
      <c r="D1272" s="3">
        <v>45828</v>
      </c>
      <c r="E1272" s="3">
        <v>46111</v>
      </c>
      <c r="F1272" t="s">
        <v>52</v>
      </c>
      <c r="G1272" t="s">
        <v>1494</v>
      </c>
      <c r="H1272" t="s">
        <v>22</v>
      </c>
      <c r="I1272" t="s">
        <v>44</v>
      </c>
      <c r="J1272" t="s">
        <v>1491</v>
      </c>
      <c r="K1272" t="s">
        <v>31</v>
      </c>
      <c r="L1272" s="4">
        <v>380</v>
      </c>
      <c r="M1272" t="s">
        <v>984</v>
      </c>
      <c r="N1272" t="s">
        <v>26</v>
      </c>
      <c r="O1272" s="4">
        <v>105</v>
      </c>
      <c r="P1272">
        <v>0</v>
      </c>
      <c r="Q1272" s="4">
        <v>105</v>
      </c>
      <c r="R1272" s="12">
        <f t="shared" si="19"/>
        <v>39900</v>
      </c>
      <c r="T1272" t="s">
        <v>151</v>
      </c>
      <c r="U1272" t="s">
        <v>981</v>
      </c>
      <c r="V1272" s="4">
        <v>380</v>
      </c>
      <c r="W1272">
        <v>0</v>
      </c>
    </row>
    <row r="1273" spans="1:23" hidden="1" x14ac:dyDescent="0.25">
      <c r="A1273" s="2">
        <v>45831.625555555554</v>
      </c>
      <c r="B1273">
        <v>3900</v>
      </c>
      <c r="C1273" t="s">
        <v>979</v>
      </c>
      <c r="D1273" s="3">
        <v>45828</v>
      </c>
      <c r="E1273" s="3">
        <v>46111</v>
      </c>
      <c r="F1273" t="s">
        <v>52</v>
      </c>
      <c r="G1273" t="s">
        <v>1494</v>
      </c>
      <c r="H1273" t="s">
        <v>22</v>
      </c>
      <c r="I1273" t="s">
        <v>38</v>
      </c>
      <c r="J1273" t="s">
        <v>1491</v>
      </c>
      <c r="K1273" t="s">
        <v>24</v>
      </c>
      <c r="L1273" s="4">
        <v>50.75</v>
      </c>
      <c r="M1273" t="s">
        <v>984</v>
      </c>
      <c r="N1273" t="s">
        <v>26</v>
      </c>
      <c r="O1273" s="4">
        <v>36</v>
      </c>
      <c r="P1273">
        <v>0</v>
      </c>
      <c r="Q1273" s="4">
        <v>36</v>
      </c>
      <c r="R1273" s="12">
        <f t="shared" si="19"/>
        <v>1827</v>
      </c>
      <c r="T1273" t="s">
        <v>151</v>
      </c>
      <c r="U1273" t="s">
        <v>981</v>
      </c>
      <c r="V1273" s="4">
        <v>50.75</v>
      </c>
      <c r="W1273">
        <v>0</v>
      </c>
    </row>
    <row r="1274" spans="1:23" hidden="1" x14ac:dyDescent="0.25">
      <c r="A1274" s="2">
        <v>45831.625555555554</v>
      </c>
      <c r="B1274">
        <v>3900</v>
      </c>
      <c r="C1274" t="s">
        <v>979</v>
      </c>
      <c r="D1274" s="3">
        <v>45828</v>
      </c>
      <c r="E1274" s="3">
        <v>46111</v>
      </c>
      <c r="F1274" t="s">
        <v>52</v>
      </c>
      <c r="G1274" t="s">
        <v>1494</v>
      </c>
      <c r="H1274" t="s">
        <v>22</v>
      </c>
      <c r="I1274" t="s">
        <v>41</v>
      </c>
      <c r="J1274" t="s">
        <v>1491</v>
      </c>
      <c r="K1274" t="s">
        <v>24</v>
      </c>
      <c r="L1274" s="4">
        <v>330</v>
      </c>
      <c r="M1274" t="s">
        <v>984</v>
      </c>
      <c r="N1274" t="s">
        <v>26</v>
      </c>
      <c r="O1274" s="4">
        <v>105</v>
      </c>
      <c r="P1274">
        <v>0</v>
      </c>
      <c r="Q1274" s="4">
        <v>105</v>
      </c>
      <c r="R1274" s="12">
        <f t="shared" si="19"/>
        <v>34650</v>
      </c>
      <c r="T1274" t="s">
        <v>151</v>
      </c>
      <c r="U1274" t="s">
        <v>981</v>
      </c>
      <c r="V1274" s="4">
        <v>330</v>
      </c>
      <c r="W1274">
        <v>0</v>
      </c>
    </row>
    <row r="1275" spans="1:23" hidden="1" x14ac:dyDescent="0.25">
      <c r="A1275" s="2">
        <v>45831.625555555554</v>
      </c>
      <c r="B1275">
        <v>3900</v>
      </c>
      <c r="C1275" t="s">
        <v>979</v>
      </c>
      <c r="D1275" s="3">
        <v>45828</v>
      </c>
      <c r="E1275" s="3">
        <v>46111</v>
      </c>
      <c r="F1275" t="s">
        <v>52</v>
      </c>
      <c r="G1275" t="s">
        <v>1494</v>
      </c>
      <c r="H1275" t="s">
        <v>22</v>
      </c>
      <c r="I1275" t="s">
        <v>43</v>
      </c>
      <c r="J1275" t="s">
        <v>1491</v>
      </c>
      <c r="K1275" t="s">
        <v>24</v>
      </c>
      <c r="L1275" s="4">
        <v>45</v>
      </c>
      <c r="M1275" t="s">
        <v>984</v>
      </c>
      <c r="N1275" t="s">
        <v>26</v>
      </c>
      <c r="O1275" s="4">
        <v>315</v>
      </c>
      <c r="P1275">
        <v>0</v>
      </c>
      <c r="Q1275" s="4">
        <v>315</v>
      </c>
      <c r="R1275" s="12">
        <f t="shared" si="19"/>
        <v>14175</v>
      </c>
      <c r="T1275" t="s">
        <v>151</v>
      </c>
      <c r="U1275" t="s">
        <v>981</v>
      </c>
      <c r="V1275" s="4">
        <v>45</v>
      </c>
      <c r="W1275">
        <v>0</v>
      </c>
    </row>
    <row r="1276" spans="1:23" hidden="1" x14ac:dyDescent="0.25">
      <c r="A1276" s="2">
        <v>45952.654537037037</v>
      </c>
      <c r="B1276">
        <v>4199</v>
      </c>
      <c r="C1276" t="s">
        <v>979</v>
      </c>
      <c r="D1276" s="3">
        <v>45952</v>
      </c>
      <c r="E1276" s="3">
        <v>45960</v>
      </c>
      <c r="F1276" t="s">
        <v>52</v>
      </c>
      <c r="H1276" t="s">
        <v>22</v>
      </c>
      <c r="I1276" t="s">
        <v>80</v>
      </c>
      <c r="K1276" t="s">
        <v>31</v>
      </c>
      <c r="L1276" s="4">
        <v>36</v>
      </c>
      <c r="M1276" t="s">
        <v>985</v>
      </c>
      <c r="N1276" t="s">
        <v>26</v>
      </c>
      <c r="O1276" s="4">
        <v>15</v>
      </c>
      <c r="P1276">
        <v>0</v>
      </c>
      <c r="Q1276" s="4">
        <v>15</v>
      </c>
      <c r="R1276" s="12">
        <f t="shared" si="19"/>
        <v>540</v>
      </c>
      <c r="T1276" t="s">
        <v>117</v>
      </c>
      <c r="U1276" t="s">
        <v>981</v>
      </c>
      <c r="V1276" s="4">
        <v>36</v>
      </c>
      <c r="W1276">
        <v>0</v>
      </c>
    </row>
    <row r="1277" spans="1:23" hidden="1" x14ac:dyDescent="0.25">
      <c r="A1277" s="2">
        <v>46077.568402777775</v>
      </c>
      <c r="B1277">
        <v>4605</v>
      </c>
      <c r="C1277" t="s">
        <v>979</v>
      </c>
      <c r="D1277" s="3">
        <v>46077</v>
      </c>
      <c r="E1277" s="3">
        <v>46264</v>
      </c>
      <c r="F1277" t="s">
        <v>52</v>
      </c>
      <c r="H1277" t="s">
        <v>22</v>
      </c>
      <c r="I1277" t="s">
        <v>80</v>
      </c>
      <c r="K1277" t="s">
        <v>31</v>
      </c>
      <c r="L1277" s="4">
        <v>38</v>
      </c>
      <c r="M1277" t="s">
        <v>986</v>
      </c>
      <c r="N1277" t="s">
        <v>46</v>
      </c>
      <c r="O1277" s="4">
        <v>15</v>
      </c>
      <c r="P1277">
        <v>0</v>
      </c>
      <c r="Q1277" s="4">
        <v>15</v>
      </c>
      <c r="R1277" s="12">
        <f t="shared" si="19"/>
        <v>570</v>
      </c>
      <c r="T1277" t="s">
        <v>117</v>
      </c>
      <c r="U1277" t="s">
        <v>981</v>
      </c>
      <c r="V1277" s="4">
        <v>38</v>
      </c>
      <c r="W1277">
        <v>0</v>
      </c>
    </row>
    <row r="1278" spans="1:23" hidden="1" x14ac:dyDescent="0.25">
      <c r="A1278" s="2">
        <v>46028.578425925924</v>
      </c>
      <c r="B1278">
        <v>475</v>
      </c>
      <c r="C1278" t="s">
        <v>979</v>
      </c>
      <c r="D1278" s="3">
        <v>46028</v>
      </c>
      <c r="E1278" s="3">
        <v>46264</v>
      </c>
      <c r="F1278" t="s">
        <v>52</v>
      </c>
      <c r="G1278" t="s">
        <v>1494</v>
      </c>
      <c r="H1278" t="s">
        <v>22</v>
      </c>
      <c r="I1278" t="s">
        <v>63</v>
      </c>
      <c r="J1278" t="s">
        <v>1491</v>
      </c>
      <c r="K1278" t="s">
        <v>31</v>
      </c>
      <c r="L1278" s="4">
        <v>200</v>
      </c>
      <c r="M1278" t="s">
        <v>987</v>
      </c>
      <c r="N1278" t="s">
        <v>46</v>
      </c>
      <c r="O1278" s="4">
        <v>480</v>
      </c>
      <c r="P1278">
        <v>0</v>
      </c>
      <c r="Q1278" s="4">
        <v>480</v>
      </c>
      <c r="R1278" s="12">
        <f t="shared" si="19"/>
        <v>96000</v>
      </c>
      <c r="T1278" t="s">
        <v>117</v>
      </c>
      <c r="U1278" t="s">
        <v>981</v>
      </c>
      <c r="V1278" s="4">
        <v>200</v>
      </c>
      <c r="W1278">
        <v>0</v>
      </c>
    </row>
    <row r="1279" spans="1:23" hidden="1" x14ac:dyDescent="0.25">
      <c r="A1279" s="2">
        <v>46028.578425925924</v>
      </c>
      <c r="B1279">
        <v>475</v>
      </c>
      <c r="C1279" t="s">
        <v>979</v>
      </c>
      <c r="D1279" s="3">
        <v>46028</v>
      </c>
      <c r="E1279" s="3">
        <v>46264</v>
      </c>
      <c r="F1279" t="s">
        <v>52</v>
      </c>
      <c r="G1279" t="s">
        <v>1494</v>
      </c>
      <c r="H1279" t="s">
        <v>22</v>
      </c>
      <c r="I1279" t="s">
        <v>38</v>
      </c>
      <c r="J1279" t="s">
        <v>1491</v>
      </c>
      <c r="K1279" t="s">
        <v>24</v>
      </c>
      <c r="L1279" s="4">
        <v>45</v>
      </c>
      <c r="M1279" t="s">
        <v>987</v>
      </c>
      <c r="N1279" t="s">
        <v>46</v>
      </c>
      <c r="O1279" s="4">
        <v>396</v>
      </c>
      <c r="P1279">
        <v>0</v>
      </c>
      <c r="Q1279" s="4">
        <v>396</v>
      </c>
      <c r="R1279" s="12">
        <f t="shared" si="19"/>
        <v>17820</v>
      </c>
      <c r="T1279" t="s">
        <v>117</v>
      </c>
      <c r="U1279" t="s">
        <v>981</v>
      </c>
      <c r="V1279" s="4">
        <v>45</v>
      </c>
      <c r="W1279">
        <v>0</v>
      </c>
    </row>
    <row r="1280" spans="1:23" hidden="1" x14ac:dyDescent="0.25">
      <c r="A1280" s="2">
        <v>46028.578425925924</v>
      </c>
      <c r="B1280">
        <v>475</v>
      </c>
      <c r="C1280" t="s">
        <v>979</v>
      </c>
      <c r="D1280" s="3">
        <v>46028</v>
      </c>
      <c r="E1280" s="3">
        <v>46264</v>
      </c>
      <c r="F1280" t="s">
        <v>52</v>
      </c>
      <c r="G1280" t="s">
        <v>1494</v>
      </c>
      <c r="H1280" t="s">
        <v>22</v>
      </c>
      <c r="I1280" t="s">
        <v>41</v>
      </c>
      <c r="J1280" t="s">
        <v>1491</v>
      </c>
      <c r="K1280" t="s">
        <v>24</v>
      </c>
      <c r="L1280" s="4">
        <v>340</v>
      </c>
      <c r="M1280" t="s">
        <v>987</v>
      </c>
      <c r="N1280" t="s">
        <v>46</v>
      </c>
      <c r="O1280" s="4">
        <v>195</v>
      </c>
      <c r="P1280">
        <v>0</v>
      </c>
      <c r="Q1280" s="4">
        <v>195</v>
      </c>
      <c r="R1280" s="12">
        <f t="shared" si="19"/>
        <v>66300</v>
      </c>
      <c r="T1280" t="s">
        <v>117</v>
      </c>
      <c r="U1280" t="s">
        <v>981</v>
      </c>
      <c r="V1280" s="4">
        <v>340</v>
      </c>
      <c r="W1280">
        <v>0</v>
      </c>
    </row>
    <row r="1281" spans="1:23" hidden="1" x14ac:dyDescent="0.25">
      <c r="A1281" s="2">
        <v>46028.578425925924</v>
      </c>
      <c r="B1281">
        <v>475</v>
      </c>
      <c r="C1281" t="s">
        <v>979</v>
      </c>
      <c r="D1281" s="3">
        <v>46028</v>
      </c>
      <c r="E1281" s="3">
        <v>46264</v>
      </c>
      <c r="F1281" t="s">
        <v>52</v>
      </c>
      <c r="H1281" t="s">
        <v>22</v>
      </c>
      <c r="I1281" t="s">
        <v>988</v>
      </c>
      <c r="K1281" t="s">
        <v>24</v>
      </c>
      <c r="L1281" s="4">
        <v>240</v>
      </c>
      <c r="M1281" t="s">
        <v>987</v>
      </c>
      <c r="N1281" t="s">
        <v>46</v>
      </c>
      <c r="O1281" s="4">
        <v>150</v>
      </c>
      <c r="P1281">
        <v>0</v>
      </c>
      <c r="Q1281" s="4">
        <v>150</v>
      </c>
      <c r="R1281" s="12">
        <f t="shared" si="19"/>
        <v>36000</v>
      </c>
      <c r="T1281" t="s">
        <v>117</v>
      </c>
      <c r="U1281" t="s">
        <v>981</v>
      </c>
      <c r="V1281" s="4">
        <v>240</v>
      </c>
      <c r="W1281">
        <v>0</v>
      </c>
    </row>
    <row r="1282" spans="1:23" hidden="1" x14ac:dyDescent="0.25">
      <c r="A1282" s="2">
        <v>46028.578425925924</v>
      </c>
      <c r="B1282">
        <v>475</v>
      </c>
      <c r="C1282" t="s">
        <v>979</v>
      </c>
      <c r="D1282" s="3">
        <v>46028</v>
      </c>
      <c r="E1282" s="3">
        <v>46264</v>
      </c>
      <c r="F1282" t="s">
        <v>52</v>
      </c>
      <c r="G1282" t="s">
        <v>1494</v>
      </c>
      <c r="H1282" t="s">
        <v>22</v>
      </c>
      <c r="I1282" t="s">
        <v>101</v>
      </c>
      <c r="J1282" t="s">
        <v>1491</v>
      </c>
      <c r="K1282" t="s">
        <v>31</v>
      </c>
      <c r="L1282" s="4">
        <v>600</v>
      </c>
      <c r="M1282" t="s">
        <v>987</v>
      </c>
      <c r="N1282" t="s">
        <v>46</v>
      </c>
      <c r="O1282" s="4">
        <v>195</v>
      </c>
      <c r="P1282">
        <v>0</v>
      </c>
      <c r="Q1282" s="4">
        <v>195</v>
      </c>
      <c r="R1282" s="12">
        <f t="shared" si="19"/>
        <v>117000</v>
      </c>
      <c r="T1282" t="s">
        <v>117</v>
      </c>
      <c r="U1282" t="s">
        <v>981</v>
      </c>
      <c r="V1282" s="4">
        <v>600</v>
      </c>
      <c r="W1282">
        <v>0</v>
      </c>
    </row>
    <row r="1283" spans="1:23" hidden="1" x14ac:dyDescent="0.25">
      <c r="A1283" s="2">
        <v>46028.582835648151</v>
      </c>
      <c r="B1283">
        <v>476</v>
      </c>
      <c r="C1283" t="s">
        <v>979</v>
      </c>
      <c r="D1283" s="3">
        <v>46028</v>
      </c>
      <c r="E1283" s="3">
        <v>46264</v>
      </c>
      <c r="F1283" t="s">
        <v>52</v>
      </c>
      <c r="G1283" t="s">
        <v>1494</v>
      </c>
      <c r="H1283" t="s">
        <v>22</v>
      </c>
      <c r="I1283" t="s">
        <v>38</v>
      </c>
      <c r="J1283" t="s">
        <v>1491</v>
      </c>
      <c r="K1283" t="s">
        <v>24</v>
      </c>
      <c r="L1283" s="4">
        <v>45</v>
      </c>
      <c r="M1283" t="s">
        <v>989</v>
      </c>
      <c r="N1283" t="s">
        <v>46</v>
      </c>
      <c r="O1283" s="4">
        <v>210</v>
      </c>
      <c r="P1283">
        <v>0</v>
      </c>
      <c r="Q1283" s="4">
        <v>210</v>
      </c>
      <c r="R1283" s="12">
        <f t="shared" ref="R1283:R1346" si="20">Q1283*L1283</f>
        <v>9450</v>
      </c>
      <c r="T1283" t="s">
        <v>151</v>
      </c>
      <c r="U1283" t="s">
        <v>981</v>
      </c>
      <c r="V1283" s="4">
        <v>45</v>
      </c>
      <c r="W1283">
        <v>0</v>
      </c>
    </row>
    <row r="1284" spans="1:23" hidden="1" x14ac:dyDescent="0.25">
      <c r="A1284" s="2">
        <v>46028.582835648151</v>
      </c>
      <c r="B1284">
        <v>476</v>
      </c>
      <c r="C1284" t="s">
        <v>979</v>
      </c>
      <c r="D1284" s="3">
        <v>46028</v>
      </c>
      <c r="E1284" s="3">
        <v>46264</v>
      </c>
      <c r="F1284" t="s">
        <v>52</v>
      </c>
      <c r="H1284" t="s">
        <v>22</v>
      </c>
      <c r="I1284" t="s">
        <v>988</v>
      </c>
      <c r="K1284" t="s">
        <v>24</v>
      </c>
      <c r="L1284" s="4">
        <v>240</v>
      </c>
      <c r="M1284" t="s">
        <v>989</v>
      </c>
      <c r="N1284" t="s">
        <v>46</v>
      </c>
      <c r="O1284" s="4">
        <v>50</v>
      </c>
      <c r="P1284">
        <v>0</v>
      </c>
      <c r="Q1284" s="4">
        <v>50</v>
      </c>
      <c r="R1284" s="12">
        <f t="shared" si="20"/>
        <v>12000</v>
      </c>
      <c r="T1284" t="s">
        <v>151</v>
      </c>
      <c r="U1284" t="s">
        <v>981</v>
      </c>
      <c r="V1284" s="4">
        <v>240</v>
      </c>
      <c r="W1284">
        <v>0</v>
      </c>
    </row>
    <row r="1285" spans="1:23" hidden="1" x14ac:dyDescent="0.25">
      <c r="A1285" s="2">
        <v>46028.582835648151</v>
      </c>
      <c r="B1285">
        <v>476</v>
      </c>
      <c r="C1285" t="s">
        <v>979</v>
      </c>
      <c r="D1285" s="3">
        <v>46028</v>
      </c>
      <c r="E1285" s="3">
        <v>46264</v>
      </c>
      <c r="F1285" t="s">
        <v>52</v>
      </c>
      <c r="G1285" t="s">
        <v>1494</v>
      </c>
      <c r="H1285" t="s">
        <v>22</v>
      </c>
      <c r="I1285" t="s">
        <v>101</v>
      </c>
      <c r="J1285" t="s">
        <v>1491</v>
      </c>
      <c r="K1285" t="s">
        <v>31</v>
      </c>
      <c r="L1285" s="4">
        <v>600</v>
      </c>
      <c r="M1285" t="s">
        <v>989</v>
      </c>
      <c r="N1285" t="s">
        <v>46</v>
      </c>
      <c r="O1285" s="4">
        <v>105</v>
      </c>
      <c r="P1285">
        <v>0</v>
      </c>
      <c r="Q1285" s="4">
        <v>105</v>
      </c>
      <c r="R1285" s="12">
        <f t="shared" si="20"/>
        <v>63000</v>
      </c>
      <c r="T1285" t="s">
        <v>151</v>
      </c>
      <c r="U1285" t="s">
        <v>981</v>
      </c>
      <c r="V1285" s="4">
        <v>600</v>
      </c>
      <c r="W1285">
        <v>0</v>
      </c>
    </row>
    <row r="1286" spans="1:23" hidden="1" x14ac:dyDescent="0.25">
      <c r="A1286" s="2">
        <v>46028.582835648151</v>
      </c>
      <c r="B1286">
        <v>476</v>
      </c>
      <c r="C1286" t="s">
        <v>979</v>
      </c>
      <c r="D1286" s="3">
        <v>46028</v>
      </c>
      <c r="E1286" s="3">
        <v>46264</v>
      </c>
      <c r="F1286" t="s">
        <v>52</v>
      </c>
      <c r="G1286" t="s">
        <v>1494</v>
      </c>
      <c r="H1286" t="s">
        <v>22</v>
      </c>
      <c r="I1286" t="s">
        <v>41</v>
      </c>
      <c r="J1286" t="s">
        <v>1491</v>
      </c>
      <c r="K1286" t="s">
        <v>24</v>
      </c>
      <c r="L1286" s="4">
        <v>340</v>
      </c>
      <c r="M1286" t="s">
        <v>989</v>
      </c>
      <c r="N1286" t="s">
        <v>46</v>
      </c>
      <c r="O1286" s="4">
        <v>105</v>
      </c>
      <c r="P1286">
        <v>0</v>
      </c>
      <c r="Q1286" s="4">
        <v>105</v>
      </c>
      <c r="R1286" s="12">
        <f t="shared" si="20"/>
        <v>35700</v>
      </c>
      <c r="T1286" t="s">
        <v>151</v>
      </c>
      <c r="U1286" t="s">
        <v>981</v>
      </c>
      <c r="V1286" s="4">
        <v>340</v>
      </c>
      <c r="W1286">
        <v>0</v>
      </c>
    </row>
    <row r="1287" spans="1:23" x14ac:dyDescent="0.25">
      <c r="A1287" s="2">
        <v>45930.628206018519</v>
      </c>
      <c r="B1287">
        <v>4109</v>
      </c>
      <c r="C1287" t="s">
        <v>990</v>
      </c>
      <c r="D1287" s="3">
        <v>45930</v>
      </c>
      <c r="E1287" s="3">
        <v>46081</v>
      </c>
      <c r="F1287" t="s">
        <v>98</v>
      </c>
      <c r="G1287" t="s">
        <v>1493</v>
      </c>
      <c r="H1287" t="s">
        <v>22</v>
      </c>
      <c r="I1287" t="s">
        <v>63</v>
      </c>
      <c r="J1287" t="s">
        <v>1491</v>
      </c>
      <c r="K1287" t="s">
        <v>31</v>
      </c>
      <c r="L1287" s="4">
        <v>185</v>
      </c>
      <c r="M1287" t="s">
        <v>991</v>
      </c>
      <c r="N1287" t="s">
        <v>26</v>
      </c>
      <c r="O1287" s="4">
        <v>125</v>
      </c>
      <c r="P1287">
        <v>0</v>
      </c>
      <c r="Q1287" s="4">
        <v>125</v>
      </c>
      <c r="R1287" s="12">
        <f t="shared" si="20"/>
        <v>23125</v>
      </c>
      <c r="T1287" t="s">
        <v>225</v>
      </c>
      <c r="U1287" t="s">
        <v>992</v>
      </c>
      <c r="V1287" s="4">
        <v>185</v>
      </c>
      <c r="W1287">
        <v>0</v>
      </c>
    </row>
    <row r="1288" spans="1:23" x14ac:dyDescent="0.25">
      <c r="A1288" s="2">
        <v>45930.628206018519</v>
      </c>
      <c r="B1288">
        <v>4109</v>
      </c>
      <c r="C1288" t="s">
        <v>990</v>
      </c>
      <c r="D1288" s="3">
        <v>45930</v>
      </c>
      <c r="E1288" s="3">
        <v>46081</v>
      </c>
      <c r="F1288" t="s">
        <v>98</v>
      </c>
      <c r="G1288" t="s">
        <v>1493</v>
      </c>
      <c r="H1288" t="s">
        <v>22</v>
      </c>
      <c r="I1288" t="s">
        <v>41</v>
      </c>
      <c r="J1288" t="s">
        <v>1491</v>
      </c>
      <c r="K1288" t="s">
        <v>24</v>
      </c>
      <c r="L1288" s="4">
        <v>341</v>
      </c>
      <c r="M1288" t="s">
        <v>991</v>
      </c>
      <c r="N1288" t="s">
        <v>26</v>
      </c>
      <c r="O1288" s="4">
        <v>63</v>
      </c>
      <c r="P1288">
        <v>0</v>
      </c>
      <c r="Q1288" s="4">
        <v>63</v>
      </c>
      <c r="R1288" s="12">
        <f t="shared" si="20"/>
        <v>21483</v>
      </c>
      <c r="T1288" t="s">
        <v>225</v>
      </c>
      <c r="U1288" t="s">
        <v>992</v>
      </c>
      <c r="V1288" s="4">
        <v>341</v>
      </c>
      <c r="W1288">
        <v>0</v>
      </c>
    </row>
    <row r="1289" spans="1:23" x14ac:dyDescent="0.25">
      <c r="A1289" s="2">
        <v>45930.628206018519</v>
      </c>
      <c r="B1289">
        <v>4109</v>
      </c>
      <c r="C1289" t="s">
        <v>990</v>
      </c>
      <c r="D1289" s="3">
        <v>45930</v>
      </c>
      <c r="E1289" s="3">
        <v>46081</v>
      </c>
      <c r="F1289" t="s">
        <v>98</v>
      </c>
      <c r="G1289" t="s">
        <v>1493</v>
      </c>
      <c r="H1289" t="s">
        <v>22</v>
      </c>
      <c r="I1289" t="s">
        <v>40</v>
      </c>
      <c r="J1289" t="s">
        <v>1491</v>
      </c>
      <c r="K1289" t="s">
        <v>24</v>
      </c>
      <c r="L1289" s="4">
        <v>341</v>
      </c>
      <c r="M1289" t="s">
        <v>991</v>
      </c>
      <c r="N1289" t="s">
        <v>26</v>
      </c>
      <c r="O1289" s="4">
        <v>63</v>
      </c>
      <c r="P1289">
        <v>0</v>
      </c>
      <c r="Q1289" s="4">
        <v>63</v>
      </c>
      <c r="R1289" s="12">
        <f t="shared" si="20"/>
        <v>21483</v>
      </c>
      <c r="T1289" t="s">
        <v>225</v>
      </c>
      <c r="U1289" t="s">
        <v>992</v>
      </c>
      <c r="V1289" s="4">
        <v>341</v>
      </c>
      <c r="W1289">
        <v>0</v>
      </c>
    </row>
    <row r="1290" spans="1:23" x14ac:dyDescent="0.25">
      <c r="A1290" s="2">
        <v>45930.628206018519</v>
      </c>
      <c r="B1290">
        <v>4109</v>
      </c>
      <c r="C1290" t="s">
        <v>990</v>
      </c>
      <c r="D1290" s="3">
        <v>45930</v>
      </c>
      <c r="E1290" s="3">
        <v>46081</v>
      </c>
      <c r="F1290" t="s">
        <v>98</v>
      </c>
      <c r="G1290" t="s">
        <v>1493</v>
      </c>
      <c r="H1290" t="s">
        <v>22</v>
      </c>
      <c r="I1290" t="s">
        <v>38</v>
      </c>
      <c r="J1290" t="s">
        <v>1491</v>
      </c>
      <c r="K1290" t="s">
        <v>24</v>
      </c>
      <c r="L1290" s="4">
        <v>46</v>
      </c>
      <c r="M1290" t="s">
        <v>991</v>
      </c>
      <c r="N1290" t="s">
        <v>26</v>
      </c>
      <c r="O1290" s="4">
        <v>126</v>
      </c>
      <c r="P1290">
        <v>0</v>
      </c>
      <c r="Q1290" s="4">
        <v>126</v>
      </c>
      <c r="R1290" s="12">
        <f t="shared" si="20"/>
        <v>5796</v>
      </c>
      <c r="T1290" t="s">
        <v>225</v>
      </c>
      <c r="U1290" t="s">
        <v>992</v>
      </c>
      <c r="V1290" s="4">
        <v>46</v>
      </c>
      <c r="W1290">
        <v>0</v>
      </c>
    </row>
    <row r="1291" spans="1:23" x14ac:dyDescent="0.25">
      <c r="A1291" s="2">
        <v>45930.628206018519</v>
      </c>
      <c r="B1291">
        <v>4109</v>
      </c>
      <c r="C1291" t="s">
        <v>990</v>
      </c>
      <c r="D1291" s="3">
        <v>45930</v>
      </c>
      <c r="E1291" s="3">
        <v>46081</v>
      </c>
      <c r="F1291" t="s">
        <v>98</v>
      </c>
      <c r="G1291" t="s">
        <v>1493</v>
      </c>
      <c r="H1291" t="s">
        <v>22</v>
      </c>
      <c r="I1291" t="s">
        <v>43</v>
      </c>
      <c r="J1291" t="s">
        <v>1491</v>
      </c>
      <c r="K1291" t="s">
        <v>24</v>
      </c>
      <c r="L1291" s="4">
        <v>45</v>
      </c>
      <c r="M1291" t="s">
        <v>991</v>
      </c>
      <c r="N1291" t="s">
        <v>26</v>
      </c>
      <c r="O1291" s="4">
        <v>108</v>
      </c>
      <c r="P1291">
        <v>0</v>
      </c>
      <c r="Q1291" s="4">
        <v>108</v>
      </c>
      <c r="R1291" s="12">
        <f t="shared" si="20"/>
        <v>4860</v>
      </c>
      <c r="T1291" t="s">
        <v>225</v>
      </c>
      <c r="U1291" t="s">
        <v>992</v>
      </c>
      <c r="V1291" s="4">
        <v>45</v>
      </c>
      <c r="W1291">
        <v>0</v>
      </c>
    </row>
    <row r="1292" spans="1:23" x14ac:dyDescent="0.25">
      <c r="A1292" s="2">
        <v>45930.628206018519</v>
      </c>
      <c r="B1292">
        <v>4109</v>
      </c>
      <c r="C1292" t="s">
        <v>990</v>
      </c>
      <c r="D1292" s="3">
        <v>45930</v>
      </c>
      <c r="E1292" s="3">
        <v>46081</v>
      </c>
      <c r="F1292" t="s">
        <v>98</v>
      </c>
      <c r="H1292" t="s">
        <v>22</v>
      </c>
      <c r="I1292" t="s">
        <v>42</v>
      </c>
      <c r="J1292" t="s">
        <v>1490</v>
      </c>
      <c r="K1292" t="s">
        <v>24</v>
      </c>
      <c r="L1292" s="4">
        <v>238</v>
      </c>
      <c r="M1292" t="s">
        <v>991</v>
      </c>
      <c r="N1292" t="s">
        <v>26</v>
      </c>
      <c r="O1292" s="4">
        <v>100</v>
      </c>
      <c r="P1292">
        <v>0</v>
      </c>
      <c r="Q1292" s="4">
        <v>100</v>
      </c>
      <c r="R1292" s="12">
        <f t="shared" si="20"/>
        <v>23800</v>
      </c>
      <c r="T1292" t="s">
        <v>225</v>
      </c>
      <c r="U1292" t="s">
        <v>992</v>
      </c>
      <c r="V1292" s="4">
        <v>238</v>
      </c>
      <c r="W1292">
        <v>0</v>
      </c>
    </row>
    <row r="1293" spans="1:23" x14ac:dyDescent="0.25">
      <c r="A1293" s="2">
        <v>45930.628206018519</v>
      </c>
      <c r="B1293">
        <v>4109</v>
      </c>
      <c r="C1293" t="s">
        <v>990</v>
      </c>
      <c r="D1293" s="3">
        <v>45930</v>
      </c>
      <c r="E1293" s="3">
        <v>46081</v>
      </c>
      <c r="F1293" t="s">
        <v>98</v>
      </c>
      <c r="H1293" t="s">
        <v>22</v>
      </c>
      <c r="I1293" t="s">
        <v>34</v>
      </c>
      <c r="J1293" t="s">
        <v>1490</v>
      </c>
      <c r="K1293" t="s">
        <v>31</v>
      </c>
      <c r="L1293" s="4">
        <v>25.5</v>
      </c>
      <c r="M1293" t="s">
        <v>991</v>
      </c>
      <c r="N1293" t="s">
        <v>26</v>
      </c>
      <c r="O1293" s="4">
        <v>1250</v>
      </c>
      <c r="P1293">
        <v>0</v>
      </c>
      <c r="Q1293" s="4">
        <v>1250</v>
      </c>
      <c r="R1293" s="12">
        <f t="shared" si="20"/>
        <v>31875</v>
      </c>
      <c r="T1293" t="s">
        <v>225</v>
      </c>
      <c r="U1293" t="s">
        <v>992</v>
      </c>
      <c r="V1293" s="4">
        <v>25.5</v>
      </c>
      <c r="W1293">
        <v>0</v>
      </c>
    </row>
    <row r="1294" spans="1:23" x14ac:dyDescent="0.25">
      <c r="A1294" s="2">
        <v>45930.628206018519</v>
      </c>
      <c r="B1294">
        <v>4109</v>
      </c>
      <c r="C1294" t="s">
        <v>990</v>
      </c>
      <c r="D1294" s="3">
        <v>45930</v>
      </c>
      <c r="E1294" s="3">
        <v>46081</v>
      </c>
      <c r="F1294" t="s">
        <v>98</v>
      </c>
      <c r="H1294" t="s">
        <v>22</v>
      </c>
      <c r="I1294" t="s">
        <v>29</v>
      </c>
      <c r="J1294" t="s">
        <v>1490</v>
      </c>
      <c r="K1294" t="s">
        <v>24</v>
      </c>
      <c r="L1294" s="4">
        <v>163</v>
      </c>
      <c r="M1294" t="s">
        <v>991</v>
      </c>
      <c r="N1294" t="s">
        <v>26</v>
      </c>
      <c r="O1294" s="4">
        <v>260</v>
      </c>
      <c r="P1294">
        <v>0</v>
      </c>
      <c r="Q1294" s="4">
        <v>260</v>
      </c>
      <c r="R1294" s="12">
        <f t="shared" si="20"/>
        <v>42380</v>
      </c>
      <c r="T1294" t="s">
        <v>225</v>
      </c>
      <c r="U1294" t="s">
        <v>992</v>
      </c>
      <c r="V1294" s="4">
        <v>163</v>
      </c>
      <c r="W1294">
        <v>0</v>
      </c>
    </row>
    <row r="1295" spans="1:23" x14ac:dyDescent="0.25">
      <c r="A1295" s="2">
        <v>45954.598217592589</v>
      </c>
      <c r="B1295">
        <v>4206</v>
      </c>
      <c r="C1295" t="s">
        <v>990</v>
      </c>
      <c r="D1295" s="3">
        <v>45954</v>
      </c>
      <c r="E1295" s="3">
        <v>46081</v>
      </c>
      <c r="F1295" t="s">
        <v>98</v>
      </c>
      <c r="G1295" t="s">
        <v>1493</v>
      </c>
      <c r="H1295" t="s">
        <v>22</v>
      </c>
      <c r="I1295" t="s">
        <v>38</v>
      </c>
      <c r="J1295" t="s">
        <v>1491</v>
      </c>
      <c r="K1295" t="s">
        <v>24</v>
      </c>
      <c r="L1295" s="4">
        <v>46</v>
      </c>
      <c r="M1295" t="s">
        <v>993</v>
      </c>
      <c r="N1295" t="s">
        <v>26</v>
      </c>
      <c r="O1295" s="4">
        <v>15</v>
      </c>
      <c r="P1295">
        <v>0</v>
      </c>
      <c r="Q1295" s="4">
        <v>15</v>
      </c>
      <c r="R1295" s="12">
        <f t="shared" si="20"/>
        <v>690</v>
      </c>
      <c r="T1295" t="s">
        <v>225</v>
      </c>
      <c r="U1295" t="s">
        <v>992</v>
      </c>
      <c r="V1295" s="4">
        <v>46</v>
      </c>
      <c r="W1295">
        <v>0</v>
      </c>
    </row>
    <row r="1296" spans="1:23" x14ac:dyDescent="0.25">
      <c r="A1296" s="2">
        <v>45954.598217592589</v>
      </c>
      <c r="B1296">
        <v>4206</v>
      </c>
      <c r="C1296" t="s">
        <v>990</v>
      </c>
      <c r="D1296" s="3">
        <v>45954</v>
      </c>
      <c r="E1296" s="3">
        <v>46081</v>
      </c>
      <c r="F1296" t="s">
        <v>98</v>
      </c>
      <c r="H1296" t="s">
        <v>22</v>
      </c>
      <c r="I1296" t="s">
        <v>994</v>
      </c>
      <c r="K1296" t="s">
        <v>546</v>
      </c>
      <c r="L1296" s="4">
        <v>780</v>
      </c>
      <c r="M1296" t="s">
        <v>993</v>
      </c>
      <c r="N1296" t="s">
        <v>26</v>
      </c>
      <c r="O1296" s="4">
        <v>7</v>
      </c>
      <c r="P1296">
        <v>0</v>
      </c>
      <c r="Q1296" s="4">
        <v>7</v>
      </c>
      <c r="R1296" s="12">
        <f t="shared" si="20"/>
        <v>5460</v>
      </c>
      <c r="T1296" t="s">
        <v>225</v>
      </c>
      <c r="U1296" t="s">
        <v>992</v>
      </c>
      <c r="V1296" s="4">
        <v>780</v>
      </c>
      <c r="W1296">
        <v>0</v>
      </c>
    </row>
    <row r="1297" spans="1:23" x14ac:dyDescent="0.25">
      <c r="A1297" s="2">
        <v>45959.711736111109</v>
      </c>
      <c r="B1297">
        <v>4222</v>
      </c>
      <c r="C1297" t="s">
        <v>990</v>
      </c>
      <c r="D1297" s="3">
        <v>45959</v>
      </c>
      <c r="E1297" s="3">
        <v>46081</v>
      </c>
      <c r="F1297" t="s">
        <v>98</v>
      </c>
      <c r="G1297" t="s">
        <v>1493</v>
      </c>
      <c r="H1297" t="s">
        <v>22</v>
      </c>
      <c r="I1297" t="s">
        <v>41</v>
      </c>
      <c r="J1297" t="s">
        <v>1491</v>
      </c>
      <c r="K1297" t="s">
        <v>24</v>
      </c>
      <c r="L1297" s="4">
        <v>341</v>
      </c>
      <c r="M1297" t="s">
        <v>995</v>
      </c>
      <c r="N1297" t="s">
        <v>26</v>
      </c>
      <c r="O1297" s="4">
        <v>3</v>
      </c>
      <c r="P1297">
        <v>0</v>
      </c>
      <c r="Q1297" s="4">
        <v>3</v>
      </c>
      <c r="R1297" s="12">
        <f t="shared" si="20"/>
        <v>1023</v>
      </c>
      <c r="T1297" t="s">
        <v>225</v>
      </c>
      <c r="U1297" t="s">
        <v>992</v>
      </c>
      <c r="V1297" s="4">
        <v>341</v>
      </c>
      <c r="W1297">
        <v>0</v>
      </c>
    </row>
    <row r="1298" spans="1:23" x14ac:dyDescent="0.25">
      <c r="A1298" s="2">
        <v>45959.711736111109</v>
      </c>
      <c r="B1298">
        <v>4222</v>
      </c>
      <c r="C1298" t="s">
        <v>990</v>
      </c>
      <c r="D1298" s="3">
        <v>45959</v>
      </c>
      <c r="E1298" s="3">
        <v>46081</v>
      </c>
      <c r="F1298" t="s">
        <v>98</v>
      </c>
      <c r="G1298" t="s">
        <v>1493</v>
      </c>
      <c r="H1298" t="s">
        <v>22</v>
      </c>
      <c r="I1298" t="s">
        <v>40</v>
      </c>
      <c r="J1298" t="s">
        <v>1491</v>
      </c>
      <c r="K1298" t="s">
        <v>24</v>
      </c>
      <c r="L1298" s="4">
        <v>341</v>
      </c>
      <c r="M1298" t="s">
        <v>995</v>
      </c>
      <c r="N1298" t="s">
        <v>26</v>
      </c>
      <c r="O1298" s="4">
        <v>3</v>
      </c>
      <c r="P1298">
        <v>0</v>
      </c>
      <c r="Q1298" s="4">
        <v>3</v>
      </c>
      <c r="R1298" s="12">
        <f t="shared" si="20"/>
        <v>1023</v>
      </c>
      <c r="T1298" t="s">
        <v>225</v>
      </c>
      <c r="U1298" t="s">
        <v>992</v>
      </c>
      <c r="V1298" s="4">
        <v>341</v>
      </c>
      <c r="W1298">
        <v>0</v>
      </c>
    </row>
    <row r="1299" spans="1:23" x14ac:dyDescent="0.25">
      <c r="A1299" s="2">
        <v>45959.711736111109</v>
      </c>
      <c r="B1299">
        <v>4222</v>
      </c>
      <c r="C1299" t="s">
        <v>990</v>
      </c>
      <c r="D1299" s="3">
        <v>45959</v>
      </c>
      <c r="E1299" s="3">
        <v>46081</v>
      </c>
      <c r="F1299" t="s">
        <v>98</v>
      </c>
      <c r="G1299" t="s">
        <v>1493</v>
      </c>
      <c r="H1299" t="s">
        <v>22</v>
      </c>
      <c r="I1299" t="s">
        <v>63</v>
      </c>
      <c r="J1299" t="s">
        <v>1491</v>
      </c>
      <c r="K1299" t="s">
        <v>31</v>
      </c>
      <c r="L1299" s="4">
        <v>185</v>
      </c>
      <c r="M1299" t="s">
        <v>995</v>
      </c>
      <c r="N1299" t="s">
        <v>26</v>
      </c>
      <c r="O1299" s="4">
        <v>12</v>
      </c>
      <c r="P1299">
        <v>0</v>
      </c>
      <c r="Q1299" s="4">
        <v>12</v>
      </c>
      <c r="R1299" s="12">
        <f t="shared" si="20"/>
        <v>2220</v>
      </c>
      <c r="T1299" t="s">
        <v>225</v>
      </c>
      <c r="U1299" t="s">
        <v>992</v>
      </c>
      <c r="V1299" s="4">
        <v>185</v>
      </c>
      <c r="W1299">
        <v>0</v>
      </c>
    </row>
    <row r="1300" spans="1:23" x14ac:dyDescent="0.25">
      <c r="A1300" s="2">
        <v>45959.711736111109</v>
      </c>
      <c r="B1300">
        <v>4222</v>
      </c>
      <c r="C1300" t="s">
        <v>990</v>
      </c>
      <c r="D1300" s="3">
        <v>45959</v>
      </c>
      <c r="E1300" s="3">
        <v>46081</v>
      </c>
      <c r="F1300" t="s">
        <v>98</v>
      </c>
      <c r="G1300" t="s">
        <v>1493</v>
      </c>
      <c r="H1300" t="s">
        <v>22</v>
      </c>
      <c r="I1300" t="s">
        <v>38</v>
      </c>
      <c r="J1300" t="s">
        <v>1491</v>
      </c>
      <c r="K1300" t="s">
        <v>24</v>
      </c>
      <c r="L1300" s="4">
        <v>46</v>
      </c>
      <c r="M1300" t="s">
        <v>995</v>
      </c>
      <c r="N1300" t="s">
        <v>26</v>
      </c>
      <c r="O1300" s="4">
        <v>9</v>
      </c>
      <c r="P1300">
        <v>0</v>
      </c>
      <c r="Q1300" s="4">
        <v>9</v>
      </c>
      <c r="R1300" s="12">
        <f t="shared" si="20"/>
        <v>414</v>
      </c>
      <c r="T1300" t="s">
        <v>225</v>
      </c>
      <c r="U1300" t="s">
        <v>992</v>
      </c>
      <c r="V1300" s="4">
        <v>46</v>
      </c>
      <c r="W1300">
        <v>0</v>
      </c>
    </row>
    <row r="1301" spans="1:23" x14ac:dyDescent="0.25">
      <c r="A1301" s="2">
        <v>45968.567129629628</v>
      </c>
      <c r="B1301">
        <v>4247</v>
      </c>
      <c r="C1301" t="s">
        <v>990</v>
      </c>
      <c r="D1301" s="3">
        <v>45968</v>
      </c>
      <c r="E1301" s="3">
        <v>46081</v>
      </c>
      <c r="F1301" t="s">
        <v>98</v>
      </c>
      <c r="H1301" t="s">
        <v>22</v>
      </c>
      <c r="I1301" t="s">
        <v>32</v>
      </c>
      <c r="J1301" t="s">
        <v>1490</v>
      </c>
      <c r="K1301" t="s">
        <v>24</v>
      </c>
      <c r="L1301" s="4">
        <v>23</v>
      </c>
      <c r="M1301" t="s">
        <v>996</v>
      </c>
      <c r="N1301" t="s">
        <v>26</v>
      </c>
      <c r="O1301" s="4">
        <v>360</v>
      </c>
      <c r="P1301">
        <v>0</v>
      </c>
      <c r="Q1301" s="4">
        <v>360</v>
      </c>
      <c r="R1301" s="12">
        <f t="shared" si="20"/>
        <v>8280</v>
      </c>
      <c r="T1301" t="s">
        <v>225</v>
      </c>
      <c r="U1301" t="s">
        <v>992</v>
      </c>
      <c r="V1301" s="4">
        <v>23</v>
      </c>
      <c r="W1301">
        <v>0</v>
      </c>
    </row>
    <row r="1302" spans="1:23" x14ac:dyDescent="0.25">
      <c r="A1302" s="2">
        <v>45968.567129629628</v>
      </c>
      <c r="B1302">
        <v>4247</v>
      </c>
      <c r="C1302" t="s">
        <v>990</v>
      </c>
      <c r="D1302" s="3">
        <v>45968</v>
      </c>
      <c r="E1302" s="3">
        <v>46081</v>
      </c>
      <c r="F1302" t="s">
        <v>98</v>
      </c>
      <c r="H1302" t="s">
        <v>22</v>
      </c>
      <c r="I1302" t="s">
        <v>30</v>
      </c>
      <c r="J1302" t="s">
        <v>1490</v>
      </c>
      <c r="K1302" t="s">
        <v>31</v>
      </c>
      <c r="L1302" s="4">
        <v>23</v>
      </c>
      <c r="M1302" t="s">
        <v>996</v>
      </c>
      <c r="N1302" t="s">
        <v>26</v>
      </c>
      <c r="O1302" s="4">
        <v>360</v>
      </c>
      <c r="P1302">
        <v>0</v>
      </c>
      <c r="Q1302" s="4">
        <v>360</v>
      </c>
      <c r="R1302" s="12">
        <f t="shared" si="20"/>
        <v>8280</v>
      </c>
      <c r="T1302" t="s">
        <v>225</v>
      </c>
      <c r="U1302" t="s">
        <v>992</v>
      </c>
      <c r="V1302" s="4">
        <v>23</v>
      </c>
      <c r="W1302">
        <v>0</v>
      </c>
    </row>
    <row r="1303" spans="1:23" x14ac:dyDescent="0.25">
      <c r="A1303" s="2">
        <v>45990.421770833331</v>
      </c>
      <c r="B1303">
        <v>4311</v>
      </c>
      <c r="C1303" t="s">
        <v>990</v>
      </c>
      <c r="D1303" s="3">
        <v>45990</v>
      </c>
      <c r="E1303" s="3">
        <v>46081</v>
      </c>
      <c r="F1303" t="s">
        <v>98</v>
      </c>
      <c r="H1303" t="s">
        <v>22</v>
      </c>
      <c r="I1303" t="s">
        <v>30</v>
      </c>
      <c r="J1303" t="s">
        <v>1490</v>
      </c>
      <c r="K1303" t="s">
        <v>31</v>
      </c>
      <c r="L1303" s="4">
        <v>23</v>
      </c>
      <c r="M1303" t="s">
        <v>997</v>
      </c>
      <c r="N1303" t="s">
        <v>26</v>
      </c>
      <c r="O1303" s="4">
        <v>780</v>
      </c>
      <c r="P1303">
        <v>0</v>
      </c>
      <c r="Q1303" s="4">
        <v>780</v>
      </c>
      <c r="R1303" s="12">
        <f t="shared" si="20"/>
        <v>17940</v>
      </c>
      <c r="T1303" t="s">
        <v>225</v>
      </c>
      <c r="U1303" t="s">
        <v>992</v>
      </c>
      <c r="V1303" s="4">
        <v>23</v>
      </c>
      <c r="W1303">
        <v>0</v>
      </c>
    </row>
    <row r="1304" spans="1:23" x14ac:dyDescent="0.25">
      <c r="A1304" s="2">
        <v>45990.421770833331</v>
      </c>
      <c r="B1304">
        <v>4311</v>
      </c>
      <c r="C1304" t="s">
        <v>990</v>
      </c>
      <c r="D1304" s="3">
        <v>45990</v>
      </c>
      <c r="E1304" s="3">
        <v>46081</v>
      </c>
      <c r="F1304" t="s">
        <v>98</v>
      </c>
      <c r="H1304" t="s">
        <v>22</v>
      </c>
      <c r="I1304" t="s">
        <v>277</v>
      </c>
      <c r="K1304" t="s">
        <v>31</v>
      </c>
      <c r="L1304" s="4">
        <v>240</v>
      </c>
      <c r="M1304" t="s">
        <v>997</v>
      </c>
      <c r="N1304" t="s">
        <v>26</v>
      </c>
      <c r="O1304" s="4">
        <v>8</v>
      </c>
      <c r="P1304">
        <v>0</v>
      </c>
      <c r="Q1304" s="4">
        <v>8</v>
      </c>
      <c r="R1304" s="12">
        <f t="shared" si="20"/>
        <v>1920</v>
      </c>
      <c r="T1304" t="s">
        <v>225</v>
      </c>
      <c r="U1304" t="s">
        <v>992</v>
      </c>
      <c r="V1304" s="4">
        <v>240</v>
      </c>
      <c r="W1304">
        <v>0</v>
      </c>
    </row>
    <row r="1305" spans="1:23" x14ac:dyDescent="0.25">
      <c r="A1305" s="2">
        <v>45994.587708333333</v>
      </c>
      <c r="B1305">
        <v>4321</v>
      </c>
      <c r="C1305" t="s">
        <v>990</v>
      </c>
      <c r="D1305" s="3">
        <v>45994</v>
      </c>
      <c r="E1305" s="3">
        <v>46081</v>
      </c>
      <c r="F1305" t="s">
        <v>98</v>
      </c>
      <c r="H1305" t="s">
        <v>22</v>
      </c>
      <c r="I1305" t="s">
        <v>32</v>
      </c>
      <c r="J1305" t="s">
        <v>1490</v>
      </c>
      <c r="K1305" t="s">
        <v>24</v>
      </c>
      <c r="L1305" s="4">
        <v>23</v>
      </c>
      <c r="M1305" t="s">
        <v>998</v>
      </c>
      <c r="N1305" t="s">
        <v>26</v>
      </c>
      <c r="O1305" s="4">
        <v>260</v>
      </c>
      <c r="P1305">
        <v>0</v>
      </c>
      <c r="Q1305" s="4">
        <v>260</v>
      </c>
      <c r="R1305" s="12">
        <f t="shared" si="20"/>
        <v>5980</v>
      </c>
      <c r="T1305" t="s">
        <v>225</v>
      </c>
      <c r="U1305" t="s">
        <v>992</v>
      </c>
      <c r="V1305" s="4">
        <v>23</v>
      </c>
      <c r="W1305">
        <v>0</v>
      </c>
    </row>
    <row r="1306" spans="1:23" hidden="1" x14ac:dyDescent="0.25">
      <c r="A1306" s="2">
        <v>45888.358888888892</v>
      </c>
      <c r="B1306">
        <v>266</v>
      </c>
      <c r="C1306" t="s">
        <v>999</v>
      </c>
      <c r="D1306" s="3">
        <v>45888</v>
      </c>
      <c r="E1306" s="3">
        <v>46142</v>
      </c>
      <c r="F1306" t="s">
        <v>66</v>
      </c>
      <c r="G1306" t="s">
        <v>1494</v>
      </c>
      <c r="H1306" t="s">
        <v>22</v>
      </c>
      <c r="I1306" t="s">
        <v>43</v>
      </c>
      <c r="J1306" t="s">
        <v>1491</v>
      </c>
      <c r="K1306" t="s">
        <v>24</v>
      </c>
      <c r="L1306" s="4">
        <v>48</v>
      </c>
      <c r="M1306" t="s">
        <v>1000</v>
      </c>
      <c r="N1306" t="s">
        <v>26</v>
      </c>
      <c r="O1306" s="4">
        <v>12</v>
      </c>
      <c r="P1306">
        <v>0</v>
      </c>
      <c r="Q1306" s="4">
        <v>12</v>
      </c>
      <c r="R1306" s="12">
        <f t="shared" si="20"/>
        <v>576</v>
      </c>
      <c r="T1306" t="s">
        <v>136</v>
      </c>
      <c r="U1306" t="s">
        <v>1001</v>
      </c>
      <c r="V1306" s="4">
        <v>48</v>
      </c>
      <c r="W1306">
        <v>0</v>
      </c>
    </row>
    <row r="1307" spans="1:23" hidden="1" x14ac:dyDescent="0.25">
      <c r="A1307" s="2">
        <v>45888.358888888892</v>
      </c>
      <c r="B1307">
        <v>266</v>
      </c>
      <c r="C1307" t="s">
        <v>999</v>
      </c>
      <c r="D1307" s="3">
        <v>45888</v>
      </c>
      <c r="E1307" s="3">
        <v>46142</v>
      </c>
      <c r="F1307" t="s">
        <v>66</v>
      </c>
      <c r="G1307" t="s">
        <v>1494</v>
      </c>
      <c r="H1307" t="s">
        <v>22</v>
      </c>
      <c r="I1307" t="s">
        <v>38</v>
      </c>
      <c r="J1307" t="s">
        <v>1491</v>
      </c>
      <c r="K1307" t="s">
        <v>24</v>
      </c>
      <c r="L1307" s="4">
        <v>50</v>
      </c>
      <c r="M1307" t="s">
        <v>1000</v>
      </c>
      <c r="N1307" t="s">
        <v>26</v>
      </c>
      <c r="O1307" s="4">
        <v>12</v>
      </c>
      <c r="P1307">
        <v>0</v>
      </c>
      <c r="Q1307" s="4">
        <v>12</v>
      </c>
      <c r="R1307" s="12">
        <f t="shared" si="20"/>
        <v>600</v>
      </c>
      <c r="T1307" t="s">
        <v>136</v>
      </c>
      <c r="U1307" t="s">
        <v>1001</v>
      </c>
      <c r="V1307" s="4">
        <v>50</v>
      </c>
      <c r="W1307">
        <v>0</v>
      </c>
    </row>
    <row r="1308" spans="1:23" hidden="1" x14ac:dyDescent="0.25">
      <c r="A1308" s="2">
        <v>45888.358888888892</v>
      </c>
      <c r="B1308">
        <v>266</v>
      </c>
      <c r="C1308" t="s">
        <v>999</v>
      </c>
      <c r="D1308" s="3">
        <v>45888</v>
      </c>
      <c r="E1308" s="3">
        <v>46142</v>
      </c>
      <c r="F1308" t="s">
        <v>66</v>
      </c>
      <c r="G1308" t="s">
        <v>1494</v>
      </c>
      <c r="H1308" t="s">
        <v>22</v>
      </c>
      <c r="I1308" t="s">
        <v>41</v>
      </c>
      <c r="J1308" t="s">
        <v>1491</v>
      </c>
      <c r="K1308" t="s">
        <v>24</v>
      </c>
      <c r="L1308" s="4">
        <v>380</v>
      </c>
      <c r="M1308" t="s">
        <v>1000</v>
      </c>
      <c r="N1308" t="s">
        <v>26</v>
      </c>
      <c r="O1308" s="4">
        <v>5</v>
      </c>
      <c r="P1308">
        <v>0</v>
      </c>
      <c r="Q1308" s="4">
        <v>5</v>
      </c>
      <c r="R1308" s="12">
        <f t="shared" si="20"/>
        <v>1900</v>
      </c>
      <c r="T1308" t="s">
        <v>136</v>
      </c>
      <c r="U1308" t="s">
        <v>1001</v>
      </c>
      <c r="V1308" s="4">
        <v>380</v>
      </c>
      <c r="W1308">
        <v>0</v>
      </c>
    </row>
    <row r="1309" spans="1:23" hidden="1" x14ac:dyDescent="0.25">
      <c r="A1309" s="2">
        <v>45888.358888888892</v>
      </c>
      <c r="B1309">
        <v>266</v>
      </c>
      <c r="C1309" t="s">
        <v>999</v>
      </c>
      <c r="D1309" s="3">
        <v>45888</v>
      </c>
      <c r="E1309" s="3">
        <v>46142</v>
      </c>
      <c r="F1309" t="s">
        <v>66</v>
      </c>
      <c r="G1309" t="s">
        <v>1494</v>
      </c>
      <c r="H1309" t="s">
        <v>22</v>
      </c>
      <c r="I1309" t="s">
        <v>63</v>
      </c>
      <c r="J1309" t="s">
        <v>1491</v>
      </c>
      <c r="K1309" t="s">
        <v>31</v>
      </c>
      <c r="L1309" s="4">
        <v>220</v>
      </c>
      <c r="M1309" t="s">
        <v>1000</v>
      </c>
      <c r="N1309" t="s">
        <v>26</v>
      </c>
      <c r="O1309" s="4">
        <v>10</v>
      </c>
      <c r="P1309">
        <v>0</v>
      </c>
      <c r="Q1309" s="4">
        <v>10</v>
      </c>
      <c r="R1309" s="12">
        <f t="shared" si="20"/>
        <v>2200</v>
      </c>
      <c r="T1309" t="s">
        <v>136</v>
      </c>
      <c r="U1309" t="s">
        <v>1001</v>
      </c>
      <c r="V1309" s="4">
        <v>220</v>
      </c>
      <c r="W1309">
        <v>0</v>
      </c>
    </row>
    <row r="1310" spans="1:23" hidden="1" x14ac:dyDescent="0.25">
      <c r="A1310" s="2">
        <v>45888.358888888892</v>
      </c>
      <c r="B1310">
        <v>266</v>
      </c>
      <c r="C1310" t="s">
        <v>999</v>
      </c>
      <c r="D1310" s="3">
        <v>45888</v>
      </c>
      <c r="E1310" s="3">
        <v>46142</v>
      </c>
      <c r="F1310" t="s">
        <v>66</v>
      </c>
      <c r="G1310" t="s">
        <v>1494</v>
      </c>
      <c r="H1310" t="s">
        <v>22</v>
      </c>
      <c r="I1310" t="s">
        <v>40</v>
      </c>
      <c r="J1310" t="s">
        <v>1491</v>
      </c>
      <c r="K1310" t="s">
        <v>24</v>
      </c>
      <c r="L1310" s="4">
        <v>380</v>
      </c>
      <c r="M1310" t="s">
        <v>1000</v>
      </c>
      <c r="N1310" t="s">
        <v>26</v>
      </c>
      <c r="O1310" s="4">
        <v>5</v>
      </c>
      <c r="P1310">
        <v>0</v>
      </c>
      <c r="Q1310" s="4">
        <v>5</v>
      </c>
      <c r="R1310" s="12">
        <f t="shared" si="20"/>
        <v>1900</v>
      </c>
      <c r="T1310" t="s">
        <v>136</v>
      </c>
      <c r="U1310" t="s">
        <v>1001</v>
      </c>
      <c r="V1310" s="4">
        <v>380</v>
      </c>
      <c r="W1310">
        <v>0</v>
      </c>
    </row>
    <row r="1311" spans="1:23" hidden="1" x14ac:dyDescent="0.25">
      <c r="A1311" s="2">
        <v>46073.586215277777</v>
      </c>
      <c r="B1311">
        <v>4592</v>
      </c>
      <c r="C1311" t="s">
        <v>1002</v>
      </c>
      <c r="D1311" s="3">
        <v>46073</v>
      </c>
      <c r="E1311" s="3">
        <v>46264</v>
      </c>
      <c r="F1311" t="s">
        <v>21</v>
      </c>
      <c r="H1311" t="s">
        <v>22</v>
      </c>
      <c r="I1311" t="s">
        <v>131</v>
      </c>
      <c r="J1311" t="s">
        <v>1490</v>
      </c>
      <c r="K1311" t="s">
        <v>24</v>
      </c>
      <c r="L1311" s="4">
        <v>170</v>
      </c>
      <c r="M1311" t="s">
        <v>1003</v>
      </c>
      <c r="N1311" t="s">
        <v>46</v>
      </c>
      <c r="O1311" s="4">
        <v>3</v>
      </c>
      <c r="P1311">
        <v>0</v>
      </c>
      <c r="Q1311" s="4">
        <v>3</v>
      </c>
      <c r="R1311" s="12">
        <f t="shared" si="20"/>
        <v>510</v>
      </c>
      <c r="T1311" t="s">
        <v>27</v>
      </c>
      <c r="U1311" t="s">
        <v>1004</v>
      </c>
      <c r="V1311" s="4">
        <v>170</v>
      </c>
      <c r="W1311">
        <v>0</v>
      </c>
    </row>
    <row r="1312" spans="1:23" hidden="1" x14ac:dyDescent="0.25">
      <c r="A1312" s="2">
        <v>45758.588576388887</v>
      </c>
      <c r="B1312">
        <v>3808</v>
      </c>
      <c r="C1312" t="s">
        <v>1005</v>
      </c>
      <c r="D1312" s="3">
        <v>45671</v>
      </c>
      <c r="E1312" s="3">
        <v>46111</v>
      </c>
      <c r="F1312" t="s">
        <v>21</v>
      </c>
      <c r="G1312" t="s">
        <v>1493</v>
      </c>
      <c r="H1312" t="s">
        <v>22</v>
      </c>
      <c r="I1312" t="s">
        <v>201</v>
      </c>
      <c r="J1312" t="s">
        <v>1491</v>
      </c>
      <c r="K1312" t="s">
        <v>24</v>
      </c>
      <c r="L1312" s="4">
        <v>68.292714000000004</v>
      </c>
      <c r="M1312" t="s">
        <v>1006</v>
      </c>
      <c r="N1312" t="s">
        <v>46</v>
      </c>
      <c r="O1312" s="4">
        <v>700</v>
      </c>
      <c r="P1312">
        <v>0</v>
      </c>
      <c r="Q1312" s="4">
        <v>700</v>
      </c>
      <c r="R1312" s="12">
        <f t="shared" si="20"/>
        <v>47804.899799999999</v>
      </c>
      <c r="T1312" t="s">
        <v>27</v>
      </c>
      <c r="U1312" t="s">
        <v>1007</v>
      </c>
      <c r="V1312" s="4">
        <v>68.292714000000004</v>
      </c>
      <c r="W1312">
        <v>0</v>
      </c>
    </row>
    <row r="1313" spans="1:23" hidden="1" x14ac:dyDescent="0.25">
      <c r="A1313" s="2">
        <v>45758.588576388887</v>
      </c>
      <c r="B1313">
        <v>3808</v>
      </c>
      <c r="C1313" t="s">
        <v>1005</v>
      </c>
      <c r="D1313" s="3">
        <v>45671</v>
      </c>
      <c r="E1313" s="3">
        <v>46111</v>
      </c>
      <c r="F1313" t="s">
        <v>21</v>
      </c>
      <c r="H1313" t="s">
        <v>22</v>
      </c>
      <c r="I1313" t="s">
        <v>29</v>
      </c>
      <c r="J1313" t="s">
        <v>1490</v>
      </c>
      <c r="K1313" t="s">
        <v>24</v>
      </c>
      <c r="L1313" s="4">
        <v>155</v>
      </c>
      <c r="M1313" t="s">
        <v>1006</v>
      </c>
      <c r="N1313" t="s">
        <v>46</v>
      </c>
      <c r="O1313" s="4">
        <v>140</v>
      </c>
      <c r="P1313">
        <v>0</v>
      </c>
      <c r="Q1313" s="4">
        <v>140</v>
      </c>
      <c r="R1313" s="12">
        <f t="shared" si="20"/>
        <v>21700</v>
      </c>
      <c r="T1313" t="s">
        <v>27</v>
      </c>
      <c r="U1313" t="s">
        <v>1007</v>
      </c>
      <c r="V1313" s="4">
        <v>155</v>
      </c>
      <c r="W1313">
        <v>0</v>
      </c>
    </row>
    <row r="1314" spans="1:23" hidden="1" x14ac:dyDescent="0.25">
      <c r="A1314" s="2">
        <v>45758.588576388887</v>
      </c>
      <c r="B1314">
        <v>3808</v>
      </c>
      <c r="C1314" t="s">
        <v>1005</v>
      </c>
      <c r="D1314" s="3">
        <v>45671</v>
      </c>
      <c r="E1314" s="3">
        <v>46111</v>
      </c>
      <c r="F1314" t="s">
        <v>21</v>
      </c>
      <c r="H1314" t="s">
        <v>22</v>
      </c>
      <c r="I1314" t="s">
        <v>42</v>
      </c>
      <c r="J1314" t="s">
        <v>1490</v>
      </c>
      <c r="K1314" t="s">
        <v>24</v>
      </c>
      <c r="L1314" s="4">
        <v>230</v>
      </c>
      <c r="M1314" t="s">
        <v>1006</v>
      </c>
      <c r="N1314" t="s">
        <v>46</v>
      </c>
      <c r="O1314" s="4">
        <v>105</v>
      </c>
      <c r="P1314">
        <v>0</v>
      </c>
      <c r="Q1314" s="4">
        <v>105</v>
      </c>
      <c r="R1314" s="12">
        <f t="shared" si="20"/>
        <v>24150</v>
      </c>
      <c r="T1314" t="s">
        <v>27</v>
      </c>
      <c r="U1314" t="s">
        <v>1007</v>
      </c>
      <c r="V1314" s="4">
        <v>230</v>
      </c>
      <c r="W1314">
        <v>0</v>
      </c>
    </row>
    <row r="1315" spans="1:23" hidden="1" x14ac:dyDescent="0.25">
      <c r="A1315" s="2">
        <v>45758.588576388887</v>
      </c>
      <c r="B1315">
        <v>3808</v>
      </c>
      <c r="C1315" t="s">
        <v>1005</v>
      </c>
      <c r="D1315" s="3">
        <v>45671</v>
      </c>
      <c r="E1315" s="3">
        <v>46111</v>
      </c>
      <c r="F1315" t="s">
        <v>21</v>
      </c>
      <c r="H1315" t="s">
        <v>22</v>
      </c>
      <c r="I1315" t="s">
        <v>30</v>
      </c>
      <c r="J1315" t="s">
        <v>1490</v>
      </c>
      <c r="K1315" t="s">
        <v>31</v>
      </c>
      <c r="L1315" s="4">
        <v>22.5</v>
      </c>
      <c r="M1315" t="s">
        <v>1006</v>
      </c>
      <c r="N1315" t="s">
        <v>46</v>
      </c>
      <c r="O1315" s="4">
        <v>1400</v>
      </c>
      <c r="P1315">
        <v>0</v>
      </c>
      <c r="Q1315" s="4">
        <v>1400</v>
      </c>
      <c r="R1315" s="12">
        <f t="shared" si="20"/>
        <v>31500</v>
      </c>
      <c r="T1315" t="s">
        <v>27</v>
      </c>
      <c r="U1315" t="s">
        <v>1007</v>
      </c>
      <c r="V1315" s="4">
        <v>22.5</v>
      </c>
      <c r="W1315">
        <v>0</v>
      </c>
    </row>
    <row r="1316" spans="1:23" hidden="1" x14ac:dyDescent="0.25">
      <c r="A1316" s="2">
        <v>45758.588576388887</v>
      </c>
      <c r="B1316">
        <v>3808</v>
      </c>
      <c r="C1316" t="s">
        <v>1005</v>
      </c>
      <c r="D1316" s="3">
        <v>45671</v>
      </c>
      <c r="E1316" s="3">
        <v>46111</v>
      </c>
      <c r="F1316" t="s">
        <v>21</v>
      </c>
      <c r="H1316" t="s">
        <v>22</v>
      </c>
      <c r="I1316" t="s">
        <v>23</v>
      </c>
      <c r="J1316" t="s">
        <v>1490</v>
      </c>
      <c r="K1316" t="s">
        <v>24</v>
      </c>
      <c r="L1316" s="4">
        <v>18</v>
      </c>
      <c r="M1316" t="s">
        <v>1006</v>
      </c>
      <c r="N1316" t="s">
        <v>46</v>
      </c>
      <c r="O1316" s="4">
        <v>700</v>
      </c>
      <c r="P1316">
        <v>0</v>
      </c>
      <c r="Q1316" s="4">
        <v>700</v>
      </c>
      <c r="R1316" s="12">
        <f t="shared" si="20"/>
        <v>12600</v>
      </c>
      <c r="T1316" t="s">
        <v>27</v>
      </c>
      <c r="U1316" t="s">
        <v>1007</v>
      </c>
      <c r="V1316" s="4">
        <v>18</v>
      </c>
      <c r="W1316">
        <v>0</v>
      </c>
    </row>
    <row r="1317" spans="1:23" hidden="1" x14ac:dyDescent="0.25">
      <c r="A1317" s="2">
        <v>45758.588576388887</v>
      </c>
      <c r="B1317">
        <v>3808</v>
      </c>
      <c r="C1317" t="s">
        <v>1005</v>
      </c>
      <c r="D1317" s="3">
        <v>45671</v>
      </c>
      <c r="E1317" s="3">
        <v>46111</v>
      </c>
      <c r="F1317" t="s">
        <v>21</v>
      </c>
      <c r="G1317" t="s">
        <v>1493</v>
      </c>
      <c r="H1317" t="s">
        <v>22</v>
      </c>
      <c r="I1317" t="s">
        <v>44</v>
      </c>
      <c r="J1317" t="s">
        <v>1491</v>
      </c>
      <c r="K1317" t="s">
        <v>31</v>
      </c>
      <c r="L1317" s="4">
        <v>374.846023</v>
      </c>
      <c r="M1317" t="s">
        <v>1006</v>
      </c>
      <c r="N1317" t="s">
        <v>46</v>
      </c>
      <c r="O1317" s="4">
        <v>70</v>
      </c>
      <c r="P1317">
        <v>0</v>
      </c>
      <c r="Q1317" s="4">
        <v>70</v>
      </c>
      <c r="R1317" s="12">
        <f t="shared" si="20"/>
        <v>26239.221610000001</v>
      </c>
      <c r="T1317" t="s">
        <v>27</v>
      </c>
      <c r="U1317" t="s">
        <v>1007</v>
      </c>
      <c r="V1317" s="4">
        <v>374.846023</v>
      </c>
      <c r="W1317">
        <v>0</v>
      </c>
    </row>
    <row r="1318" spans="1:23" hidden="1" x14ac:dyDescent="0.25">
      <c r="A1318" s="2">
        <v>45758.588576388887</v>
      </c>
      <c r="B1318">
        <v>3808</v>
      </c>
      <c r="C1318" t="s">
        <v>1005</v>
      </c>
      <c r="D1318" s="3">
        <v>45671</v>
      </c>
      <c r="E1318" s="3">
        <v>46111</v>
      </c>
      <c r="F1318" t="s">
        <v>21</v>
      </c>
      <c r="G1318" t="s">
        <v>1493</v>
      </c>
      <c r="H1318" t="s">
        <v>22</v>
      </c>
      <c r="I1318" t="s">
        <v>41</v>
      </c>
      <c r="J1318" t="s">
        <v>1491</v>
      </c>
      <c r="K1318" t="s">
        <v>24</v>
      </c>
      <c r="L1318" s="4">
        <v>338.27568000000002</v>
      </c>
      <c r="M1318" t="s">
        <v>1006</v>
      </c>
      <c r="N1318" t="s">
        <v>46</v>
      </c>
      <c r="O1318" s="4">
        <v>70</v>
      </c>
      <c r="P1318">
        <v>0</v>
      </c>
      <c r="Q1318" s="4">
        <v>70</v>
      </c>
      <c r="R1318" s="12">
        <f t="shared" si="20"/>
        <v>23679.297600000002</v>
      </c>
      <c r="T1318" t="s">
        <v>27</v>
      </c>
      <c r="U1318" t="s">
        <v>1007</v>
      </c>
      <c r="V1318" s="4">
        <v>338.27568000000002</v>
      </c>
      <c r="W1318">
        <v>0</v>
      </c>
    </row>
    <row r="1319" spans="1:23" hidden="1" x14ac:dyDescent="0.25">
      <c r="A1319" s="2">
        <v>45758.588576388887</v>
      </c>
      <c r="B1319">
        <v>3808</v>
      </c>
      <c r="C1319" t="s">
        <v>1005</v>
      </c>
      <c r="D1319" s="3">
        <v>45671</v>
      </c>
      <c r="E1319" s="3">
        <v>46111</v>
      </c>
      <c r="F1319" t="s">
        <v>21</v>
      </c>
      <c r="G1319" t="s">
        <v>1493</v>
      </c>
      <c r="H1319" t="s">
        <v>22</v>
      </c>
      <c r="I1319" t="s">
        <v>40</v>
      </c>
      <c r="J1319" t="s">
        <v>1491</v>
      </c>
      <c r="K1319" t="s">
        <v>24</v>
      </c>
      <c r="L1319" s="4">
        <v>324.561801</v>
      </c>
      <c r="M1319" t="s">
        <v>1006</v>
      </c>
      <c r="N1319" t="s">
        <v>46</v>
      </c>
      <c r="O1319" s="4">
        <v>70</v>
      </c>
      <c r="P1319">
        <v>0</v>
      </c>
      <c r="Q1319" s="4">
        <v>70</v>
      </c>
      <c r="R1319" s="12">
        <f t="shared" si="20"/>
        <v>22719.326069999999</v>
      </c>
      <c r="T1319" t="s">
        <v>27</v>
      </c>
      <c r="U1319" t="s">
        <v>1007</v>
      </c>
      <c r="V1319" s="4">
        <v>324.561801</v>
      </c>
      <c r="W1319">
        <v>0</v>
      </c>
    </row>
    <row r="1320" spans="1:23" hidden="1" x14ac:dyDescent="0.25">
      <c r="A1320" s="2">
        <v>45758.588576388887</v>
      </c>
      <c r="B1320">
        <v>3808</v>
      </c>
      <c r="C1320" t="s">
        <v>1005</v>
      </c>
      <c r="D1320" s="3">
        <v>45671</v>
      </c>
      <c r="E1320" s="3">
        <v>46111</v>
      </c>
      <c r="F1320" t="s">
        <v>21</v>
      </c>
      <c r="G1320" t="s">
        <v>1493</v>
      </c>
      <c r="H1320" t="s">
        <v>22</v>
      </c>
      <c r="I1320" t="s">
        <v>92</v>
      </c>
      <c r="J1320" t="s">
        <v>1491</v>
      </c>
      <c r="K1320" t="s">
        <v>31</v>
      </c>
      <c r="L1320" s="4">
        <v>361.13214499999998</v>
      </c>
      <c r="M1320" t="s">
        <v>1006</v>
      </c>
      <c r="N1320" t="s">
        <v>46</v>
      </c>
      <c r="O1320" s="4">
        <v>70</v>
      </c>
      <c r="P1320">
        <v>0</v>
      </c>
      <c r="Q1320" s="4">
        <v>70</v>
      </c>
      <c r="R1320" s="12">
        <f t="shared" si="20"/>
        <v>25279.25015</v>
      </c>
      <c r="T1320" t="s">
        <v>27</v>
      </c>
      <c r="U1320" t="s">
        <v>1007</v>
      </c>
      <c r="V1320" s="4">
        <v>361.13214499999998</v>
      </c>
      <c r="W1320">
        <v>0</v>
      </c>
    </row>
    <row r="1321" spans="1:23" hidden="1" x14ac:dyDescent="0.25">
      <c r="A1321" s="2">
        <v>45758.588576388887</v>
      </c>
      <c r="B1321">
        <v>3808</v>
      </c>
      <c r="C1321" t="s">
        <v>1005</v>
      </c>
      <c r="D1321" s="3">
        <v>45671</v>
      </c>
      <c r="E1321" s="3">
        <v>46111</v>
      </c>
      <c r="F1321" t="s">
        <v>21</v>
      </c>
      <c r="H1321" t="s">
        <v>22</v>
      </c>
      <c r="I1321" t="s">
        <v>32</v>
      </c>
      <c r="J1321" t="s">
        <v>1490</v>
      </c>
      <c r="K1321" t="s">
        <v>24</v>
      </c>
      <c r="L1321" s="4">
        <v>22.5</v>
      </c>
      <c r="M1321" t="s">
        <v>1006</v>
      </c>
      <c r="N1321" t="s">
        <v>46</v>
      </c>
      <c r="O1321" s="4">
        <v>700</v>
      </c>
      <c r="P1321">
        <v>0</v>
      </c>
      <c r="Q1321" s="4">
        <v>700</v>
      </c>
      <c r="R1321" s="12">
        <f t="shared" si="20"/>
        <v>15750</v>
      </c>
      <c r="T1321" t="s">
        <v>27</v>
      </c>
      <c r="U1321" t="s">
        <v>1007</v>
      </c>
      <c r="V1321" s="4">
        <v>22.5</v>
      </c>
      <c r="W1321">
        <v>0</v>
      </c>
    </row>
    <row r="1322" spans="1:23" hidden="1" x14ac:dyDescent="0.25">
      <c r="A1322" s="2">
        <v>45727.449236111112</v>
      </c>
      <c r="B1322">
        <v>3735</v>
      </c>
      <c r="C1322" t="s">
        <v>1005</v>
      </c>
      <c r="D1322" s="3">
        <v>45727</v>
      </c>
      <c r="E1322" s="3">
        <v>45930</v>
      </c>
      <c r="F1322" t="s">
        <v>21</v>
      </c>
      <c r="H1322" t="s">
        <v>22</v>
      </c>
      <c r="I1322" t="s">
        <v>23</v>
      </c>
      <c r="J1322" t="s">
        <v>1490</v>
      </c>
      <c r="K1322" t="s">
        <v>24</v>
      </c>
      <c r="L1322" s="4">
        <v>18</v>
      </c>
      <c r="M1322" t="s">
        <v>1008</v>
      </c>
      <c r="N1322" t="s">
        <v>26</v>
      </c>
      <c r="O1322" s="4">
        <v>660</v>
      </c>
      <c r="P1322">
        <v>0</v>
      </c>
      <c r="Q1322" s="4">
        <v>660</v>
      </c>
      <c r="R1322" s="12">
        <f t="shared" si="20"/>
        <v>11880</v>
      </c>
      <c r="T1322" t="s">
        <v>27</v>
      </c>
      <c r="U1322" t="s">
        <v>1007</v>
      </c>
      <c r="V1322" s="4">
        <v>18</v>
      </c>
      <c r="W1322">
        <v>0</v>
      </c>
    </row>
    <row r="1323" spans="1:23" hidden="1" x14ac:dyDescent="0.25">
      <c r="A1323" s="2">
        <v>45727.449236111112</v>
      </c>
      <c r="B1323">
        <v>3735</v>
      </c>
      <c r="C1323" t="s">
        <v>1005</v>
      </c>
      <c r="D1323" s="3">
        <v>45727</v>
      </c>
      <c r="E1323" s="3">
        <v>45930</v>
      </c>
      <c r="F1323" t="s">
        <v>21</v>
      </c>
      <c r="H1323" t="s">
        <v>22</v>
      </c>
      <c r="I1323" t="s">
        <v>34</v>
      </c>
      <c r="J1323" t="s">
        <v>1490</v>
      </c>
      <c r="K1323" t="s">
        <v>31</v>
      </c>
      <c r="L1323" s="4">
        <v>25</v>
      </c>
      <c r="M1323" t="s">
        <v>1008</v>
      </c>
      <c r="N1323" t="s">
        <v>26</v>
      </c>
      <c r="O1323" s="4">
        <v>660</v>
      </c>
      <c r="P1323">
        <v>0</v>
      </c>
      <c r="Q1323" s="4">
        <v>660</v>
      </c>
      <c r="R1323" s="12">
        <f t="shared" si="20"/>
        <v>16500</v>
      </c>
      <c r="T1323" t="s">
        <v>27</v>
      </c>
      <c r="U1323" t="s">
        <v>1007</v>
      </c>
      <c r="V1323" s="4">
        <v>25</v>
      </c>
      <c r="W1323">
        <v>0</v>
      </c>
    </row>
    <row r="1324" spans="1:23" hidden="1" x14ac:dyDescent="0.25">
      <c r="A1324" s="2">
        <v>45727.449236111112</v>
      </c>
      <c r="B1324">
        <v>3735</v>
      </c>
      <c r="C1324" t="s">
        <v>1005</v>
      </c>
      <c r="D1324" s="3">
        <v>45727</v>
      </c>
      <c r="E1324" s="3">
        <v>45930</v>
      </c>
      <c r="F1324" t="s">
        <v>21</v>
      </c>
      <c r="H1324" t="s">
        <v>22</v>
      </c>
      <c r="I1324" t="s">
        <v>37</v>
      </c>
      <c r="J1324" t="s">
        <v>1490</v>
      </c>
      <c r="K1324" t="s">
        <v>31</v>
      </c>
      <c r="L1324" s="4">
        <v>90</v>
      </c>
      <c r="M1324" t="s">
        <v>1008</v>
      </c>
      <c r="N1324" t="s">
        <v>26</v>
      </c>
      <c r="O1324" s="4">
        <v>72</v>
      </c>
      <c r="P1324">
        <v>0</v>
      </c>
      <c r="Q1324" s="4">
        <v>72</v>
      </c>
      <c r="R1324" s="12">
        <f t="shared" si="20"/>
        <v>6480</v>
      </c>
      <c r="T1324" t="s">
        <v>27</v>
      </c>
      <c r="U1324" t="s">
        <v>1007</v>
      </c>
      <c r="V1324" s="4">
        <v>90</v>
      </c>
      <c r="W1324">
        <v>0</v>
      </c>
    </row>
    <row r="1325" spans="1:23" hidden="1" x14ac:dyDescent="0.25">
      <c r="A1325" s="2">
        <v>45727.449236111112</v>
      </c>
      <c r="B1325">
        <v>3735</v>
      </c>
      <c r="C1325" t="s">
        <v>1005</v>
      </c>
      <c r="D1325" s="3">
        <v>45727</v>
      </c>
      <c r="E1325" s="3">
        <v>45930</v>
      </c>
      <c r="F1325" t="s">
        <v>21</v>
      </c>
      <c r="H1325" t="s">
        <v>22</v>
      </c>
      <c r="I1325" t="s">
        <v>30</v>
      </c>
      <c r="J1325" t="s">
        <v>1490</v>
      </c>
      <c r="K1325" t="s">
        <v>31</v>
      </c>
      <c r="L1325" s="4">
        <v>22.5</v>
      </c>
      <c r="M1325" t="s">
        <v>1008</v>
      </c>
      <c r="N1325" t="s">
        <v>26</v>
      </c>
      <c r="O1325" s="4">
        <v>1320</v>
      </c>
      <c r="P1325">
        <v>0</v>
      </c>
      <c r="Q1325" s="4">
        <v>1320</v>
      </c>
      <c r="R1325" s="12">
        <f t="shared" si="20"/>
        <v>29700</v>
      </c>
      <c r="T1325" t="s">
        <v>27</v>
      </c>
      <c r="U1325" t="s">
        <v>1007</v>
      </c>
      <c r="V1325" s="4">
        <v>22.5</v>
      </c>
      <c r="W1325">
        <v>0</v>
      </c>
    </row>
    <row r="1326" spans="1:23" hidden="1" x14ac:dyDescent="0.25">
      <c r="A1326" s="2">
        <v>45727.449236111112</v>
      </c>
      <c r="B1326">
        <v>3735</v>
      </c>
      <c r="C1326" t="s">
        <v>1005</v>
      </c>
      <c r="D1326" s="3">
        <v>45727</v>
      </c>
      <c r="E1326" s="3">
        <v>45930</v>
      </c>
      <c r="F1326" t="s">
        <v>21</v>
      </c>
      <c r="H1326" t="s">
        <v>22</v>
      </c>
      <c r="I1326" t="s">
        <v>29</v>
      </c>
      <c r="J1326" t="s">
        <v>1490</v>
      </c>
      <c r="K1326" t="s">
        <v>24</v>
      </c>
      <c r="L1326" s="4">
        <v>150</v>
      </c>
      <c r="M1326" t="s">
        <v>1008</v>
      </c>
      <c r="N1326" t="s">
        <v>26</v>
      </c>
      <c r="O1326" s="4">
        <v>220</v>
      </c>
      <c r="P1326">
        <v>0</v>
      </c>
      <c r="Q1326" s="4">
        <v>220</v>
      </c>
      <c r="R1326" s="12">
        <f t="shared" si="20"/>
        <v>33000</v>
      </c>
      <c r="T1326" t="s">
        <v>27</v>
      </c>
      <c r="U1326" t="s">
        <v>1007</v>
      </c>
      <c r="V1326" s="4">
        <v>150</v>
      </c>
      <c r="W1326">
        <v>0</v>
      </c>
    </row>
    <row r="1327" spans="1:23" hidden="1" x14ac:dyDescent="0.25">
      <c r="A1327" s="2">
        <v>45727.449236111112</v>
      </c>
      <c r="B1327">
        <v>3735</v>
      </c>
      <c r="C1327" t="s">
        <v>1005</v>
      </c>
      <c r="D1327" s="3">
        <v>45727</v>
      </c>
      <c r="E1327" s="3">
        <v>45930</v>
      </c>
      <c r="F1327" t="s">
        <v>21</v>
      </c>
      <c r="H1327" t="s">
        <v>22</v>
      </c>
      <c r="I1327" t="s">
        <v>192</v>
      </c>
      <c r="J1327" t="s">
        <v>1490</v>
      </c>
      <c r="K1327" t="s">
        <v>24</v>
      </c>
      <c r="L1327" s="4">
        <v>17.5</v>
      </c>
      <c r="M1327" t="s">
        <v>1008</v>
      </c>
      <c r="N1327" t="s">
        <v>26</v>
      </c>
      <c r="O1327" s="4">
        <v>1980</v>
      </c>
      <c r="P1327">
        <v>0</v>
      </c>
      <c r="Q1327" s="4">
        <v>1980</v>
      </c>
      <c r="R1327" s="12">
        <f t="shared" si="20"/>
        <v>34650</v>
      </c>
      <c r="T1327" t="s">
        <v>27</v>
      </c>
      <c r="U1327" t="s">
        <v>1007</v>
      </c>
      <c r="V1327" s="4">
        <v>17.5</v>
      </c>
      <c r="W1327">
        <v>0</v>
      </c>
    </row>
    <row r="1328" spans="1:23" hidden="1" x14ac:dyDescent="0.25">
      <c r="A1328" s="2">
        <v>45727.449236111112</v>
      </c>
      <c r="B1328">
        <v>3735</v>
      </c>
      <c r="C1328" t="s">
        <v>1005</v>
      </c>
      <c r="D1328" s="3">
        <v>45727</v>
      </c>
      <c r="E1328" s="3">
        <v>45930</v>
      </c>
      <c r="F1328" t="s">
        <v>21</v>
      </c>
      <c r="H1328" t="s">
        <v>22</v>
      </c>
      <c r="I1328" t="s">
        <v>32</v>
      </c>
      <c r="J1328" t="s">
        <v>1490</v>
      </c>
      <c r="K1328" t="s">
        <v>24</v>
      </c>
      <c r="L1328" s="4">
        <v>22.5</v>
      </c>
      <c r="M1328" t="s">
        <v>1008</v>
      </c>
      <c r="N1328" t="s">
        <v>26</v>
      </c>
      <c r="O1328" s="4">
        <v>1000</v>
      </c>
      <c r="P1328">
        <v>0</v>
      </c>
      <c r="Q1328" s="4">
        <v>1000</v>
      </c>
      <c r="R1328" s="12">
        <f t="shared" si="20"/>
        <v>22500</v>
      </c>
      <c r="T1328" t="s">
        <v>27</v>
      </c>
      <c r="U1328" t="s">
        <v>1007</v>
      </c>
      <c r="V1328" s="4">
        <v>22.5</v>
      </c>
      <c r="W1328">
        <v>0</v>
      </c>
    </row>
    <row r="1329" spans="1:23" hidden="1" x14ac:dyDescent="0.25">
      <c r="A1329" s="2">
        <v>45727.449236111112</v>
      </c>
      <c r="B1329">
        <v>3735</v>
      </c>
      <c r="C1329" t="s">
        <v>1005</v>
      </c>
      <c r="D1329" s="3">
        <v>45727</v>
      </c>
      <c r="E1329" s="3">
        <v>45930</v>
      </c>
      <c r="F1329" t="s">
        <v>21</v>
      </c>
      <c r="G1329" t="s">
        <v>1493</v>
      </c>
      <c r="H1329" t="s">
        <v>22</v>
      </c>
      <c r="I1329" t="s">
        <v>41</v>
      </c>
      <c r="J1329" t="s">
        <v>1491</v>
      </c>
      <c r="K1329" t="s">
        <v>24</v>
      </c>
      <c r="L1329" s="4">
        <v>310.39999999999998</v>
      </c>
      <c r="M1329" t="s">
        <v>1008</v>
      </c>
      <c r="N1329" t="s">
        <v>26</v>
      </c>
      <c r="O1329" s="4">
        <v>70</v>
      </c>
      <c r="P1329">
        <v>0</v>
      </c>
      <c r="Q1329" s="4">
        <v>70</v>
      </c>
      <c r="R1329" s="12">
        <f t="shared" si="20"/>
        <v>21728</v>
      </c>
      <c r="T1329" t="s">
        <v>27</v>
      </c>
      <c r="U1329" t="s">
        <v>1007</v>
      </c>
      <c r="V1329" s="4">
        <v>310.39999999999998</v>
      </c>
      <c r="W1329">
        <v>0</v>
      </c>
    </row>
    <row r="1330" spans="1:23" hidden="1" x14ac:dyDescent="0.25">
      <c r="A1330" s="2">
        <v>45727.449236111112</v>
      </c>
      <c r="B1330">
        <v>3735</v>
      </c>
      <c r="C1330" t="s">
        <v>1005</v>
      </c>
      <c r="D1330" s="3">
        <v>45727</v>
      </c>
      <c r="E1330" s="3">
        <v>45930</v>
      </c>
      <c r="F1330" t="s">
        <v>21</v>
      </c>
      <c r="G1330" t="s">
        <v>1493</v>
      </c>
      <c r="H1330" t="s">
        <v>22</v>
      </c>
      <c r="I1330" t="s">
        <v>101</v>
      </c>
      <c r="J1330" t="s">
        <v>1491</v>
      </c>
      <c r="K1330" t="s">
        <v>31</v>
      </c>
      <c r="L1330" s="4">
        <v>610</v>
      </c>
      <c r="M1330" t="s">
        <v>1008</v>
      </c>
      <c r="N1330" t="s">
        <v>26</v>
      </c>
      <c r="O1330" s="4">
        <v>70</v>
      </c>
      <c r="P1330">
        <v>0</v>
      </c>
      <c r="Q1330" s="4">
        <v>70</v>
      </c>
      <c r="R1330" s="12">
        <f t="shared" si="20"/>
        <v>42700</v>
      </c>
      <c r="T1330" t="s">
        <v>27</v>
      </c>
      <c r="U1330" t="s">
        <v>1007</v>
      </c>
      <c r="V1330" s="4">
        <v>610</v>
      </c>
      <c r="W1330">
        <v>0</v>
      </c>
    </row>
    <row r="1331" spans="1:23" hidden="1" x14ac:dyDescent="0.25">
      <c r="A1331" s="2">
        <v>45727.449236111112</v>
      </c>
      <c r="B1331">
        <v>3735</v>
      </c>
      <c r="C1331" t="s">
        <v>1005</v>
      </c>
      <c r="D1331" s="3">
        <v>45727</v>
      </c>
      <c r="E1331" s="3">
        <v>45930</v>
      </c>
      <c r="F1331" t="s">
        <v>21</v>
      </c>
      <c r="H1331" t="s">
        <v>22</v>
      </c>
      <c r="I1331" t="s">
        <v>89</v>
      </c>
      <c r="K1331" t="s">
        <v>31</v>
      </c>
      <c r="L1331" s="4">
        <v>18.07189</v>
      </c>
      <c r="M1331" t="s">
        <v>1008</v>
      </c>
      <c r="N1331" t="s">
        <v>26</v>
      </c>
      <c r="O1331" s="4">
        <v>60</v>
      </c>
      <c r="P1331">
        <v>0</v>
      </c>
      <c r="Q1331" s="4">
        <v>60</v>
      </c>
      <c r="R1331" s="12">
        <f t="shared" si="20"/>
        <v>1084.3134</v>
      </c>
      <c r="T1331" t="s">
        <v>27</v>
      </c>
      <c r="U1331" t="s">
        <v>1007</v>
      </c>
      <c r="V1331" s="4">
        <v>18.07189</v>
      </c>
      <c r="W1331">
        <v>0</v>
      </c>
    </row>
    <row r="1332" spans="1:23" hidden="1" x14ac:dyDescent="0.25">
      <c r="A1332" s="2">
        <v>45727.449236111112</v>
      </c>
      <c r="B1332">
        <v>3735</v>
      </c>
      <c r="C1332" t="s">
        <v>1005</v>
      </c>
      <c r="D1332" s="3">
        <v>45727</v>
      </c>
      <c r="E1332" s="3">
        <v>45930</v>
      </c>
      <c r="F1332" t="s">
        <v>21</v>
      </c>
      <c r="G1332" t="s">
        <v>1493</v>
      </c>
      <c r="H1332" t="s">
        <v>22</v>
      </c>
      <c r="I1332" t="s">
        <v>44</v>
      </c>
      <c r="J1332" t="s">
        <v>1491</v>
      </c>
      <c r="K1332" t="s">
        <v>31</v>
      </c>
      <c r="L1332" s="4">
        <v>375</v>
      </c>
      <c r="M1332" t="s">
        <v>1008</v>
      </c>
      <c r="N1332" t="s">
        <v>26</v>
      </c>
      <c r="O1332" s="4">
        <v>70</v>
      </c>
      <c r="P1332">
        <v>0</v>
      </c>
      <c r="Q1332" s="4">
        <v>70</v>
      </c>
      <c r="R1332" s="12">
        <f t="shared" si="20"/>
        <v>26250</v>
      </c>
      <c r="T1332" t="s">
        <v>27</v>
      </c>
      <c r="U1332" t="s">
        <v>1007</v>
      </c>
      <c r="V1332" s="4">
        <v>375</v>
      </c>
      <c r="W1332">
        <v>0</v>
      </c>
    </row>
    <row r="1333" spans="1:23" hidden="1" x14ac:dyDescent="0.25">
      <c r="A1333" s="2">
        <v>45727.449236111112</v>
      </c>
      <c r="B1333">
        <v>3735</v>
      </c>
      <c r="C1333" t="s">
        <v>1005</v>
      </c>
      <c r="D1333" s="3">
        <v>45727</v>
      </c>
      <c r="E1333" s="3">
        <v>45930</v>
      </c>
      <c r="F1333" t="s">
        <v>21</v>
      </c>
      <c r="H1333" t="s">
        <v>22</v>
      </c>
      <c r="I1333" t="s">
        <v>1009</v>
      </c>
      <c r="K1333" t="s">
        <v>24</v>
      </c>
      <c r="L1333" s="4">
        <v>35.322333</v>
      </c>
      <c r="M1333" t="s">
        <v>1008</v>
      </c>
      <c r="N1333" t="s">
        <v>26</v>
      </c>
      <c r="O1333" s="4">
        <v>40</v>
      </c>
      <c r="P1333">
        <v>0</v>
      </c>
      <c r="Q1333" s="4">
        <v>40</v>
      </c>
      <c r="R1333" s="12">
        <f t="shared" si="20"/>
        <v>1412.8933200000001</v>
      </c>
      <c r="T1333" t="s">
        <v>27</v>
      </c>
      <c r="U1333" t="s">
        <v>1007</v>
      </c>
      <c r="V1333" s="4">
        <v>35.322333</v>
      </c>
      <c r="W1333">
        <v>0</v>
      </c>
    </row>
    <row r="1334" spans="1:23" hidden="1" x14ac:dyDescent="0.25">
      <c r="A1334" s="2">
        <v>45727.449236111112</v>
      </c>
      <c r="B1334">
        <v>3735</v>
      </c>
      <c r="C1334" t="s">
        <v>1005</v>
      </c>
      <c r="D1334" s="3">
        <v>45727</v>
      </c>
      <c r="E1334" s="3">
        <v>45930</v>
      </c>
      <c r="F1334" t="s">
        <v>21</v>
      </c>
      <c r="H1334" t="s">
        <v>22</v>
      </c>
      <c r="I1334" t="s">
        <v>1010</v>
      </c>
      <c r="K1334" t="s">
        <v>31</v>
      </c>
      <c r="L1334" s="4">
        <v>22.179138999999999</v>
      </c>
      <c r="M1334" t="s">
        <v>1008</v>
      </c>
      <c r="N1334" t="s">
        <v>26</v>
      </c>
      <c r="O1334" s="4">
        <v>40</v>
      </c>
      <c r="P1334">
        <v>0</v>
      </c>
      <c r="Q1334" s="4">
        <v>40</v>
      </c>
      <c r="R1334" s="12">
        <f t="shared" si="20"/>
        <v>887.16555999999991</v>
      </c>
      <c r="T1334" t="s">
        <v>27</v>
      </c>
      <c r="U1334" t="s">
        <v>1007</v>
      </c>
      <c r="V1334" s="4">
        <v>22.179138999999999</v>
      </c>
      <c r="W1334">
        <v>0</v>
      </c>
    </row>
    <row r="1335" spans="1:23" hidden="1" x14ac:dyDescent="0.25">
      <c r="A1335" s="2">
        <v>45727.449236111112</v>
      </c>
      <c r="B1335">
        <v>3735</v>
      </c>
      <c r="C1335" t="s">
        <v>1005</v>
      </c>
      <c r="D1335" s="3">
        <v>45727</v>
      </c>
      <c r="E1335" s="3">
        <v>45930</v>
      </c>
      <c r="F1335" t="s">
        <v>21</v>
      </c>
      <c r="H1335" t="s">
        <v>22</v>
      </c>
      <c r="I1335" t="s">
        <v>36</v>
      </c>
      <c r="J1335" t="s">
        <v>1490</v>
      </c>
      <c r="K1335" t="s">
        <v>24</v>
      </c>
      <c r="L1335" s="4">
        <v>72</v>
      </c>
      <c r="M1335" t="s">
        <v>1008</v>
      </c>
      <c r="N1335" t="s">
        <v>26</v>
      </c>
      <c r="O1335" s="4">
        <v>105</v>
      </c>
      <c r="P1335">
        <v>0</v>
      </c>
      <c r="Q1335" s="4">
        <v>105</v>
      </c>
      <c r="R1335" s="12">
        <f t="shared" si="20"/>
        <v>7560</v>
      </c>
      <c r="T1335" t="s">
        <v>27</v>
      </c>
      <c r="U1335" t="s">
        <v>1007</v>
      </c>
      <c r="V1335" s="4">
        <v>72</v>
      </c>
      <c r="W1335">
        <v>0</v>
      </c>
    </row>
    <row r="1336" spans="1:23" hidden="1" x14ac:dyDescent="0.25">
      <c r="A1336" s="2">
        <v>45727.449236111112</v>
      </c>
      <c r="B1336">
        <v>3735</v>
      </c>
      <c r="C1336" t="s">
        <v>1005</v>
      </c>
      <c r="D1336" s="3">
        <v>45727</v>
      </c>
      <c r="E1336" s="3">
        <v>45930</v>
      </c>
      <c r="F1336" t="s">
        <v>21</v>
      </c>
      <c r="H1336" t="s">
        <v>22</v>
      </c>
      <c r="I1336" t="s">
        <v>356</v>
      </c>
      <c r="K1336" t="s">
        <v>24</v>
      </c>
      <c r="L1336" s="4">
        <v>13.964643000000001</v>
      </c>
      <c r="M1336" t="s">
        <v>1008</v>
      </c>
      <c r="N1336" t="s">
        <v>26</v>
      </c>
      <c r="O1336" s="4">
        <v>125</v>
      </c>
      <c r="P1336">
        <v>0</v>
      </c>
      <c r="Q1336" s="4">
        <v>125</v>
      </c>
      <c r="R1336" s="12">
        <f t="shared" si="20"/>
        <v>1745.580375</v>
      </c>
      <c r="T1336" t="s">
        <v>27</v>
      </c>
      <c r="U1336" t="s">
        <v>1007</v>
      </c>
      <c r="V1336" s="4">
        <v>13.964643000000001</v>
      </c>
      <c r="W1336">
        <v>0</v>
      </c>
    </row>
    <row r="1337" spans="1:23" hidden="1" x14ac:dyDescent="0.25">
      <c r="A1337" s="2">
        <v>45727.449236111112</v>
      </c>
      <c r="B1337">
        <v>3735</v>
      </c>
      <c r="C1337" t="s">
        <v>1005</v>
      </c>
      <c r="D1337" s="3">
        <v>45727</v>
      </c>
      <c r="E1337" s="3">
        <v>45930</v>
      </c>
      <c r="F1337" t="s">
        <v>21</v>
      </c>
      <c r="H1337" t="s">
        <v>22</v>
      </c>
      <c r="I1337" t="s">
        <v>863</v>
      </c>
      <c r="K1337" t="s">
        <v>31</v>
      </c>
      <c r="L1337" s="4">
        <v>55.858570999999998</v>
      </c>
      <c r="M1337" t="s">
        <v>1008</v>
      </c>
      <c r="N1337" t="s">
        <v>26</v>
      </c>
      <c r="O1337" s="4">
        <v>10</v>
      </c>
      <c r="P1337">
        <v>0</v>
      </c>
      <c r="Q1337" s="4">
        <v>10</v>
      </c>
      <c r="R1337" s="12">
        <f t="shared" si="20"/>
        <v>558.58570999999995</v>
      </c>
      <c r="T1337" t="s">
        <v>27</v>
      </c>
      <c r="U1337" t="s">
        <v>1007</v>
      </c>
      <c r="V1337" s="4">
        <v>55.858570999999998</v>
      </c>
      <c r="W1337">
        <v>0</v>
      </c>
    </row>
    <row r="1338" spans="1:23" hidden="1" x14ac:dyDescent="0.25">
      <c r="A1338" s="2">
        <v>45727.449236111112</v>
      </c>
      <c r="B1338">
        <v>3735</v>
      </c>
      <c r="C1338" t="s">
        <v>1005</v>
      </c>
      <c r="D1338" s="3">
        <v>45727</v>
      </c>
      <c r="E1338" s="3">
        <v>45930</v>
      </c>
      <c r="F1338" t="s">
        <v>21</v>
      </c>
      <c r="H1338" t="s">
        <v>22</v>
      </c>
      <c r="I1338" t="s">
        <v>278</v>
      </c>
      <c r="K1338" t="s">
        <v>24</v>
      </c>
      <c r="L1338" s="4">
        <v>21.357690000000002</v>
      </c>
      <c r="M1338" t="s">
        <v>1008</v>
      </c>
      <c r="N1338" t="s">
        <v>26</v>
      </c>
      <c r="O1338" s="4">
        <v>60</v>
      </c>
      <c r="P1338">
        <v>0</v>
      </c>
      <c r="Q1338" s="4">
        <v>60</v>
      </c>
      <c r="R1338" s="12">
        <f t="shared" si="20"/>
        <v>1281.4614000000001</v>
      </c>
      <c r="T1338" t="s">
        <v>27</v>
      </c>
      <c r="U1338" t="s">
        <v>1007</v>
      </c>
      <c r="V1338" s="4">
        <v>21.357690000000002</v>
      </c>
      <c r="W1338">
        <v>0</v>
      </c>
    </row>
    <row r="1339" spans="1:23" hidden="1" x14ac:dyDescent="0.25">
      <c r="A1339" s="2">
        <v>45727.449236111112</v>
      </c>
      <c r="B1339">
        <v>3735</v>
      </c>
      <c r="C1339" t="s">
        <v>1005</v>
      </c>
      <c r="D1339" s="3">
        <v>45727</v>
      </c>
      <c r="E1339" s="3">
        <v>45930</v>
      </c>
      <c r="F1339" t="s">
        <v>21</v>
      </c>
      <c r="H1339" t="s">
        <v>22</v>
      </c>
      <c r="I1339" t="s">
        <v>35</v>
      </c>
      <c r="J1339" t="s">
        <v>1490</v>
      </c>
      <c r="K1339" t="s">
        <v>24</v>
      </c>
      <c r="L1339" s="4">
        <v>72</v>
      </c>
      <c r="M1339" t="s">
        <v>1008</v>
      </c>
      <c r="N1339" t="s">
        <v>26</v>
      </c>
      <c r="O1339" s="4">
        <v>280</v>
      </c>
      <c r="P1339">
        <v>0</v>
      </c>
      <c r="Q1339" s="4">
        <v>280</v>
      </c>
      <c r="R1339" s="12">
        <f t="shared" si="20"/>
        <v>20160</v>
      </c>
      <c r="T1339" t="s">
        <v>27</v>
      </c>
      <c r="U1339" t="s">
        <v>1007</v>
      </c>
      <c r="V1339" s="4">
        <v>72</v>
      </c>
      <c r="W1339">
        <v>0</v>
      </c>
    </row>
    <row r="1340" spans="1:23" hidden="1" x14ac:dyDescent="0.25">
      <c r="A1340" s="2">
        <v>46086.334050925929</v>
      </c>
      <c r="B1340">
        <v>4628</v>
      </c>
      <c r="C1340" t="s">
        <v>1005</v>
      </c>
      <c r="D1340" s="3">
        <v>46086</v>
      </c>
      <c r="E1340" s="3">
        <v>46111</v>
      </c>
      <c r="F1340" t="s">
        <v>21</v>
      </c>
      <c r="H1340" t="s">
        <v>22</v>
      </c>
      <c r="I1340" t="s">
        <v>35</v>
      </c>
      <c r="J1340" t="s">
        <v>1490</v>
      </c>
      <c r="K1340" t="s">
        <v>24</v>
      </c>
      <c r="L1340" s="4">
        <v>72</v>
      </c>
      <c r="M1340" t="s">
        <v>1011</v>
      </c>
      <c r="N1340" t="s">
        <v>46</v>
      </c>
      <c r="O1340" s="4">
        <v>140</v>
      </c>
      <c r="P1340">
        <v>0</v>
      </c>
      <c r="Q1340" s="4">
        <v>140</v>
      </c>
      <c r="R1340" s="12">
        <f t="shared" si="20"/>
        <v>10080</v>
      </c>
      <c r="T1340" t="s">
        <v>27</v>
      </c>
      <c r="U1340" t="s">
        <v>1007</v>
      </c>
      <c r="V1340" s="4">
        <v>72</v>
      </c>
      <c r="W1340">
        <v>0</v>
      </c>
    </row>
    <row r="1341" spans="1:23" hidden="1" x14ac:dyDescent="0.25">
      <c r="A1341" s="2">
        <v>45995.70752314815</v>
      </c>
      <c r="B1341">
        <v>4328</v>
      </c>
      <c r="C1341" t="s">
        <v>1012</v>
      </c>
      <c r="D1341" s="3">
        <v>45995</v>
      </c>
      <c r="E1341" s="3">
        <v>46264</v>
      </c>
      <c r="F1341" t="s">
        <v>112</v>
      </c>
      <c r="G1341" t="s">
        <v>1493</v>
      </c>
      <c r="H1341" t="s">
        <v>22</v>
      </c>
      <c r="I1341" t="s">
        <v>44</v>
      </c>
      <c r="J1341" t="s">
        <v>1491</v>
      </c>
      <c r="K1341" t="s">
        <v>31</v>
      </c>
      <c r="L1341" s="4">
        <v>385</v>
      </c>
      <c r="M1341" t="s">
        <v>1013</v>
      </c>
      <c r="N1341" t="s">
        <v>46</v>
      </c>
      <c r="O1341" s="4">
        <v>111</v>
      </c>
      <c r="P1341">
        <v>0</v>
      </c>
      <c r="Q1341" s="4">
        <v>111</v>
      </c>
      <c r="R1341" s="12">
        <f t="shared" si="20"/>
        <v>42735</v>
      </c>
      <c r="T1341" t="s">
        <v>151</v>
      </c>
      <c r="U1341" t="s">
        <v>1014</v>
      </c>
      <c r="V1341" s="4">
        <v>385</v>
      </c>
      <c r="W1341">
        <v>0</v>
      </c>
    </row>
    <row r="1342" spans="1:23" hidden="1" x14ac:dyDescent="0.25">
      <c r="A1342" s="2">
        <v>45968.471956018519</v>
      </c>
      <c r="B1342">
        <v>4246</v>
      </c>
      <c r="C1342" t="s">
        <v>1015</v>
      </c>
      <c r="D1342" s="3">
        <v>45968</v>
      </c>
      <c r="E1342" s="3">
        <v>46172</v>
      </c>
      <c r="F1342" t="s">
        <v>143</v>
      </c>
      <c r="G1342" t="s">
        <v>1493</v>
      </c>
      <c r="H1342" t="s">
        <v>22</v>
      </c>
      <c r="I1342" t="s">
        <v>38</v>
      </c>
      <c r="J1342" t="s">
        <v>1491</v>
      </c>
      <c r="K1342" t="s">
        <v>24</v>
      </c>
      <c r="L1342" s="4">
        <v>37.777777</v>
      </c>
      <c r="M1342" t="s">
        <v>1016</v>
      </c>
      <c r="N1342" t="s">
        <v>26</v>
      </c>
      <c r="O1342" s="4">
        <v>36</v>
      </c>
      <c r="P1342">
        <v>0</v>
      </c>
      <c r="Q1342" s="4">
        <v>36</v>
      </c>
      <c r="R1342" s="12">
        <f t="shared" si="20"/>
        <v>1359.9999720000001</v>
      </c>
      <c r="T1342" t="s">
        <v>371</v>
      </c>
      <c r="U1342" t="s">
        <v>1017</v>
      </c>
      <c r="V1342" s="4">
        <v>37.777777</v>
      </c>
      <c r="W1342">
        <v>0</v>
      </c>
    </row>
    <row r="1343" spans="1:23" hidden="1" x14ac:dyDescent="0.25">
      <c r="A1343" s="2">
        <v>46034.525879629633</v>
      </c>
      <c r="B1343">
        <v>493</v>
      </c>
      <c r="C1343" t="s">
        <v>1018</v>
      </c>
      <c r="D1343" s="3">
        <v>46034</v>
      </c>
      <c r="E1343" s="3">
        <v>46264</v>
      </c>
      <c r="F1343" t="s">
        <v>66</v>
      </c>
      <c r="G1343" t="s">
        <v>1494</v>
      </c>
      <c r="H1343" t="s">
        <v>22</v>
      </c>
      <c r="I1343" t="s">
        <v>41</v>
      </c>
      <c r="J1343" t="s">
        <v>1491</v>
      </c>
      <c r="K1343" t="s">
        <v>24</v>
      </c>
      <c r="L1343" s="4">
        <v>338</v>
      </c>
      <c r="M1343" t="s">
        <v>1019</v>
      </c>
      <c r="N1343" t="s">
        <v>46</v>
      </c>
      <c r="O1343" s="4">
        <v>30</v>
      </c>
      <c r="P1343">
        <v>0</v>
      </c>
      <c r="Q1343" s="4">
        <v>30</v>
      </c>
      <c r="R1343" s="12">
        <f t="shared" si="20"/>
        <v>10140</v>
      </c>
      <c r="T1343" t="s">
        <v>263</v>
      </c>
      <c r="U1343" t="s">
        <v>1020</v>
      </c>
      <c r="V1343" s="4">
        <v>338</v>
      </c>
      <c r="W1343">
        <v>0</v>
      </c>
    </row>
    <row r="1344" spans="1:23" hidden="1" x14ac:dyDescent="0.25">
      <c r="A1344" s="2">
        <v>46034.525879629633</v>
      </c>
      <c r="B1344">
        <v>493</v>
      </c>
      <c r="C1344" t="s">
        <v>1018</v>
      </c>
      <c r="D1344" s="3">
        <v>46034</v>
      </c>
      <c r="E1344" s="3">
        <v>46264</v>
      </c>
      <c r="F1344" t="s">
        <v>66</v>
      </c>
      <c r="G1344" t="s">
        <v>1494</v>
      </c>
      <c r="H1344" t="s">
        <v>22</v>
      </c>
      <c r="I1344" t="s">
        <v>38</v>
      </c>
      <c r="J1344" t="s">
        <v>1491</v>
      </c>
      <c r="K1344" t="s">
        <v>24</v>
      </c>
      <c r="L1344" s="4">
        <v>48</v>
      </c>
      <c r="M1344" t="s">
        <v>1019</v>
      </c>
      <c r="N1344" t="s">
        <v>46</v>
      </c>
      <c r="O1344" s="4">
        <v>108</v>
      </c>
      <c r="P1344">
        <v>0</v>
      </c>
      <c r="Q1344" s="4">
        <v>108</v>
      </c>
      <c r="R1344" s="12">
        <f t="shared" si="20"/>
        <v>5184</v>
      </c>
      <c r="T1344" t="s">
        <v>263</v>
      </c>
      <c r="U1344" t="s">
        <v>1020</v>
      </c>
      <c r="V1344" s="4">
        <v>48</v>
      </c>
      <c r="W1344">
        <v>0</v>
      </c>
    </row>
    <row r="1345" spans="1:23" hidden="1" x14ac:dyDescent="0.25">
      <c r="A1345" s="2">
        <v>46034.525879629633</v>
      </c>
      <c r="B1345">
        <v>493</v>
      </c>
      <c r="C1345" t="s">
        <v>1018</v>
      </c>
      <c r="D1345" s="3">
        <v>46034</v>
      </c>
      <c r="E1345" s="3">
        <v>46264</v>
      </c>
      <c r="F1345" t="s">
        <v>66</v>
      </c>
      <c r="G1345" t="s">
        <v>1494</v>
      </c>
      <c r="H1345" t="s">
        <v>22</v>
      </c>
      <c r="I1345" t="s">
        <v>63</v>
      </c>
      <c r="J1345" t="s">
        <v>1491</v>
      </c>
      <c r="K1345" t="s">
        <v>31</v>
      </c>
      <c r="L1345" s="4">
        <v>200</v>
      </c>
      <c r="M1345" t="s">
        <v>1019</v>
      </c>
      <c r="N1345" t="s">
        <v>46</v>
      </c>
      <c r="O1345" s="4">
        <v>80</v>
      </c>
      <c r="P1345">
        <v>0</v>
      </c>
      <c r="Q1345" s="4">
        <v>80</v>
      </c>
      <c r="R1345" s="12">
        <f t="shared" si="20"/>
        <v>16000</v>
      </c>
      <c r="T1345" t="s">
        <v>263</v>
      </c>
      <c r="U1345" t="s">
        <v>1020</v>
      </c>
      <c r="V1345" s="4">
        <v>200</v>
      </c>
      <c r="W1345">
        <v>0</v>
      </c>
    </row>
    <row r="1346" spans="1:23" hidden="1" x14ac:dyDescent="0.25">
      <c r="A1346" s="2">
        <v>46034.525879629633</v>
      </c>
      <c r="B1346">
        <v>493</v>
      </c>
      <c r="C1346" t="s">
        <v>1018</v>
      </c>
      <c r="D1346" s="3">
        <v>46034</v>
      </c>
      <c r="E1346" s="3">
        <v>46264</v>
      </c>
      <c r="F1346" t="s">
        <v>66</v>
      </c>
      <c r="G1346" t="s">
        <v>1494</v>
      </c>
      <c r="H1346" t="s">
        <v>22</v>
      </c>
      <c r="I1346" t="s">
        <v>40</v>
      </c>
      <c r="J1346" t="s">
        <v>1491</v>
      </c>
      <c r="K1346" t="s">
        <v>24</v>
      </c>
      <c r="L1346" s="4">
        <v>338</v>
      </c>
      <c r="M1346" t="s">
        <v>1019</v>
      </c>
      <c r="N1346" t="s">
        <v>46</v>
      </c>
      <c r="O1346" s="4">
        <v>30</v>
      </c>
      <c r="P1346">
        <v>0</v>
      </c>
      <c r="Q1346" s="4">
        <v>30</v>
      </c>
      <c r="R1346" s="12">
        <f t="shared" si="20"/>
        <v>10140</v>
      </c>
      <c r="T1346" t="s">
        <v>263</v>
      </c>
      <c r="U1346" t="s">
        <v>1020</v>
      </c>
      <c r="V1346" s="4">
        <v>338</v>
      </c>
      <c r="W1346">
        <v>0</v>
      </c>
    </row>
    <row r="1347" spans="1:23" hidden="1" x14ac:dyDescent="0.25">
      <c r="A1347" s="2">
        <v>46072.660682870373</v>
      </c>
      <c r="B1347">
        <v>555</v>
      </c>
      <c r="C1347" t="s">
        <v>1018</v>
      </c>
      <c r="D1347" s="3">
        <v>46072</v>
      </c>
      <c r="E1347" s="3">
        <v>46295</v>
      </c>
      <c r="F1347" t="s">
        <v>66</v>
      </c>
      <c r="G1347" t="s">
        <v>1494</v>
      </c>
      <c r="H1347" t="s">
        <v>22</v>
      </c>
      <c r="I1347" t="s">
        <v>75</v>
      </c>
      <c r="J1347" t="s">
        <v>1491</v>
      </c>
      <c r="K1347" t="s">
        <v>24</v>
      </c>
      <c r="L1347" s="4">
        <v>35</v>
      </c>
      <c r="M1347" t="s">
        <v>1021</v>
      </c>
      <c r="N1347" t="s">
        <v>46</v>
      </c>
      <c r="O1347" s="4">
        <v>590</v>
      </c>
      <c r="P1347" s="4">
        <v>20</v>
      </c>
      <c r="Q1347" s="4">
        <v>570</v>
      </c>
      <c r="R1347" s="12">
        <f t="shared" ref="R1347:R1410" si="21">Q1347*L1347</f>
        <v>19950</v>
      </c>
      <c r="T1347" t="s">
        <v>263</v>
      </c>
      <c r="U1347" t="s">
        <v>1020</v>
      </c>
      <c r="V1347" s="4">
        <v>35</v>
      </c>
      <c r="W1347">
        <v>0</v>
      </c>
    </row>
    <row r="1348" spans="1:23" hidden="1" x14ac:dyDescent="0.25">
      <c r="A1348" s="2">
        <v>45919.575243055559</v>
      </c>
      <c r="B1348">
        <v>307</v>
      </c>
      <c r="C1348" t="s">
        <v>1022</v>
      </c>
      <c r="D1348" s="3">
        <v>45919</v>
      </c>
      <c r="E1348" s="3">
        <v>46142</v>
      </c>
      <c r="F1348" t="s">
        <v>418</v>
      </c>
      <c r="G1348" t="s">
        <v>1494</v>
      </c>
      <c r="H1348" t="s">
        <v>22</v>
      </c>
      <c r="I1348" t="s">
        <v>38</v>
      </c>
      <c r="J1348" t="s">
        <v>1491</v>
      </c>
      <c r="K1348" t="s">
        <v>24</v>
      </c>
      <c r="L1348" s="4">
        <v>45</v>
      </c>
      <c r="M1348" t="s">
        <v>1023</v>
      </c>
      <c r="N1348" t="s">
        <v>26</v>
      </c>
      <c r="O1348" s="4">
        <v>90</v>
      </c>
      <c r="P1348">
        <v>0</v>
      </c>
      <c r="Q1348" s="4">
        <v>90</v>
      </c>
      <c r="R1348" s="12">
        <f t="shared" si="21"/>
        <v>4050</v>
      </c>
      <c r="T1348" t="s">
        <v>642</v>
      </c>
      <c r="U1348" t="s">
        <v>1024</v>
      </c>
      <c r="V1348" s="4">
        <v>45</v>
      </c>
      <c r="W1348">
        <v>0</v>
      </c>
    </row>
    <row r="1349" spans="1:23" hidden="1" x14ac:dyDescent="0.25">
      <c r="A1349" s="2">
        <v>45919.575243055559</v>
      </c>
      <c r="B1349">
        <v>307</v>
      </c>
      <c r="C1349" t="s">
        <v>1022</v>
      </c>
      <c r="D1349" s="3">
        <v>45919</v>
      </c>
      <c r="E1349" s="3">
        <v>46142</v>
      </c>
      <c r="F1349" t="s">
        <v>418</v>
      </c>
      <c r="G1349" t="s">
        <v>1494</v>
      </c>
      <c r="H1349" t="s">
        <v>22</v>
      </c>
      <c r="I1349" t="s">
        <v>43</v>
      </c>
      <c r="J1349" t="s">
        <v>1491</v>
      </c>
      <c r="K1349" t="s">
        <v>24</v>
      </c>
      <c r="L1349" s="4">
        <v>40.4</v>
      </c>
      <c r="M1349" t="s">
        <v>1023</v>
      </c>
      <c r="N1349" t="s">
        <v>26</v>
      </c>
      <c r="O1349" s="4">
        <v>300</v>
      </c>
      <c r="P1349">
        <v>0</v>
      </c>
      <c r="Q1349" s="4">
        <v>300</v>
      </c>
      <c r="R1349" s="12">
        <f t="shared" si="21"/>
        <v>12120</v>
      </c>
      <c r="T1349" t="s">
        <v>642</v>
      </c>
      <c r="U1349" t="s">
        <v>1024</v>
      </c>
      <c r="V1349" s="4">
        <v>40.4</v>
      </c>
      <c r="W1349">
        <v>0</v>
      </c>
    </row>
    <row r="1350" spans="1:23" hidden="1" x14ac:dyDescent="0.25">
      <c r="A1350" s="2">
        <v>45919.575243055559</v>
      </c>
      <c r="B1350">
        <v>307</v>
      </c>
      <c r="C1350" t="s">
        <v>1022</v>
      </c>
      <c r="D1350" s="3">
        <v>45919</v>
      </c>
      <c r="E1350" s="3">
        <v>46142</v>
      </c>
      <c r="F1350" t="s">
        <v>418</v>
      </c>
      <c r="G1350" t="s">
        <v>1494</v>
      </c>
      <c r="H1350" t="s">
        <v>22</v>
      </c>
      <c r="I1350" t="s">
        <v>40</v>
      </c>
      <c r="J1350" t="s">
        <v>1491</v>
      </c>
      <c r="K1350" t="s">
        <v>24</v>
      </c>
      <c r="L1350" s="4">
        <v>295</v>
      </c>
      <c r="M1350" t="s">
        <v>1023</v>
      </c>
      <c r="N1350" t="s">
        <v>26</v>
      </c>
      <c r="O1350" s="4">
        <v>45</v>
      </c>
      <c r="P1350">
        <v>0</v>
      </c>
      <c r="Q1350" s="4">
        <v>45</v>
      </c>
      <c r="R1350" s="12">
        <f t="shared" si="21"/>
        <v>13275</v>
      </c>
      <c r="T1350" t="s">
        <v>642</v>
      </c>
      <c r="U1350" t="s">
        <v>1024</v>
      </c>
      <c r="V1350" s="4">
        <v>295</v>
      </c>
      <c r="W1350">
        <v>0</v>
      </c>
    </row>
    <row r="1351" spans="1:23" hidden="1" x14ac:dyDescent="0.25">
      <c r="A1351" s="2">
        <v>45919.575243055559</v>
      </c>
      <c r="B1351">
        <v>307</v>
      </c>
      <c r="C1351" t="s">
        <v>1022</v>
      </c>
      <c r="D1351" s="3">
        <v>45919</v>
      </c>
      <c r="E1351" s="3">
        <v>46142</v>
      </c>
      <c r="F1351" t="s">
        <v>418</v>
      </c>
      <c r="G1351" t="s">
        <v>1494</v>
      </c>
      <c r="H1351" t="s">
        <v>22</v>
      </c>
      <c r="I1351" t="s">
        <v>41</v>
      </c>
      <c r="J1351" t="s">
        <v>1491</v>
      </c>
      <c r="K1351" t="s">
        <v>24</v>
      </c>
      <c r="L1351" s="4">
        <v>295</v>
      </c>
      <c r="M1351" t="s">
        <v>1023</v>
      </c>
      <c r="N1351" t="s">
        <v>26</v>
      </c>
      <c r="O1351" s="4">
        <v>45</v>
      </c>
      <c r="P1351">
        <v>0</v>
      </c>
      <c r="Q1351" s="4">
        <v>45</v>
      </c>
      <c r="R1351" s="12">
        <f t="shared" si="21"/>
        <v>13275</v>
      </c>
      <c r="T1351" t="s">
        <v>642</v>
      </c>
      <c r="U1351" t="s">
        <v>1024</v>
      </c>
      <c r="V1351" s="4">
        <v>295</v>
      </c>
      <c r="W1351">
        <v>0</v>
      </c>
    </row>
    <row r="1352" spans="1:23" hidden="1" x14ac:dyDescent="0.25">
      <c r="A1352" s="2">
        <v>45919.575243055559</v>
      </c>
      <c r="B1352">
        <v>307</v>
      </c>
      <c r="C1352" t="s">
        <v>1022</v>
      </c>
      <c r="D1352" s="3">
        <v>45919</v>
      </c>
      <c r="E1352" s="3">
        <v>46142</v>
      </c>
      <c r="F1352" t="s">
        <v>418</v>
      </c>
      <c r="G1352" t="s">
        <v>1494</v>
      </c>
      <c r="H1352" t="s">
        <v>22</v>
      </c>
      <c r="I1352" t="s">
        <v>63</v>
      </c>
      <c r="J1352" t="s">
        <v>1491</v>
      </c>
      <c r="K1352" t="s">
        <v>31</v>
      </c>
      <c r="L1352" s="4">
        <v>180</v>
      </c>
      <c r="M1352" t="s">
        <v>1023</v>
      </c>
      <c r="N1352" t="s">
        <v>26</v>
      </c>
      <c r="O1352" s="4">
        <v>60</v>
      </c>
      <c r="P1352">
        <v>0</v>
      </c>
      <c r="Q1352" s="4">
        <v>60</v>
      </c>
      <c r="R1352" s="12">
        <f t="shared" si="21"/>
        <v>10800</v>
      </c>
      <c r="T1352" t="s">
        <v>642</v>
      </c>
      <c r="U1352" t="s">
        <v>1024</v>
      </c>
      <c r="V1352" s="4">
        <v>180</v>
      </c>
      <c r="W1352">
        <v>0</v>
      </c>
    </row>
    <row r="1353" spans="1:23" hidden="1" x14ac:dyDescent="0.25">
      <c r="A1353" s="2">
        <v>46036.365393518521</v>
      </c>
      <c r="B1353">
        <v>499</v>
      </c>
      <c r="C1353" t="s">
        <v>1022</v>
      </c>
      <c r="D1353" s="3">
        <v>46036</v>
      </c>
      <c r="E1353" s="3">
        <v>46264</v>
      </c>
      <c r="F1353" t="s">
        <v>418</v>
      </c>
      <c r="G1353" t="s">
        <v>1494</v>
      </c>
      <c r="H1353" t="s">
        <v>22</v>
      </c>
      <c r="I1353" t="s">
        <v>63</v>
      </c>
      <c r="J1353" t="s">
        <v>1491</v>
      </c>
      <c r="K1353" t="s">
        <v>31</v>
      </c>
      <c r="L1353" s="4">
        <v>180</v>
      </c>
      <c r="M1353" t="s">
        <v>1025</v>
      </c>
      <c r="N1353" t="s">
        <v>46</v>
      </c>
      <c r="O1353" s="4">
        <v>35</v>
      </c>
      <c r="P1353">
        <v>0</v>
      </c>
      <c r="Q1353" s="4">
        <v>35</v>
      </c>
      <c r="R1353" s="12">
        <f t="shared" si="21"/>
        <v>6300</v>
      </c>
      <c r="T1353" t="s">
        <v>642</v>
      </c>
      <c r="U1353" t="s">
        <v>1024</v>
      </c>
      <c r="V1353" s="4">
        <v>180</v>
      </c>
      <c r="W1353">
        <v>0</v>
      </c>
    </row>
    <row r="1354" spans="1:23" hidden="1" x14ac:dyDescent="0.25">
      <c r="A1354" s="2">
        <v>45905.363634259258</v>
      </c>
      <c r="B1354">
        <v>4011</v>
      </c>
      <c r="C1354" t="s">
        <v>1026</v>
      </c>
      <c r="D1354" s="3">
        <v>45905</v>
      </c>
      <c r="E1354" s="3">
        <v>46142</v>
      </c>
      <c r="F1354" t="s">
        <v>79</v>
      </c>
      <c r="H1354" t="s">
        <v>22</v>
      </c>
      <c r="I1354" t="s">
        <v>80</v>
      </c>
      <c r="K1354" t="s">
        <v>31</v>
      </c>
      <c r="L1354" s="4">
        <v>39</v>
      </c>
      <c r="M1354" t="s">
        <v>1027</v>
      </c>
      <c r="N1354" t="s">
        <v>26</v>
      </c>
      <c r="O1354" s="4">
        <v>165</v>
      </c>
      <c r="P1354">
        <v>0</v>
      </c>
      <c r="Q1354" s="4">
        <v>165</v>
      </c>
      <c r="R1354" s="12">
        <f t="shared" si="21"/>
        <v>6435</v>
      </c>
      <c r="T1354" t="s">
        <v>371</v>
      </c>
      <c r="U1354" t="s">
        <v>1028</v>
      </c>
      <c r="V1354" s="4">
        <v>39</v>
      </c>
      <c r="W1354">
        <v>0</v>
      </c>
    </row>
    <row r="1355" spans="1:23" hidden="1" x14ac:dyDescent="0.25">
      <c r="A1355" s="2">
        <v>45911.390613425923</v>
      </c>
      <c r="B1355">
        <v>4029</v>
      </c>
      <c r="C1355" t="s">
        <v>1026</v>
      </c>
      <c r="D1355" s="3">
        <v>45910</v>
      </c>
      <c r="E1355" s="3">
        <v>46142</v>
      </c>
      <c r="F1355" t="s">
        <v>79</v>
      </c>
      <c r="G1355" t="s">
        <v>1493</v>
      </c>
      <c r="H1355" t="s">
        <v>22</v>
      </c>
      <c r="I1355" t="s">
        <v>43</v>
      </c>
      <c r="J1355" t="s">
        <v>1491</v>
      </c>
      <c r="K1355" t="s">
        <v>24</v>
      </c>
      <c r="L1355" s="4">
        <v>30</v>
      </c>
      <c r="M1355" t="s">
        <v>1029</v>
      </c>
      <c r="N1355" t="s">
        <v>26</v>
      </c>
      <c r="O1355" s="4">
        <v>3921</v>
      </c>
      <c r="P1355">
        <v>0</v>
      </c>
      <c r="Q1355" s="4">
        <v>3921</v>
      </c>
      <c r="R1355" s="12">
        <f t="shared" si="21"/>
        <v>117630</v>
      </c>
      <c r="T1355" t="s">
        <v>371</v>
      </c>
      <c r="U1355" t="s">
        <v>1028</v>
      </c>
      <c r="V1355" s="4">
        <v>30</v>
      </c>
      <c r="W1355">
        <v>0</v>
      </c>
    </row>
    <row r="1356" spans="1:23" hidden="1" x14ac:dyDescent="0.25">
      <c r="A1356" s="2">
        <v>45911.390613425923</v>
      </c>
      <c r="B1356">
        <v>4029</v>
      </c>
      <c r="C1356" t="s">
        <v>1026</v>
      </c>
      <c r="D1356" s="3">
        <v>45910</v>
      </c>
      <c r="E1356" s="3">
        <v>46142</v>
      </c>
      <c r="F1356" t="s">
        <v>79</v>
      </c>
      <c r="G1356" t="s">
        <v>1493</v>
      </c>
      <c r="H1356" t="s">
        <v>22</v>
      </c>
      <c r="I1356" t="s">
        <v>44</v>
      </c>
      <c r="J1356" t="s">
        <v>1491</v>
      </c>
      <c r="K1356" t="s">
        <v>31</v>
      </c>
      <c r="L1356" s="4">
        <v>330</v>
      </c>
      <c r="M1356" t="s">
        <v>1029</v>
      </c>
      <c r="N1356" t="s">
        <v>26</v>
      </c>
      <c r="O1356" s="4">
        <v>700</v>
      </c>
      <c r="P1356">
        <v>0</v>
      </c>
      <c r="Q1356" s="4">
        <v>700</v>
      </c>
      <c r="R1356" s="12">
        <f t="shared" si="21"/>
        <v>231000</v>
      </c>
      <c r="T1356" t="s">
        <v>371</v>
      </c>
      <c r="U1356" t="s">
        <v>1028</v>
      </c>
      <c r="V1356" s="4">
        <v>330</v>
      </c>
      <c r="W1356">
        <v>0</v>
      </c>
    </row>
    <row r="1357" spans="1:23" hidden="1" x14ac:dyDescent="0.25">
      <c r="A1357" s="2">
        <v>45911.390613425923</v>
      </c>
      <c r="B1357">
        <v>4029</v>
      </c>
      <c r="C1357" t="s">
        <v>1026</v>
      </c>
      <c r="D1357" s="3">
        <v>45910</v>
      </c>
      <c r="E1357" s="3">
        <v>46142</v>
      </c>
      <c r="F1357" t="s">
        <v>79</v>
      </c>
      <c r="G1357" t="s">
        <v>1493</v>
      </c>
      <c r="H1357" t="s">
        <v>22</v>
      </c>
      <c r="I1357" t="s">
        <v>201</v>
      </c>
      <c r="J1357" t="s">
        <v>1491</v>
      </c>
      <c r="K1357" t="s">
        <v>24</v>
      </c>
      <c r="L1357" s="4">
        <v>60</v>
      </c>
      <c r="M1357" t="s">
        <v>1029</v>
      </c>
      <c r="N1357" t="s">
        <v>26</v>
      </c>
      <c r="O1357" s="4">
        <v>640</v>
      </c>
      <c r="P1357">
        <v>0</v>
      </c>
      <c r="Q1357" s="4">
        <v>640</v>
      </c>
      <c r="R1357" s="12">
        <f t="shared" si="21"/>
        <v>38400</v>
      </c>
      <c r="T1357" t="s">
        <v>371</v>
      </c>
      <c r="U1357" t="s">
        <v>1028</v>
      </c>
      <c r="V1357" s="4">
        <v>60</v>
      </c>
      <c r="W1357">
        <v>0</v>
      </c>
    </row>
    <row r="1358" spans="1:23" hidden="1" x14ac:dyDescent="0.25">
      <c r="A1358" s="2">
        <v>45911.390613425923</v>
      </c>
      <c r="B1358">
        <v>4029</v>
      </c>
      <c r="C1358" t="s">
        <v>1026</v>
      </c>
      <c r="D1358" s="3">
        <v>45910</v>
      </c>
      <c r="E1358" s="3">
        <v>46142</v>
      </c>
      <c r="F1358" t="s">
        <v>79</v>
      </c>
      <c r="G1358" t="s">
        <v>1493</v>
      </c>
      <c r="H1358" t="s">
        <v>22</v>
      </c>
      <c r="I1358" t="s">
        <v>38</v>
      </c>
      <c r="J1358" t="s">
        <v>1491</v>
      </c>
      <c r="K1358" t="s">
        <v>24</v>
      </c>
      <c r="L1358" s="4">
        <v>35</v>
      </c>
      <c r="M1358" t="s">
        <v>1029</v>
      </c>
      <c r="N1358" t="s">
        <v>26</v>
      </c>
      <c r="O1358" s="4">
        <v>1962</v>
      </c>
      <c r="P1358">
        <v>0</v>
      </c>
      <c r="Q1358" s="4">
        <v>1962</v>
      </c>
      <c r="R1358" s="12">
        <f t="shared" si="21"/>
        <v>68670</v>
      </c>
      <c r="T1358" t="s">
        <v>371</v>
      </c>
      <c r="U1358" t="s">
        <v>1028</v>
      </c>
      <c r="V1358" s="4">
        <v>35</v>
      </c>
      <c r="W1358">
        <v>0</v>
      </c>
    </row>
    <row r="1359" spans="1:23" hidden="1" x14ac:dyDescent="0.25">
      <c r="A1359" s="2">
        <v>45915.689768518518</v>
      </c>
      <c r="B1359">
        <v>4041</v>
      </c>
      <c r="C1359" t="s">
        <v>1026</v>
      </c>
      <c r="D1359" s="3">
        <v>45915</v>
      </c>
      <c r="E1359" s="3">
        <v>46142</v>
      </c>
      <c r="F1359" t="s">
        <v>79</v>
      </c>
      <c r="H1359" t="s">
        <v>22</v>
      </c>
      <c r="I1359" t="s">
        <v>36</v>
      </c>
      <c r="J1359" t="s">
        <v>1490</v>
      </c>
      <c r="K1359" t="s">
        <v>24</v>
      </c>
      <c r="L1359" s="4">
        <v>69</v>
      </c>
      <c r="M1359" t="s">
        <v>1030</v>
      </c>
      <c r="N1359" t="s">
        <v>26</v>
      </c>
      <c r="O1359" s="4">
        <v>5</v>
      </c>
      <c r="P1359">
        <v>0</v>
      </c>
      <c r="Q1359" s="4">
        <v>5</v>
      </c>
      <c r="R1359" s="12">
        <f t="shared" si="21"/>
        <v>345</v>
      </c>
      <c r="T1359" t="s">
        <v>371</v>
      </c>
      <c r="U1359" t="s">
        <v>1028</v>
      </c>
      <c r="V1359" s="4">
        <v>69</v>
      </c>
      <c r="W1359">
        <v>0</v>
      </c>
    </row>
    <row r="1360" spans="1:23" hidden="1" x14ac:dyDescent="0.25">
      <c r="A1360" s="2">
        <v>45951.570590277777</v>
      </c>
      <c r="B1360">
        <v>4191</v>
      </c>
      <c r="C1360" t="s">
        <v>1026</v>
      </c>
      <c r="D1360" s="3">
        <v>45951</v>
      </c>
      <c r="E1360" s="3">
        <v>46142</v>
      </c>
      <c r="F1360" t="s">
        <v>79</v>
      </c>
      <c r="G1360" t="s">
        <v>1493</v>
      </c>
      <c r="H1360" t="s">
        <v>22</v>
      </c>
      <c r="I1360" t="s">
        <v>43</v>
      </c>
      <c r="J1360" t="s">
        <v>1491</v>
      </c>
      <c r="K1360" t="s">
        <v>24</v>
      </c>
      <c r="L1360" s="4">
        <v>30</v>
      </c>
      <c r="M1360" t="s">
        <v>1031</v>
      </c>
      <c r="N1360" t="s">
        <v>26</v>
      </c>
      <c r="O1360" s="4">
        <v>402</v>
      </c>
      <c r="P1360">
        <v>0</v>
      </c>
      <c r="Q1360" s="4">
        <v>402</v>
      </c>
      <c r="R1360" s="12">
        <f t="shared" si="21"/>
        <v>12060</v>
      </c>
      <c r="T1360" t="s">
        <v>371</v>
      </c>
      <c r="U1360" t="s">
        <v>1028</v>
      </c>
      <c r="V1360" s="4">
        <v>30</v>
      </c>
      <c r="W1360">
        <v>0</v>
      </c>
    </row>
    <row r="1361" spans="1:23" hidden="1" x14ac:dyDescent="0.25">
      <c r="A1361" s="2">
        <v>45951.570590277777</v>
      </c>
      <c r="B1361">
        <v>4191</v>
      </c>
      <c r="C1361" t="s">
        <v>1026</v>
      </c>
      <c r="D1361" s="3">
        <v>45951</v>
      </c>
      <c r="E1361" s="3">
        <v>46142</v>
      </c>
      <c r="F1361" t="s">
        <v>79</v>
      </c>
      <c r="G1361" t="s">
        <v>1493</v>
      </c>
      <c r="H1361" t="s">
        <v>22</v>
      </c>
      <c r="I1361" t="s">
        <v>44</v>
      </c>
      <c r="J1361" t="s">
        <v>1491</v>
      </c>
      <c r="K1361" t="s">
        <v>31</v>
      </c>
      <c r="L1361" s="4">
        <v>330</v>
      </c>
      <c r="M1361" t="s">
        <v>1031</v>
      </c>
      <c r="N1361" t="s">
        <v>26</v>
      </c>
      <c r="O1361" s="4">
        <v>100</v>
      </c>
      <c r="P1361">
        <v>0</v>
      </c>
      <c r="Q1361" s="4">
        <v>100</v>
      </c>
      <c r="R1361" s="12">
        <f t="shared" si="21"/>
        <v>33000</v>
      </c>
      <c r="T1361" t="s">
        <v>371</v>
      </c>
      <c r="U1361" t="s">
        <v>1028</v>
      </c>
      <c r="V1361" s="4">
        <v>330</v>
      </c>
      <c r="W1361">
        <v>0</v>
      </c>
    </row>
    <row r="1362" spans="1:23" hidden="1" x14ac:dyDescent="0.25">
      <c r="A1362" s="2">
        <v>45951.570590277777</v>
      </c>
      <c r="B1362">
        <v>4191</v>
      </c>
      <c r="C1362" t="s">
        <v>1026</v>
      </c>
      <c r="D1362" s="3">
        <v>45951</v>
      </c>
      <c r="E1362" s="3">
        <v>46142</v>
      </c>
      <c r="F1362" t="s">
        <v>79</v>
      </c>
      <c r="G1362" t="s">
        <v>1493</v>
      </c>
      <c r="H1362" t="s">
        <v>22</v>
      </c>
      <c r="I1362" t="s">
        <v>38</v>
      </c>
      <c r="J1362" t="s">
        <v>1491</v>
      </c>
      <c r="K1362" t="s">
        <v>24</v>
      </c>
      <c r="L1362" s="4">
        <v>35</v>
      </c>
      <c r="M1362" t="s">
        <v>1031</v>
      </c>
      <c r="N1362" t="s">
        <v>26</v>
      </c>
      <c r="O1362" s="4">
        <v>102</v>
      </c>
      <c r="P1362">
        <v>0</v>
      </c>
      <c r="Q1362" s="4">
        <v>102</v>
      </c>
      <c r="R1362" s="12">
        <f t="shared" si="21"/>
        <v>3570</v>
      </c>
      <c r="T1362" t="s">
        <v>371</v>
      </c>
      <c r="U1362" t="s">
        <v>1028</v>
      </c>
      <c r="V1362" s="4">
        <v>35</v>
      </c>
      <c r="W1362">
        <v>0</v>
      </c>
    </row>
    <row r="1363" spans="1:23" hidden="1" x14ac:dyDescent="0.25">
      <c r="A1363" s="2">
        <v>45958.393425925926</v>
      </c>
      <c r="B1363">
        <v>4215</v>
      </c>
      <c r="C1363" t="s">
        <v>1026</v>
      </c>
      <c r="D1363" s="3">
        <v>45952</v>
      </c>
      <c r="E1363" s="3">
        <v>46264</v>
      </c>
      <c r="F1363" t="s">
        <v>79</v>
      </c>
      <c r="H1363" t="s">
        <v>22</v>
      </c>
      <c r="I1363" t="s">
        <v>886</v>
      </c>
      <c r="J1363" t="s">
        <v>1490</v>
      </c>
      <c r="K1363" t="s">
        <v>24</v>
      </c>
      <c r="L1363" s="4">
        <v>240</v>
      </c>
      <c r="M1363" t="s">
        <v>1032</v>
      </c>
      <c r="N1363" t="s">
        <v>26</v>
      </c>
      <c r="O1363" s="4">
        <v>45</v>
      </c>
      <c r="P1363">
        <v>0</v>
      </c>
      <c r="Q1363" s="4">
        <v>45</v>
      </c>
      <c r="R1363" s="12">
        <f t="shared" si="21"/>
        <v>10800</v>
      </c>
      <c r="T1363" t="s">
        <v>371</v>
      </c>
      <c r="U1363" t="s">
        <v>1028</v>
      </c>
      <c r="V1363" s="4">
        <v>240</v>
      </c>
      <c r="W1363">
        <v>0</v>
      </c>
    </row>
    <row r="1364" spans="1:23" hidden="1" x14ac:dyDescent="0.25">
      <c r="A1364" s="2">
        <v>45968.465937499997</v>
      </c>
      <c r="B1364">
        <v>4244</v>
      </c>
      <c r="C1364" t="s">
        <v>1026</v>
      </c>
      <c r="D1364" s="3">
        <v>45968</v>
      </c>
      <c r="E1364" s="3">
        <v>46142</v>
      </c>
      <c r="F1364" t="s">
        <v>79</v>
      </c>
      <c r="H1364" t="s">
        <v>22</v>
      </c>
      <c r="I1364" t="s">
        <v>804</v>
      </c>
      <c r="K1364" t="s">
        <v>24</v>
      </c>
      <c r="L1364" s="4">
        <v>21.66</v>
      </c>
      <c r="M1364" t="s">
        <v>1033</v>
      </c>
      <c r="N1364" t="s">
        <v>26</v>
      </c>
      <c r="O1364" s="4">
        <v>1320</v>
      </c>
      <c r="P1364">
        <v>0</v>
      </c>
      <c r="Q1364" s="4">
        <v>1320</v>
      </c>
      <c r="R1364" s="12">
        <f t="shared" si="21"/>
        <v>28591.200000000001</v>
      </c>
      <c r="T1364" t="s">
        <v>371</v>
      </c>
      <c r="U1364" t="s">
        <v>1028</v>
      </c>
      <c r="V1364" s="4">
        <v>21.66</v>
      </c>
      <c r="W1364">
        <v>0</v>
      </c>
    </row>
    <row r="1365" spans="1:23" hidden="1" x14ac:dyDescent="0.25">
      <c r="A1365" s="2">
        <v>45968.465937499997</v>
      </c>
      <c r="B1365">
        <v>4244</v>
      </c>
      <c r="C1365" t="s">
        <v>1026</v>
      </c>
      <c r="D1365" s="3">
        <v>45968</v>
      </c>
      <c r="E1365" s="3">
        <v>46142</v>
      </c>
      <c r="F1365" t="s">
        <v>79</v>
      </c>
      <c r="H1365" t="s">
        <v>22</v>
      </c>
      <c r="I1365" t="s">
        <v>908</v>
      </c>
      <c r="K1365" t="s">
        <v>24</v>
      </c>
      <c r="L1365" s="4">
        <v>21.66</v>
      </c>
      <c r="M1365" t="s">
        <v>1033</v>
      </c>
      <c r="N1365" t="s">
        <v>26</v>
      </c>
      <c r="O1365" s="4">
        <v>684</v>
      </c>
      <c r="P1365">
        <v>0</v>
      </c>
      <c r="Q1365" s="4">
        <v>684</v>
      </c>
      <c r="R1365" s="12">
        <f t="shared" si="21"/>
        <v>14815.44</v>
      </c>
      <c r="T1365" t="s">
        <v>371</v>
      </c>
      <c r="U1365" t="s">
        <v>1028</v>
      </c>
      <c r="V1365" s="4">
        <v>21.66</v>
      </c>
      <c r="W1365">
        <v>0</v>
      </c>
    </row>
    <row r="1366" spans="1:23" hidden="1" x14ac:dyDescent="0.25">
      <c r="A1366" s="2">
        <v>45986.726805555554</v>
      </c>
      <c r="B1366">
        <v>4300</v>
      </c>
      <c r="C1366" t="s">
        <v>1026</v>
      </c>
      <c r="D1366" s="3">
        <v>45979</v>
      </c>
      <c r="E1366" s="3">
        <v>46142</v>
      </c>
      <c r="F1366" t="s">
        <v>79</v>
      </c>
      <c r="H1366" t="s">
        <v>22</v>
      </c>
      <c r="I1366" t="s">
        <v>1034</v>
      </c>
      <c r="K1366" t="s">
        <v>24</v>
      </c>
      <c r="L1366" s="4">
        <v>50</v>
      </c>
      <c r="M1366" t="s">
        <v>1035</v>
      </c>
      <c r="N1366" t="s">
        <v>26</v>
      </c>
      <c r="O1366" s="4">
        <v>288</v>
      </c>
      <c r="P1366">
        <v>0</v>
      </c>
      <c r="Q1366" s="4">
        <v>288</v>
      </c>
      <c r="R1366" s="12">
        <f t="shared" si="21"/>
        <v>14400</v>
      </c>
      <c r="T1366" t="s">
        <v>371</v>
      </c>
      <c r="U1366" t="s">
        <v>1028</v>
      </c>
      <c r="V1366" s="4">
        <v>50</v>
      </c>
      <c r="W1366">
        <v>0</v>
      </c>
    </row>
    <row r="1367" spans="1:23" hidden="1" x14ac:dyDescent="0.25">
      <c r="A1367" s="2">
        <v>45982.630694444444</v>
      </c>
      <c r="B1367">
        <v>4289</v>
      </c>
      <c r="C1367" t="s">
        <v>1026</v>
      </c>
      <c r="D1367" s="3">
        <v>45982</v>
      </c>
      <c r="E1367" s="3">
        <v>46142</v>
      </c>
      <c r="F1367" t="s">
        <v>79</v>
      </c>
      <c r="G1367" t="s">
        <v>1493</v>
      </c>
      <c r="H1367" t="s">
        <v>22</v>
      </c>
      <c r="I1367" t="s">
        <v>38</v>
      </c>
      <c r="J1367" t="s">
        <v>1491</v>
      </c>
      <c r="K1367" t="s">
        <v>24</v>
      </c>
      <c r="L1367" s="4">
        <v>35</v>
      </c>
      <c r="M1367" t="s">
        <v>1036</v>
      </c>
      <c r="N1367" t="s">
        <v>26</v>
      </c>
      <c r="O1367" s="4">
        <v>48</v>
      </c>
      <c r="P1367">
        <v>0</v>
      </c>
      <c r="Q1367" s="4">
        <v>48</v>
      </c>
      <c r="R1367" s="12">
        <f t="shared" si="21"/>
        <v>1680</v>
      </c>
      <c r="T1367" t="s">
        <v>371</v>
      </c>
      <c r="U1367" t="s">
        <v>1028</v>
      </c>
      <c r="V1367" s="4">
        <v>35</v>
      </c>
      <c r="W1367">
        <v>0</v>
      </c>
    </row>
    <row r="1368" spans="1:23" hidden="1" x14ac:dyDescent="0.25">
      <c r="A1368" s="2">
        <v>46031.607083333336</v>
      </c>
      <c r="B1368">
        <v>4424</v>
      </c>
      <c r="C1368" t="s">
        <v>1026</v>
      </c>
      <c r="D1368" s="3">
        <v>46031</v>
      </c>
      <c r="E1368" s="3">
        <v>46295</v>
      </c>
      <c r="F1368" t="s">
        <v>79</v>
      </c>
      <c r="G1368" t="s">
        <v>1493</v>
      </c>
      <c r="H1368" t="s">
        <v>22</v>
      </c>
      <c r="I1368" t="s">
        <v>38</v>
      </c>
      <c r="J1368" t="s">
        <v>1491</v>
      </c>
      <c r="K1368" t="s">
        <v>24</v>
      </c>
      <c r="L1368" s="4">
        <v>35</v>
      </c>
      <c r="M1368" t="s">
        <v>1037</v>
      </c>
      <c r="N1368" t="s">
        <v>46</v>
      </c>
      <c r="O1368" s="4">
        <v>600</v>
      </c>
      <c r="P1368">
        <v>0</v>
      </c>
      <c r="Q1368" s="4">
        <v>600</v>
      </c>
      <c r="R1368" s="12">
        <f t="shared" si="21"/>
        <v>21000</v>
      </c>
      <c r="T1368" t="s">
        <v>371</v>
      </c>
      <c r="U1368" t="s">
        <v>1028</v>
      </c>
      <c r="V1368" s="4">
        <v>35</v>
      </c>
      <c r="W1368">
        <v>0</v>
      </c>
    </row>
    <row r="1369" spans="1:23" hidden="1" x14ac:dyDescent="0.25">
      <c r="A1369" s="2">
        <v>46031.607083333336</v>
      </c>
      <c r="B1369">
        <v>4424</v>
      </c>
      <c r="C1369" t="s">
        <v>1026</v>
      </c>
      <c r="D1369" s="3">
        <v>46031</v>
      </c>
      <c r="E1369" s="3">
        <v>46295</v>
      </c>
      <c r="F1369" t="s">
        <v>79</v>
      </c>
      <c r="G1369" t="s">
        <v>1493</v>
      </c>
      <c r="H1369" t="s">
        <v>22</v>
      </c>
      <c r="I1369" t="s">
        <v>44</v>
      </c>
      <c r="J1369" t="s">
        <v>1491</v>
      </c>
      <c r="K1369" t="s">
        <v>31</v>
      </c>
      <c r="L1369" s="4">
        <v>330</v>
      </c>
      <c r="M1369" t="s">
        <v>1037</v>
      </c>
      <c r="N1369" t="s">
        <v>46</v>
      </c>
      <c r="O1369" s="4">
        <v>240</v>
      </c>
      <c r="P1369">
        <v>0</v>
      </c>
      <c r="Q1369" s="4">
        <v>240</v>
      </c>
      <c r="R1369" s="12">
        <f t="shared" si="21"/>
        <v>79200</v>
      </c>
      <c r="T1369" t="s">
        <v>371</v>
      </c>
      <c r="U1369" t="s">
        <v>1028</v>
      </c>
      <c r="V1369" s="4">
        <v>330</v>
      </c>
      <c r="W1369">
        <v>0</v>
      </c>
    </row>
    <row r="1370" spans="1:23" hidden="1" x14ac:dyDescent="0.25">
      <c r="A1370" s="2">
        <v>46060.45988425926</v>
      </c>
      <c r="B1370">
        <v>4547</v>
      </c>
      <c r="C1370" t="s">
        <v>1026</v>
      </c>
      <c r="D1370" s="3">
        <v>46060</v>
      </c>
      <c r="E1370" s="3">
        <v>46295</v>
      </c>
      <c r="F1370" t="s">
        <v>79</v>
      </c>
      <c r="G1370" t="s">
        <v>1493</v>
      </c>
      <c r="H1370" t="s">
        <v>22</v>
      </c>
      <c r="I1370" t="s">
        <v>38</v>
      </c>
      <c r="J1370" t="s">
        <v>1491</v>
      </c>
      <c r="K1370" t="s">
        <v>24</v>
      </c>
      <c r="L1370" s="4">
        <v>35</v>
      </c>
      <c r="M1370" t="s">
        <v>1038</v>
      </c>
      <c r="N1370" t="s">
        <v>46</v>
      </c>
      <c r="O1370" s="4">
        <v>402</v>
      </c>
      <c r="P1370">
        <v>0</v>
      </c>
      <c r="Q1370" s="4">
        <v>402</v>
      </c>
      <c r="R1370" s="12">
        <f t="shared" si="21"/>
        <v>14070</v>
      </c>
      <c r="T1370" t="s">
        <v>371</v>
      </c>
      <c r="U1370" t="s">
        <v>1028</v>
      </c>
      <c r="V1370" s="4">
        <v>35</v>
      </c>
      <c r="W1370">
        <v>0</v>
      </c>
    </row>
    <row r="1371" spans="1:23" hidden="1" x14ac:dyDescent="0.25">
      <c r="A1371" s="2">
        <v>46060.45988425926</v>
      </c>
      <c r="B1371">
        <v>4547</v>
      </c>
      <c r="C1371" t="s">
        <v>1026</v>
      </c>
      <c r="D1371" s="3">
        <v>46060</v>
      </c>
      <c r="E1371" s="3">
        <v>46295</v>
      </c>
      <c r="F1371" t="s">
        <v>79</v>
      </c>
      <c r="G1371" t="s">
        <v>1493</v>
      </c>
      <c r="H1371" t="s">
        <v>22</v>
      </c>
      <c r="I1371" t="s">
        <v>44</v>
      </c>
      <c r="J1371" t="s">
        <v>1491</v>
      </c>
      <c r="K1371" t="s">
        <v>31</v>
      </c>
      <c r="L1371" s="4">
        <v>330</v>
      </c>
      <c r="M1371" t="s">
        <v>1038</v>
      </c>
      <c r="N1371" t="s">
        <v>46</v>
      </c>
      <c r="O1371" s="4">
        <v>120</v>
      </c>
      <c r="P1371">
        <v>0</v>
      </c>
      <c r="Q1371" s="4">
        <v>120</v>
      </c>
      <c r="R1371" s="12">
        <f t="shared" si="21"/>
        <v>39600</v>
      </c>
      <c r="T1371" t="s">
        <v>371</v>
      </c>
      <c r="U1371" t="s">
        <v>1028</v>
      </c>
      <c r="V1371" s="4">
        <v>330</v>
      </c>
      <c r="W1371">
        <v>0</v>
      </c>
    </row>
    <row r="1372" spans="1:23" hidden="1" x14ac:dyDescent="0.25">
      <c r="A1372" s="2">
        <v>45911.384571759256</v>
      </c>
      <c r="B1372">
        <v>4027</v>
      </c>
      <c r="C1372" t="s">
        <v>1039</v>
      </c>
      <c r="D1372" s="3">
        <v>45910</v>
      </c>
      <c r="E1372" s="3">
        <v>46142</v>
      </c>
      <c r="F1372" t="s">
        <v>79</v>
      </c>
      <c r="G1372" t="s">
        <v>1493</v>
      </c>
      <c r="H1372" t="s">
        <v>22</v>
      </c>
      <c r="I1372" t="s">
        <v>43</v>
      </c>
      <c r="J1372" t="s">
        <v>1491</v>
      </c>
      <c r="K1372" t="s">
        <v>24</v>
      </c>
      <c r="L1372" s="4">
        <v>30</v>
      </c>
      <c r="M1372" t="s">
        <v>1040</v>
      </c>
      <c r="N1372" t="s">
        <v>26</v>
      </c>
      <c r="O1372" s="4">
        <v>2880</v>
      </c>
      <c r="P1372">
        <v>0</v>
      </c>
      <c r="Q1372" s="4">
        <v>2880</v>
      </c>
      <c r="R1372" s="12">
        <f t="shared" si="21"/>
        <v>86400</v>
      </c>
      <c r="T1372" t="s">
        <v>532</v>
      </c>
      <c r="U1372" t="s">
        <v>1041</v>
      </c>
      <c r="V1372" s="4">
        <v>30</v>
      </c>
      <c r="W1372">
        <v>0</v>
      </c>
    </row>
    <row r="1373" spans="1:23" hidden="1" x14ac:dyDescent="0.25">
      <c r="A1373" s="2">
        <v>45911.384571759256</v>
      </c>
      <c r="B1373">
        <v>4027</v>
      </c>
      <c r="C1373" t="s">
        <v>1039</v>
      </c>
      <c r="D1373" s="3">
        <v>45910</v>
      </c>
      <c r="E1373" s="3">
        <v>46142</v>
      </c>
      <c r="F1373" t="s">
        <v>79</v>
      </c>
      <c r="G1373" t="s">
        <v>1493</v>
      </c>
      <c r="H1373" t="s">
        <v>22</v>
      </c>
      <c r="I1373" t="s">
        <v>63</v>
      </c>
      <c r="J1373" t="s">
        <v>1491</v>
      </c>
      <c r="K1373" t="s">
        <v>31</v>
      </c>
      <c r="L1373" s="4">
        <v>165</v>
      </c>
      <c r="M1373" t="s">
        <v>1040</v>
      </c>
      <c r="N1373" t="s">
        <v>26</v>
      </c>
      <c r="O1373" s="4">
        <v>1000</v>
      </c>
      <c r="P1373">
        <v>0</v>
      </c>
      <c r="Q1373" s="4">
        <v>1000</v>
      </c>
      <c r="R1373" s="12">
        <f t="shared" si="21"/>
        <v>165000</v>
      </c>
      <c r="T1373" t="s">
        <v>532</v>
      </c>
      <c r="U1373" t="s">
        <v>1041</v>
      </c>
      <c r="V1373" s="4">
        <v>165</v>
      </c>
      <c r="W1373">
        <v>0</v>
      </c>
    </row>
    <row r="1374" spans="1:23" hidden="1" x14ac:dyDescent="0.25">
      <c r="A1374" s="2">
        <v>45911.384571759256</v>
      </c>
      <c r="B1374">
        <v>4027</v>
      </c>
      <c r="C1374" t="s">
        <v>1039</v>
      </c>
      <c r="D1374" s="3">
        <v>45910</v>
      </c>
      <c r="E1374" s="3">
        <v>46142</v>
      </c>
      <c r="F1374" t="s">
        <v>79</v>
      </c>
      <c r="G1374" t="s">
        <v>1493</v>
      </c>
      <c r="H1374" t="s">
        <v>22</v>
      </c>
      <c r="I1374" t="s">
        <v>201</v>
      </c>
      <c r="J1374" t="s">
        <v>1491</v>
      </c>
      <c r="K1374" t="s">
        <v>24</v>
      </c>
      <c r="L1374" s="4">
        <v>60</v>
      </c>
      <c r="M1374" t="s">
        <v>1040</v>
      </c>
      <c r="N1374" t="s">
        <v>26</v>
      </c>
      <c r="O1374" s="4">
        <v>500</v>
      </c>
      <c r="P1374">
        <v>0</v>
      </c>
      <c r="Q1374" s="4">
        <v>500</v>
      </c>
      <c r="R1374" s="12">
        <f t="shared" si="21"/>
        <v>30000</v>
      </c>
      <c r="T1374" t="s">
        <v>532</v>
      </c>
      <c r="U1374" t="s">
        <v>1041</v>
      </c>
      <c r="V1374" s="4">
        <v>60</v>
      </c>
      <c r="W1374">
        <v>0</v>
      </c>
    </row>
    <row r="1375" spans="1:23" hidden="1" x14ac:dyDescent="0.25">
      <c r="A1375" s="2">
        <v>45911.384571759256</v>
      </c>
      <c r="B1375">
        <v>4027</v>
      </c>
      <c r="C1375" t="s">
        <v>1039</v>
      </c>
      <c r="D1375" s="3">
        <v>45910</v>
      </c>
      <c r="E1375" s="3">
        <v>46142</v>
      </c>
      <c r="F1375" t="s">
        <v>79</v>
      </c>
      <c r="G1375" t="s">
        <v>1493</v>
      </c>
      <c r="H1375" t="s">
        <v>22</v>
      </c>
      <c r="I1375" t="s">
        <v>38</v>
      </c>
      <c r="J1375" t="s">
        <v>1491</v>
      </c>
      <c r="K1375" t="s">
        <v>24</v>
      </c>
      <c r="L1375" s="4">
        <v>35</v>
      </c>
      <c r="M1375" t="s">
        <v>1040</v>
      </c>
      <c r="N1375" t="s">
        <v>26</v>
      </c>
      <c r="O1375" s="4">
        <v>1401</v>
      </c>
      <c r="P1375">
        <v>0</v>
      </c>
      <c r="Q1375" s="4">
        <v>1401</v>
      </c>
      <c r="R1375" s="12">
        <f t="shared" si="21"/>
        <v>49035</v>
      </c>
      <c r="T1375" t="s">
        <v>532</v>
      </c>
      <c r="U1375" t="s">
        <v>1041</v>
      </c>
      <c r="V1375" s="4">
        <v>35</v>
      </c>
      <c r="W1375">
        <v>0</v>
      </c>
    </row>
    <row r="1376" spans="1:23" hidden="1" x14ac:dyDescent="0.25">
      <c r="A1376" s="2">
        <v>45952.45952546296</v>
      </c>
      <c r="B1376">
        <v>4197</v>
      </c>
      <c r="C1376" t="s">
        <v>1039</v>
      </c>
      <c r="D1376" s="3">
        <v>45952</v>
      </c>
      <c r="E1376" s="3">
        <v>46142</v>
      </c>
      <c r="F1376" t="s">
        <v>79</v>
      </c>
      <c r="G1376" t="s">
        <v>1493</v>
      </c>
      <c r="H1376" t="s">
        <v>22</v>
      </c>
      <c r="I1376" t="s">
        <v>43</v>
      </c>
      <c r="J1376" t="s">
        <v>1491</v>
      </c>
      <c r="K1376" t="s">
        <v>24</v>
      </c>
      <c r="L1376" s="4">
        <v>30</v>
      </c>
      <c r="M1376" t="s">
        <v>1042</v>
      </c>
      <c r="N1376" t="s">
        <v>26</v>
      </c>
      <c r="O1376" s="4">
        <v>1500</v>
      </c>
      <c r="P1376">
        <v>0</v>
      </c>
      <c r="Q1376" s="4">
        <v>1500</v>
      </c>
      <c r="R1376" s="12">
        <f t="shared" si="21"/>
        <v>45000</v>
      </c>
      <c r="T1376" t="s">
        <v>532</v>
      </c>
      <c r="U1376" t="s">
        <v>1041</v>
      </c>
      <c r="V1376" s="4">
        <v>30</v>
      </c>
      <c r="W1376">
        <v>0</v>
      </c>
    </row>
    <row r="1377" spans="1:23" hidden="1" x14ac:dyDescent="0.25">
      <c r="A1377" s="2">
        <v>45952.45952546296</v>
      </c>
      <c r="B1377">
        <v>4197</v>
      </c>
      <c r="C1377" t="s">
        <v>1039</v>
      </c>
      <c r="D1377" s="3">
        <v>45952</v>
      </c>
      <c r="E1377" s="3">
        <v>46142</v>
      </c>
      <c r="F1377" t="s">
        <v>79</v>
      </c>
      <c r="G1377" t="s">
        <v>1493</v>
      </c>
      <c r="H1377" t="s">
        <v>22</v>
      </c>
      <c r="I1377" t="s">
        <v>63</v>
      </c>
      <c r="J1377" t="s">
        <v>1491</v>
      </c>
      <c r="K1377" t="s">
        <v>31</v>
      </c>
      <c r="L1377" s="4">
        <v>165</v>
      </c>
      <c r="M1377" t="s">
        <v>1042</v>
      </c>
      <c r="N1377" t="s">
        <v>26</v>
      </c>
      <c r="O1377" s="4">
        <v>150</v>
      </c>
      <c r="P1377">
        <v>0</v>
      </c>
      <c r="Q1377" s="4">
        <v>150</v>
      </c>
      <c r="R1377" s="12">
        <f t="shared" si="21"/>
        <v>24750</v>
      </c>
      <c r="T1377" t="s">
        <v>532</v>
      </c>
      <c r="U1377" t="s">
        <v>1041</v>
      </c>
      <c r="V1377" s="4">
        <v>165</v>
      </c>
      <c r="W1377">
        <v>0</v>
      </c>
    </row>
    <row r="1378" spans="1:23" hidden="1" x14ac:dyDescent="0.25">
      <c r="A1378" s="2">
        <v>45958.309918981482</v>
      </c>
      <c r="B1378">
        <v>4214</v>
      </c>
      <c r="C1378" t="s">
        <v>1039</v>
      </c>
      <c r="D1378" s="3">
        <v>45952</v>
      </c>
      <c r="E1378" s="3">
        <v>46264</v>
      </c>
      <c r="F1378" t="s">
        <v>79</v>
      </c>
      <c r="H1378" t="s">
        <v>22</v>
      </c>
      <c r="I1378" t="s">
        <v>886</v>
      </c>
      <c r="J1378" t="s">
        <v>1490</v>
      </c>
      <c r="K1378" t="s">
        <v>24</v>
      </c>
      <c r="L1378" s="4">
        <v>240</v>
      </c>
      <c r="M1378" t="s">
        <v>1043</v>
      </c>
      <c r="N1378" t="s">
        <v>26</v>
      </c>
      <c r="O1378" s="4">
        <v>45</v>
      </c>
      <c r="P1378">
        <v>0</v>
      </c>
      <c r="Q1378" s="4">
        <v>45</v>
      </c>
      <c r="R1378" s="12">
        <f t="shared" si="21"/>
        <v>10800</v>
      </c>
      <c r="T1378" t="s">
        <v>532</v>
      </c>
      <c r="U1378" t="s">
        <v>1041</v>
      </c>
      <c r="V1378" s="4">
        <v>240</v>
      </c>
      <c r="W1378">
        <v>0</v>
      </c>
    </row>
    <row r="1379" spans="1:23" hidden="1" x14ac:dyDescent="0.25">
      <c r="A1379" s="2">
        <v>45968.463935185187</v>
      </c>
      <c r="B1379">
        <v>4243</v>
      </c>
      <c r="C1379" t="s">
        <v>1039</v>
      </c>
      <c r="D1379" s="3">
        <v>45968</v>
      </c>
      <c r="E1379" s="3">
        <v>46142</v>
      </c>
      <c r="F1379" t="s">
        <v>79</v>
      </c>
      <c r="H1379" t="s">
        <v>22</v>
      </c>
      <c r="I1379" t="s">
        <v>908</v>
      </c>
      <c r="K1379" t="s">
        <v>24</v>
      </c>
      <c r="L1379" s="4">
        <v>21.66</v>
      </c>
      <c r="M1379" t="s">
        <v>1044</v>
      </c>
      <c r="N1379" t="s">
        <v>26</v>
      </c>
      <c r="O1379" s="4">
        <v>1980</v>
      </c>
      <c r="P1379">
        <v>0</v>
      </c>
      <c r="Q1379" s="4">
        <v>1980</v>
      </c>
      <c r="R1379" s="12">
        <f t="shared" si="21"/>
        <v>42886.8</v>
      </c>
      <c r="T1379" t="s">
        <v>532</v>
      </c>
      <c r="U1379" t="s">
        <v>1041</v>
      </c>
      <c r="V1379" s="4">
        <v>21.66</v>
      </c>
      <c r="W1379">
        <v>0</v>
      </c>
    </row>
    <row r="1380" spans="1:23" hidden="1" x14ac:dyDescent="0.25">
      <c r="A1380" s="2">
        <v>45968.463935185187</v>
      </c>
      <c r="B1380">
        <v>4243</v>
      </c>
      <c r="C1380" t="s">
        <v>1039</v>
      </c>
      <c r="D1380" s="3">
        <v>45968</v>
      </c>
      <c r="E1380" s="3">
        <v>46142</v>
      </c>
      <c r="F1380" t="s">
        <v>79</v>
      </c>
      <c r="H1380" t="s">
        <v>22</v>
      </c>
      <c r="I1380" t="s">
        <v>171</v>
      </c>
      <c r="K1380" t="s">
        <v>24</v>
      </c>
      <c r="L1380" s="4">
        <v>21.66</v>
      </c>
      <c r="M1380" t="s">
        <v>1044</v>
      </c>
      <c r="N1380" t="s">
        <v>26</v>
      </c>
      <c r="O1380" s="4">
        <v>24</v>
      </c>
      <c r="P1380">
        <v>0</v>
      </c>
      <c r="Q1380" s="4">
        <v>24</v>
      </c>
      <c r="R1380" s="12">
        <f t="shared" si="21"/>
        <v>519.84</v>
      </c>
      <c r="T1380" t="s">
        <v>532</v>
      </c>
      <c r="U1380" t="s">
        <v>1041</v>
      </c>
      <c r="V1380" s="4">
        <v>21.66</v>
      </c>
      <c r="W1380">
        <v>0</v>
      </c>
    </row>
    <row r="1381" spans="1:23" hidden="1" x14ac:dyDescent="0.25">
      <c r="A1381" s="2">
        <v>45982.629560185182</v>
      </c>
      <c r="B1381">
        <v>4288</v>
      </c>
      <c r="C1381" t="s">
        <v>1039</v>
      </c>
      <c r="D1381" s="3">
        <v>45982</v>
      </c>
      <c r="E1381" s="3">
        <v>46142</v>
      </c>
      <c r="F1381" t="s">
        <v>79</v>
      </c>
      <c r="G1381" t="s">
        <v>1493</v>
      </c>
      <c r="H1381" t="s">
        <v>22</v>
      </c>
      <c r="I1381" t="s">
        <v>38</v>
      </c>
      <c r="J1381" t="s">
        <v>1491</v>
      </c>
      <c r="K1381" t="s">
        <v>24</v>
      </c>
      <c r="L1381" s="4">
        <v>35</v>
      </c>
      <c r="M1381" t="s">
        <v>1045</v>
      </c>
      <c r="N1381" t="s">
        <v>26</v>
      </c>
      <c r="O1381" s="4">
        <v>48</v>
      </c>
      <c r="P1381">
        <v>0</v>
      </c>
      <c r="Q1381" s="4">
        <v>48</v>
      </c>
      <c r="R1381" s="12">
        <f t="shared" si="21"/>
        <v>1680</v>
      </c>
      <c r="T1381" t="s">
        <v>532</v>
      </c>
      <c r="U1381" t="s">
        <v>1041</v>
      </c>
      <c r="V1381" s="4">
        <v>35</v>
      </c>
      <c r="W1381">
        <v>0</v>
      </c>
    </row>
    <row r="1382" spans="1:23" hidden="1" x14ac:dyDescent="0.25">
      <c r="A1382" s="2">
        <v>46059.467303240737</v>
      </c>
      <c r="B1382">
        <v>4538</v>
      </c>
      <c r="C1382" t="s">
        <v>1039</v>
      </c>
      <c r="D1382" s="3">
        <v>46059</v>
      </c>
      <c r="E1382" s="3">
        <v>46295</v>
      </c>
      <c r="F1382" t="s">
        <v>143</v>
      </c>
      <c r="G1382" t="s">
        <v>1493</v>
      </c>
      <c r="H1382" t="s">
        <v>22</v>
      </c>
      <c r="I1382" t="s">
        <v>38</v>
      </c>
      <c r="J1382" t="s">
        <v>1491</v>
      </c>
      <c r="K1382" t="s">
        <v>24</v>
      </c>
      <c r="L1382" s="4">
        <v>35</v>
      </c>
      <c r="M1382" t="s">
        <v>1046</v>
      </c>
      <c r="N1382" t="s">
        <v>46</v>
      </c>
      <c r="O1382" s="4">
        <v>201</v>
      </c>
      <c r="P1382">
        <v>0</v>
      </c>
      <c r="Q1382" s="4">
        <v>201</v>
      </c>
      <c r="R1382" s="12">
        <f t="shared" si="21"/>
        <v>7035</v>
      </c>
      <c r="T1382" t="s">
        <v>532</v>
      </c>
      <c r="U1382" t="s">
        <v>1041</v>
      </c>
      <c r="V1382" s="4">
        <v>35</v>
      </c>
      <c r="W1382">
        <v>0</v>
      </c>
    </row>
    <row r="1383" spans="1:23" hidden="1" x14ac:dyDescent="0.25">
      <c r="A1383" s="2">
        <v>46059.467303240737</v>
      </c>
      <c r="B1383">
        <v>4538</v>
      </c>
      <c r="C1383" t="s">
        <v>1039</v>
      </c>
      <c r="D1383" s="3">
        <v>46059</v>
      </c>
      <c r="E1383" s="3">
        <v>46295</v>
      </c>
      <c r="F1383" t="s">
        <v>143</v>
      </c>
      <c r="G1383" t="s">
        <v>1493</v>
      </c>
      <c r="H1383" t="s">
        <v>22</v>
      </c>
      <c r="I1383" t="s">
        <v>44</v>
      </c>
      <c r="J1383" t="s">
        <v>1491</v>
      </c>
      <c r="K1383" t="s">
        <v>31</v>
      </c>
      <c r="L1383" s="4">
        <v>330</v>
      </c>
      <c r="M1383" t="s">
        <v>1046</v>
      </c>
      <c r="N1383" t="s">
        <v>46</v>
      </c>
      <c r="O1383" s="4">
        <v>80</v>
      </c>
      <c r="P1383">
        <v>0</v>
      </c>
      <c r="Q1383" s="4">
        <v>80</v>
      </c>
      <c r="R1383" s="12">
        <f t="shared" si="21"/>
        <v>26400</v>
      </c>
      <c r="T1383" t="s">
        <v>532</v>
      </c>
      <c r="U1383" t="s">
        <v>1041</v>
      </c>
      <c r="V1383" s="4">
        <v>330</v>
      </c>
      <c r="W1383">
        <v>0</v>
      </c>
    </row>
    <row r="1384" spans="1:23" hidden="1" x14ac:dyDescent="0.25">
      <c r="A1384" s="2">
        <v>46072.617777777778</v>
      </c>
      <c r="B1384">
        <v>4587</v>
      </c>
      <c r="C1384" t="s">
        <v>1039</v>
      </c>
      <c r="D1384" s="3">
        <v>46072</v>
      </c>
      <c r="E1384" s="3">
        <v>46295</v>
      </c>
      <c r="F1384" t="s">
        <v>143</v>
      </c>
      <c r="G1384" t="s">
        <v>1493</v>
      </c>
      <c r="H1384" t="s">
        <v>22</v>
      </c>
      <c r="I1384" t="s">
        <v>44</v>
      </c>
      <c r="J1384" t="s">
        <v>1491</v>
      </c>
      <c r="K1384" t="s">
        <v>31</v>
      </c>
      <c r="L1384" s="4">
        <v>330</v>
      </c>
      <c r="M1384" t="s">
        <v>1047</v>
      </c>
      <c r="N1384" t="s">
        <v>46</v>
      </c>
      <c r="O1384" s="4">
        <v>20</v>
      </c>
      <c r="P1384">
        <v>0</v>
      </c>
      <c r="Q1384" s="4">
        <v>20</v>
      </c>
      <c r="R1384" s="12">
        <f t="shared" si="21"/>
        <v>6600</v>
      </c>
      <c r="T1384" t="s">
        <v>532</v>
      </c>
      <c r="U1384" t="s">
        <v>1041</v>
      </c>
      <c r="V1384" s="4">
        <v>330</v>
      </c>
      <c r="W1384">
        <v>0</v>
      </c>
    </row>
    <row r="1385" spans="1:23" hidden="1" x14ac:dyDescent="0.25">
      <c r="A1385" s="2">
        <v>46072.617777777778</v>
      </c>
      <c r="B1385">
        <v>4587</v>
      </c>
      <c r="C1385" t="s">
        <v>1039</v>
      </c>
      <c r="D1385" s="3">
        <v>46072</v>
      </c>
      <c r="E1385" s="3">
        <v>46295</v>
      </c>
      <c r="F1385" t="s">
        <v>143</v>
      </c>
      <c r="G1385" t="s">
        <v>1493</v>
      </c>
      <c r="H1385" t="s">
        <v>22</v>
      </c>
      <c r="I1385" t="s">
        <v>38</v>
      </c>
      <c r="J1385" t="s">
        <v>1491</v>
      </c>
      <c r="K1385" t="s">
        <v>24</v>
      </c>
      <c r="L1385" s="4">
        <v>35</v>
      </c>
      <c r="M1385" t="s">
        <v>1047</v>
      </c>
      <c r="N1385" t="s">
        <v>46</v>
      </c>
      <c r="O1385" s="4">
        <v>18</v>
      </c>
      <c r="P1385">
        <v>0</v>
      </c>
      <c r="Q1385" s="4">
        <v>18</v>
      </c>
      <c r="R1385" s="12">
        <f t="shared" si="21"/>
        <v>630</v>
      </c>
      <c r="T1385" t="s">
        <v>532</v>
      </c>
      <c r="U1385" t="s">
        <v>1041</v>
      </c>
      <c r="V1385" s="4">
        <v>35</v>
      </c>
      <c r="W1385">
        <v>0</v>
      </c>
    </row>
    <row r="1386" spans="1:23" hidden="1" x14ac:dyDescent="0.25">
      <c r="A1386" s="2">
        <v>45796.39770833333</v>
      </c>
      <c r="B1386">
        <v>3849</v>
      </c>
      <c r="C1386" t="s">
        <v>1048</v>
      </c>
      <c r="D1386" s="3">
        <v>45778</v>
      </c>
      <c r="E1386" s="3">
        <v>46111</v>
      </c>
      <c r="F1386" t="s">
        <v>21</v>
      </c>
      <c r="H1386" t="s">
        <v>22</v>
      </c>
      <c r="I1386" t="s">
        <v>37</v>
      </c>
      <c r="J1386" t="s">
        <v>1490</v>
      </c>
      <c r="K1386" t="s">
        <v>31</v>
      </c>
      <c r="L1386" s="4">
        <v>90</v>
      </c>
      <c r="M1386" t="s">
        <v>1049</v>
      </c>
      <c r="N1386" t="s">
        <v>26</v>
      </c>
      <c r="O1386" s="4">
        <v>201</v>
      </c>
      <c r="P1386">
        <v>0</v>
      </c>
      <c r="Q1386" s="4">
        <v>201</v>
      </c>
      <c r="R1386" s="12">
        <f t="shared" si="21"/>
        <v>18090</v>
      </c>
      <c r="T1386" t="s">
        <v>27</v>
      </c>
      <c r="U1386" t="s">
        <v>1050</v>
      </c>
      <c r="V1386" s="4">
        <v>90</v>
      </c>
      <c r="W1386">
        <v>0</v>
      </c>
    </row>
    <row r="1387" spans="1:23" hidden="1" x14ac:dyDescent="0.25">
      <c r="A1387" s="2">
        <v>45796.39770833333</v>
      </c>
      <c r="B1387">
        <v>3849</v>
      </c>
      <c r="C1387" t="s">
        <v>1048</v>
      </c>
      <c r="D1387" s="3">
        <v>45778</v>
      </c>
      <c r="E1387" s="3">
        <v>46111</v>
      </c>
      <c r="F1387" t="s">
        <v>21</v>
      </c>
      <c r="H1387" t="s">
        <v>22</v>
      </c>
      <c r="I1387" t="s">
        <v>29</v>
      </c>
      <c r="J1387" t="s">
        <v>1490</v>
      </c>
      <c r="K1387" t="s">
        <v>24</v>
      </c>
      <c r="L1387" s="4">
        <v>170</v>
      </c>
      <c r="M1387" t="s">
        <v>1049</v>
      </c>
      <c r="N1387" t="s">
        <v>26</v>
      </c>
      <c r="O1387" s="4">
        <v>400</v>
      </c>
      <c r="P1387">
        <v>0</v>
      </c>
      <c r="Q1387" s="4">
        <v>400</v>
      </c>
      <c r="R1387" s="12">
        <f t="shared" si="21"/>
        <v>68000</v>
      </c>
      <c r="T1387" t="s">
        <v>27</v>
      </c>
      <c r="U1387" t="s">
        <v>1050</v>
      </c>
      <c r="V1387" s="4">
        <v>170</v>
      </c>
      <c r="W1387">
        <v>0</v>
      </c>
    </row>
    <row r="1388" spans="1:23" hidden="1" x14ac:dyDescent="0.25">
      <c r="A1388" s="2">
        <v>45796.39770833333</v>
      </c>
      <c r="B1388">
        <v>3849</v>
      </c>
      <c r="C1388" t="s">
        <v>1048</v>
      </c>
      <c r="D1388" s="3">
        <v>45778</v>
      </c>
      <c r="E1388" s="3">
        <v>46111</v>
      </c>
      <c r="F1388" t="s">
        <v>21</v>
      </c>
      <c r="H1388" t="s">
        <v>22</v>
      </c>
      <c r="I1388" t="s">
        <v>30</v>
      </c>
      <c r="J1388" t="s">
        <v>1490</v>
      </c>
      <c r="K1388" t="s">
        <v>31</v>
      </c>
      <c r="L1388" s="4">
        <v>25</v>
      </c>
      <c r="M1388" t="s">
        <v>1049</v>
      </c>
      <c r="N1388" t="s">
        <v>26</v>
      </c>
      <c r="O1388" s="4">
        <v>4000</v>
      </c>
      <c r="P1388">
        <v>0</v>
      </c>
      <c r="Q1388" s="4">
        <v>4000</v>
      </c>
      <c r="R1388" s="12">
        <f t="shared" si="21"/>
        <v>100000</v>
      </c>
      <c r="T1388" t="s">
        <v>27</v>
      </c>
      <c r="U1388" t="s">
        <v>1050</v>
      </c>
      <c r="V1388" s="4">
        <v>25</v>
      </c>
      <c r="W1388">
        <v>0</v>
      </c>
    </row>
    <row r="1389" spans="1:23" hidden="1" x14ac:dyDescent="0.25">
      <c r="A1389" s="2">
        <v>45796.39770833333</v>
      </c>
      <c r="B1389">
        <v>3849</v>
      </c>
      <c r="C1389" t="s">
        <v>1048</v>
      </c>
      <c r="D1389" s="3">
        <v>45778</v>
      </c>
      <c r="E1389" s="3">
        <v>46111</v>
      </c>
      <c r="F1389" t="s">
        <v>21</v>
      </c>
      <c r="H1389" t="s">
        <v>22</v>
      </c>
      <c r="I1389" t="s">
        <v>23</v>
      </c>
      <c r="J1389" t="s">
        <v>1490</v>
      </c>
      <c r="K1389" t="s">
        <v>24</v>
      </c>
      <c r="L1389" s="4">
        <v>18</v>
      </c>
      <c r="M1389" t="s">
        <v>1049</v>
      </c>
      <c r="N1389" t="s">
        <v>26</v>
      </c>
      <c r="O1389" s="4">
        <v>2000</v>
      </c>
      <c r="P1389">
        <v>0</v>
      </c>
      <c r="Q1389" s="4">
        <v>2000</v>
      </c>
      <c r="R1389" s="12">
        <f t="shared" si="21"/>
        <v>36000</v>
      </c>
      <c r="T1389" t="s">
        <v>27</v>
      </c>
      <c r="U1389" t="s">
        <v>1050</v>
      </c>
      <c r="V1389" s="4">
        <v>18</v>
      </c>
      <c r="W1389">
        <v>0</v>
      </c>
    </row>
    <row r="1390" spans="1:23" hidden="1" x14ac:dyDescent="0.25">
      <c r="A1390" s="2">
        <v>45796.39770833333</v>
      </c>
      <c r="B1390">
        <v>3849</v>
      </c>
      <c r="C1390" t="s">
        <v>1048</v>
      </c>
      <c r="D1390" s="3">
        <v>45778</v>
      </c>
      <c r="E1390" s="3">
        <v>46111</v>
      </c>
      <c r="F1390" t="s">
        <v>21</v>
      </c>
      <c r="H1390" t="s">
        <v>22</v>
      </c>
      <c r="I1390" t="s">
        <v>32</v>
      </c>
      <c r="J1390" t="s">
        <v>1490</v>
      </c>
      <c r="K1390" t="s">
        <v>24</v>
      </c>
      <c r="L1390" s="4">
        <v>25</v>
      </c>
      <c r="M1390" t="s">
        <v>1049</v>
      </c>
      <c r="N1390" t="s">
        <v>26</v>
      </c>
      <c r="O1390" s="4">
        <v>2000</v>
      </c>
      <c r="P1390">
        <v>0</v>
      </c>
      <c r="Q1390" s="4">
        <v>2000</v>
      </c>
      <c r="R1390" s="12">
        <f t="shared" si="21"/>
        <v>50000</v>
      </c>
      <c r="T1390" t="s">
        <v>27</v>
      </c>
      <c r="U1390" t="s">
        <v>1050</v>
      </c>
      <c r="V1390" s="4">
        <v>25</v>
      </c>
      <c r="W1390">
        <v>0</v>
      </c>
    </row>
    <row r="1391" spans="1:23" hidden="1" x14ac:dyDescent="0.25">
      <c r="A1391" s="2">
        <v>45796.39770833333</v>
      </c>
      <c r="B1391">
        <v>3849</v>
      </c>
      <c r="C1391" t="s">
        <v>1048</v>
      </c>
      <c r="D1391" s="3">
        <v>45778</v>
      </c>
      <c r="E1391" s="3">
        <v>46111</v>
      </c>
      <c r="F1391" t="s">
        <v>21</v>
      </c>
      <c r="H1391" t="s">
        <v>22</v>
      </c>
      <c r="I1391" t="s">
        <v>34</v>
      </c>
      <c r="J1391" t="s">
        <v>1490</v>
      </c>
      <c r="K1391" t="s">
        <v>31</v>
      </c>
      <c r="L1391" s="4">
        <v>27</v>
      </c>
      <c r="M1391" t="s">
        <v>1049</v>
      </c>
      <c r="N1391" t="s">
        <v>26</v>
      </c>
      <c r="O1391" s="4">
        <v>2000</v>
      </c>
      <c r="P1391">
        <v>0</v>
      </c>
      <c r="Q1391" s="4">
        <v>2000</v>
      </c>
      <c r="R1391" s="12">
        <f t="shared" si="21"/>
        <v>54000</v>
      </c>
      <c r="T1391" t="s">
        <v>27</v>
      </c>
      <c r="U1391" t="s">
        <v>1050</v>
      </c>
      <c r="V1391" s="4">
        <v>27</v>
      </c>
      <c r="W1391">
        <v>0</v>
      </c>
    </row>
    <row r="1392" spans="1:23" hidden="1" x14ac:dyDescent="0.25">
      <c r="A1392" s="2">
        <v>45796.39770833333</v>
      </c>
      <c r="B1392">
        <v>3849</v>
      </c>
      <c r="C1392" t="s">
        <v>1048</v>
      </c>
      <c r="D1392" s="3">
        <v>45778</v>
      </c>
      <c r="E1392" s="3">
        <v>46111</v>
      </c>
      <c r="F1392" t="s">
        <v>21</v>
      </c>
      <c r="H1392" t="s">
        <v>22</v>
      </c>
      <c r="I1392" t="s">
        <v>181</v>
      </c>
      <c r="J1392" t="s">
        <v>1490</v>
      </c>
      <c r="K1392" t="s">
        <v>24</v>
      </c>
      <c r="L1392" s="4">
        <v>82</v>
      </c>
      <c r="M1392" t="s">
        <v>1049</v>
      </c>
      <c r="N1392" t="s">
        <v>26</v>
      </c>
      <c r="O1392" s="4">
        <v>600</v>
      </c>
      <c r="P1392">
        <v>0</v>
      </c>
      <c r="Q1392" s="4">
        <v>600</v>
      </c>
      <c r="R1392" s="12">
        <f t="shared" si="21"/>
        <v>49200</v>
      </c>
      <c r="T1392" t="s">
        <v>27</v>
      </c>
      <c r="U1392" t="s">
        <v>1050</v>
      </c>
      <c r="V1392" s="4">
        <v>82</v>
      </c>
      <c r="W1392">
        <v>0</v>
      </c>
    </row>
    <row r="1393" spans="1:23" hidden="1" x14ac:dyDescent="0.25">
      <c r="A1393" s="2">
        <v>45796.39770833333</v>
      </c>
      <c r="B1393">
        <v>3849</v>
      </c>
      <c r="C1393" t="s">
        <v>1048</v>
      </c>
      <c r="D1393" s="3">
        <v>45778</v>
      </c>
      <c r="E1393" s="3">
        <v>46111</v>
      </c>
      <c r="F1393" t="s">
        <v>21</v>
      </c>
      <c r="H1393" t="s">
        <v>22</v>
      </c>
      <c r="I1393" t="s">
        <v>35</v>
      </c>
      <c r="J1393" t="s">
        <v>1490</v>
      </c>
      <c r="K1393" t="s">
        <v>24</v>
      </c>
      <c r="L1393" s="4">
        <v>73</v>
      </c>
      <c r="M1393" t="s">
        <v>1049</v>
      </c>
      <c r="N1393" t="s">
        <v>26</v>
      </c>
      <c r="O1393" s="4">
        <v>500</v>
      </c>
      <c r="P1393">
        <v>0</v>
      </c>
      <c r="Q1393" s="4">
        <v>500</v>
      </c>
      <c r="R1393" s="12">
        <f t="shared" si="21"/>
        <v>36500</v>
      </c>
      <c r="T1393" t="s">
        <v>27</v>
      </c>
      <c r="U1393" t="s">
        <v>1050</v>
      </c>
      <c r="V1393" s="4">
        <v>73</v>
      </c>
      <c r="W1393">
        <v>0</v>
      </c>
    </row>
    <row r="1394" spans="1:23" hidden="1" x14ac:dyDescent="0.25">
      <c r="A1394" s="2">
        <v>45796.39770833333</v>
      </c>
      <c r="B1394">
        <v>3849</v>
      </c>
      <c r="C1394" t="s">
        <v>1048</v>
      </c>
      <c r="D1394" s="3">
        <v>45778</v>
      </c>
      <c r="E1394" s="3">
        <v>46111</v>
      </c>
      <c r="F1394" t="s">
        <v>21</v>
      </c>
      <c r="H1394" t="s">
        <v>22</v>
      </c>
      <c r="I1394" t="s">
        <v>36</v>
      </c>
      <c r="J1394" t="s">
        <v>1490</v>
      </c>
      <c r="K1394" t="s">
        <v>24</v>
      </c>
      <c r="L1394" s="4">
        <v>73</v>
      </c>
      <c r="M1394" t="s">
        <v>1049</v>
      </c>
      <c r="N1394" t="s">
        <v>26</v>
      </c>
      <c r="O1394" s="4">
        <v>300</v>
      </c>
      <c r="P1394">
        <v>0</v>
      </c>
      <c r="Q1394" s="4">
        <v>300</v>
      </c>
      <c r="R1394" s="12">
        <f t="shared" si="21"/>
        <v>21900</v>
      </c>
      <c r="T1394" t="s">
        <v>27</v>
      </c>
      <c r="U1394" t="s">
        <v>1050</v>
      </c>
      <c r="V1394" s="4">
        <v>73</v>
      </c>
      <c r="W1394">
        <v>0</v>
      </c>
    </row>
    <row r="1395" spans="1:23" hidden="1" x14ac:dyDescent="0.25">
      <c r="A1395" s="2">
        <v>45796.39770833333</v>
      </c>
      <c r="B1395">
        <v>3849</v>
      </c>
      <c r="C1395" t="s">
        <v>1048</v>
      </c>
      <c r="D1395" s="3">
        <v>45778</v>
      </c>
      <c r="E1395" s="3">
        <v>46111</v>
      </c>
      <c r="F1395" t="s">
        <v>21</v>
      </c>
      <c r="H1395" t="s">
        <v>22</v>
      </c>
      <c r="I1395" t="s">
        <v>33</v>
      </c>
      <c r="J1395" t="s">
        <v>1490</v>
      </c>
      <c r="K1395" t="s">
        <v>31</v>
      </c>
      <c r="L1395" s="4">
        <v>28</v>
      </c>
      <c r="M1395" t="s">
        <v>1049</v>
      </c>
      <c r="N1395" t="s">
        <v>26</v>
      </c>
      <c r="O1395" s="4">
        <v>3000</v>
      </c>
      <c r="P1395">
        <v>0</v>
      </c>
      <c r="Q1395" s="4">
        <v>3000</v>
      </c>
      <c r="R1395" s="12">
        <f t="shared" si="21"/>
        <v>84000</v>
      </c>
      <c r="T1395" t="s">
        <v>27</v>
      </c>
      <c r="U1395" t="s">
        <v>1050</v>
      </c>
      <c r="V1395" s="4">
        <v>28</v>
      </c>
      <c r="W1395">
        <v>0</v>
      </c>
    </row>
    <row r="1396" spans="1:23" hidden="1" x14ac:dyDescent="0.25">
      <c r="A1396" s="2">
        <v>45796.428263888891</v>
      </c>
      <c r="B1396">
        <v>3850</v>
      </c>
      <c r="C1396" t="s">
        <v>1048</v>
      </c>
      <c r="D1396" s="3">
        <v>45778</v>
      </c>
      <c r="E1396" s="3">
        <v>46264</v>
      </c>
      <c r="F1396" t="s">
        <v>21</v>
      </c>
      <c r="H1396" t="s">
        <v>22</v>
      </c>
      <c r="I1396" t="s">
        <v>32</v>
      </c>
      <c r="J1396" t="s">
        <v>1490</v>
      </c>
      <c r="K1396" t="s">
        <v>24</v>
      </c>
      <c r="L1396" s="4">
        <v>26</v>
      </c>
      <c r="M1396" t="s">
        <v>1051</v>
      </c>
      <c r="N1396" t="s">
        <v>46</v>
      </c>
      <c r="O1396" s="4">
        <v>2000</v>
      </c>
      <c r="P1396">
        <v>0</v>
      </c>
      <c r="Q1396" s="4">
        <v>2000</v>
      </c>
      <c r="R1396" s="12">
        <f t="shared" si="21"/>
        <v>52000</v>
      </c>
      <c r="T1396" t="s">
        <v>27</v>
      </c>
      <c r="U1396" t="s">
        <v>1050</v>
      </c>
      <c r="V1396" s="4">
        <v>26</v>
      </c>
      <c r="W1396">
        <v>0</v>
      </c>
    </row>
    <row r="1397" spans="1:23" hidden="1" x14ac:dyDescent="0.25">
      <c r="A1397" s="2">
        <v>45796.428263888891</v>
      </c>
      <c r="B1397">
        <v>3850</v>
      </c>
      <c r="C1397" t="s">
        <v>1048</v>
      </c>
      <c r="D1397" s="3">
        <v>45778</v>
      </c>
      <c r="E1397" s="3">
        <v>46264</v>
      </c>
      <c r="F1397" t="s">
        <v>21</v>
      </c>
      <c r="H1397" t="s">
        <v>22</v>
      </c>
      <c r="I1397" t="s">
        <v>30</v>
      </c>
      <c r="J1397" t="s">
        <v>1490</v>
      </c>
      <c r="K1397" t="s">
        <v>31</v>
      </c>
      <c r="L1397" s="4">
        <v>25</v>
      </c>
      <c r="M1397" t="s">
        <v>1051</v>
      </c>
      <c r="N1397" t="s">
        <v>46</v>
      </c>
      <c r="O1397" s="4">
        <v>4000</v>
      </c>
      <c r="P1397">
        <v>0</v>
      </c>
      <c r="Q1397" s="4">
        <v>4000</v>
      </c>
      <c r="R1397" s="12">
        <f t="shared" si="21"/>
        <v>100000</v>
      </c>
      <c r="T1397" t="s">
        <v>27</v>
      </c>
      <c r="U1397" t="s">
        <v>1050</v>
      </c>
      <c r="V1397" s="4">
        <v>25</v>
      </c>
      <c r="W1397">
        <v>0</v>
      </c>
    </row>
    <row r="1398" spans="1:23" hidden="1" x14ac:dyDescent="0.25">
      <c r="A1398" s="2">
        <v>45796.428263888891</v>
      </c>
      <c r="B1398">
        <v>3850</v>
      </c>
      <c r="C1398" t="s">
        <v>1048</v>
      </c>
      <c r="D1398" s="3">
        <v>45778</v>
      </c>
      <c r="E1398" s="3">
        <v>46264</v>
      </c>
      <c r="F1398" t="s">
        <v>21</v>
      </c>
      <c r="H1398" t="s">
        <v>22</v>
      </c>
      <c r="I1398" t="s">
        <v>33</v>
      </c>
      <c r="J1398" t="s">
        <v>1490</v>
      </c>
      <c r="K1398" t="s">
        <v>31</v>
      </c>
      <c r="L1398" s="4">
        <v>28</v>
      </c>
      <c r="M1398" t="s">
        <v>1051</v>
      </c>
      <c r="N1398" t="s">
        <v>46</v>
      </c>
      <c r="O1398" s="4">
        <v>3000</v>
      </c>
      <c r="P1398">
        <v>0</v>
      </c>
      <c r="Q1398" s="4">
        <v>3000</v>
      </c>
      <c r="R1398" s="12">
        <f t="shared" si="21"/>
        <v>84000</v>
      </c>
      <c r="T1398" t="s">
        <v>27</v>
      </c>
      <c r="U1398" t="s">
        <v>1050</v>
      </c>
      <c r="V1398" s="4">
        <v>28</v>
      </c>
      <c r="W1398">
        <v>0</v>
      </c>
    </row>
    <row r="1399" spans="1:23" hidden="1" x14ac:dyDescent="0.25">
      <c r="A1399" s="2">
        <v>45796.428263888891</v>
      </c>
      <c r="B1399">
        <v>3850</v>
      </c>
      <c r="C1399" t="s">
        <v>1048</v>
      </c>
      <c r="D1399" s="3">
        <v>45778</v>
      </c>
      <c r="E1399" s="3">
        <v>46264</v>
      </c>
      <c r="F1399" t="s">
        <v>21</v>
      </c>
      <c r="H1399" t="s">
        <v>22</v>
      </c>
      <c r="I1399" t="s">
        <v>29</v>
      </c>
      <c r="J1399" t="s">
        <v>1490</v>
      </c>
      <c r="K1399" t="s">
        <v>24</v>
      </c>
      <c r="L1399" s="4">
        <v>170</v>
      </c>
      <c r="M1399" t="s">
        <v>1051</v>
      </c>
      <c r="N1399" t="s">
        <v>46</v>
      </c>
      <c r="O1399" s="4">
        <v>200</v>
      </c>
      <c r="P1399">
        <v>0</v>
      </c>
      <c r="Q1399" s="4">
        <v>200</v>
      </c>
      <c r="R1399" s="12">
        <f t="shared" si="21"/>
        <v>34000</v>
      </c>
      <c r="T1399" t="s">
        <v>27</v>
      </c>
      <c r="U1399" t="s">
        <v>1050</v>
      </c>
      <c r="V1399" s="4">
        <v>170</v>
      </c>
      <c r="W1399">
        <v>0</v>
      </c>
    </row>
    <row r="1400" spans="1:23" hidden="1" x14ac:dyDescent="0.25">
      <c r="A1400" s="2">
        <v>45796.428263888891</v>
      </c>
      <c r="B1400">
        <v>3850</v>
      </c>
      <c r="C1400" t="s">
        <v>1048</v>
      </c>
      <c r="D1400" s="3">
        <v>45778</v>
      </c>
      <c r="E1400" s="3">
        <v>46264</v>
      </c>
      <c r="F1400" t="s">
        <v>21</v>
      </c>
      <c r="G1400" t="s">
        <v>1493</v>
      </c>
      <c r="H1400" t="s">
        <v>22</v>
      </c>
      <c r="I1400" t="s">
        <v>38</v>
      </c>
      <c r="J1400" t="s">
        <v>1491</v>
      </c>
      <c r="K1400" t="s">
        <v>24</v>
      </c>
      <c r="L1400" s="4">
        <v>52</v>
      </c>
      <c r="M1400" t="s">
        <v>1051</v>
      </c>
      <c r="N1400" t="s">
        <v>46</v>
      </c>
      <c r="O1400" s="4">
        <v>201</v>
      </c>
      <c r="P1400">
        <v>0</v>
      </c>
      <c r="Q1400" s="4">
        <v>201</v>
      </c>
      <c r="R1400" s="12">
        <f t="shared" si="21"/>
        <v>10452</v>
      </c>
      <c r="T1400" t="s">
        <v>27</v>
      </c>
      <c r="U1400" t="s">
        <v>1050</v>
      </c>
      <c r="V1400" s="4">
        <v>52</v>
      </c>
      <c r="W1400">
        <v>0</v>
      </c>
    </row>
    <row r="1401" spans="1:23" hidden="1" x14ac:dyDescent="0.25">
      <c r="A1401" s="2">
        <v>45796.428263888891</v>
      </c>
      <c r="B1401">
        <v>3850</v>
      </c>
      <c r="C1401" t="s">
        <v>1048</v>
      </c>
      <c r="D1401" s="3">
        <v>45778</v>
      </c>
      <c r="E1401" s="3">
        <v>46264</v>
      </c>
      <c r="F1401" t="s">
        <v>21</v>
      </c>
      <c r="G1401" t="s">
        <v>1493</v>
      </c>
      <c r="H1401" t="s">
        <v>22</v>
      </c>
      <c r="I1401" t="s">
        <v>41</v>
      </c>
      <c r="J1401" t="s">
        <v>1491</v>
      </c>
      <c r="K1401" t="s">
        <v>24</v>
      </c>
      <c r="L1401" s="4">
        <v>350</v>
      </c>
      <c r="M1401" t="s">
        <v>1051</v>
      </c>
      <c r="N1401" t="s">
        <v>46</v>
      </c>
      <c r="O1401" s="4">
        <v>40</v>
      </c>
      <c r="P1401">
        <v>0</v>
      </c>
      <c r="Q1401" s="4">
        <v>40</v>
      </c>
      <c r="R1401" s="12">
        <f t="shared" si="21"/>
        <v>14000</v>
      </c>
      <c r="T1401" t="s">
        <v>27</v>
      </c>
      <c r="U1401" t="s">
        <v>1050</v>
      </c>
      <c r="V1401" s="4">
        <v>350</v>
      </c>
      <c r="W1401">
        <v>0</v>
      </c>
    </row>
    <row r="1402" spans="1:23" hidden="1" x14ac:dyDescent="0.25">
      <c r="A1402" s="2">
        <v>45796.428263888891</v>
      </c>
      <c r="B1402">
        <v>3850</v>
      </c>
      <c r="C1402" t="s">
        <v>1048</v>
      </c>
      <c r="D1402" s="3">
        <v>45778</v>
      </c>
      <c r="E1402" s="3">
        <v>46264</v>
      </c>
      <c r="F1402" t="s">
        <v>21</v>
      </c>
      <c r="H1402" t="s">
        <v>22</v>
      </c>
      <c r="I1402" t="s">
        <v>36</v>
      </c>
      <c r="J1402" t="s">
        <v>1490</v>
      </c>
      <c r="K1402" t="s">
        <v>24</v>
      </c>
      <c r="L1402" s="4">
        <v>73</v>
      </c>
      <c r="M1402" t="s">
        <v>1051</v>
      </c>
      <c r="N1402" t="s">
        <v>46</v>
      </c>
      <c r="O1402" s="4">
        <v>200</v>
      </c>
      <c r="P1402">
        <v>0</v>
      </c>
      <c r="Q1402" s="4">
        <v>200</v>
      </c>
      <c r="R1402" s="12">
        <f t="shared" si="21"/>
        <v>14600</v>
      </c>
      <c r="T1402" t="s">
        <v>27</v>
      </c>
      <c r="U1402" t="s">
        <v>1050</v>
      </c>
      <c r="V1402" s="4">
        <v>73</v>
      </c>
      <c r="W1402">
        <v>0</v>
      </c>
    </row>
    <row r="1403" spans="1:23" hidden="1" x14ac:dyDescent="0.25">
      <c r="A1403" s="2">
        <v>45796.428263888891</v>
      </c>
      <c r="B1403">
        <v>3850</v>
      </c>
      <c r="C1403" t="s">
        <v>1048</v>
      </c>
      <c r="D1403" s="3">
        <v>45778</v>
      </c>
      <c r="E1403" s="3">
        <v>46264</v>
      </c>
      <c r="F1403" t="s">
        <v>21</v>
      </c>
      <c r="H1403" t="s">
        <v>22</v>
      </c>
      <c r="I1403" t="s">
        <v>35</v>
      </c>
      <c r="J1403" t="s">
        <v>1490</v>
      </c>
      <c r="K1403" t="s">
        <v>24</v>
      </c>
      <c r="L1403" s="4">
        <v>73</v>
      </c>
      <c r="M1403" t="s">
        <v>1051</v>
      </c>
      <c r="N1403" t="s">
        <v>46</v>
      </c>
      <c r="O1403" s="4">
        <v>400</v>
      </c>
      <c r="P1403">
        <v>0</v>
      </c>
      <c r="Q1403" s="4">
        <v>400</v>
      </c>
      <c r="R1403" s="12">
        <f t="shared" si="21"/>
        <v>29200</v>
      </c>
      <c r="T1403" t="s">
        <v>27</v>
      </c>
      <c r="U1403" t="s">
        <v>1050</v>
      </c>
      <c r="V1403" s="4">
        <v>73</v>
      </c>
      <c r="W1403">
        <v>0</v>
      </c>
    </row>
    <row r="1404" spans="1:23" hidden="1" x14ac:dyDescent="0.25">
      <c r="A1404" s="2">
        <v>45796.428263888891</v>
      </c>
      <c r="B1404">
        <v>3850</v>
      </c>
      <c r="C1404" t="s">
        <v>1048</v>
      </c>
      <c r="D1404" s="3">
        <v>45778</v>
      </c>
      <c r="E1404" s="3">
        <v>46264</v>
      </c>
      <c r="F1404" t="s">
        <v>21</v>
      </c>
      <c r="H1404" t="s">
        <v>22</v>
      </c>
      <c r="I1404" t="s">
        <v>42</v>
      </c>
      <c r="J1404" t="s">
        <v>1490</v>
      </c>
      <c r="K1404" t="s">
        <v>24</v>
      </c>
      <c r="L1404" s="4">
        <v>245</v>
      </c>
      <c r="M1404" t="s">
        <v>1051</v>
      </c>
      <c r="N1404" t="s">
        <v>46</v>
      </c>
      <c r="O1404" s="4">
        <v>200</v>
      </c>
      <c r="P1404">
        <v>0</v>
      </c>
      <c r="Q1404" s="4">
        <v>200</v>
      </c>
      <c r="R1404" s="12">
        <f t="shared" si="21"/>
        <v>49000</v>
      </c>
      <c r="T1404" t="s">
        <v>27</v>
      </c>
      <c r="U1404" t="s">
        <v>1050</v>
      </c>
      <c r="V1404" s="4">
        <v>245</v>
      </c>
      <c r="W1404">
        <v>0</v>
      </c>
    </row>
    <row r="1405" spans="1:23" hidden="1" x14ac:dyDescent="0.25">
      <c r="A1405" s="2">
        <v>45796.428263888891</v>
      </c>
      <c r="B1405">
        <v>3850</v>
      </c>
      <c r="C1405" t="s">
        <v>1048</v>
      </c>
      <c r="D1405" s="3">
        <v>45778</v>
      </c>
      <c r="E1405" s="3">
        <v>46264</v>
      </c>
      <c r="F1405" t="s">
        <v>21</v>
      </c>
      <c r="G1405" t="s">
        <v>1493</v>
      </c>
      <c r="H1405" t="s">
        <v>22</v>
      </c>
      <c r="I1405" t="s">
        <v>44</v>
      </c>
      <c r="J1405" t="s">
        <v>1491</v>
      </c>
      <c r="K1405" t="s">
        <v>31</v>
      </c>
      <c r="L1405" s="4">
        <v>400</v>
      </c>
      <c r="M1405" t="s">
        <v>1051</v>
      </c>
      <c r="N1405" t="s">
        <v>46</v>
      </c>
      <c r="O1405" s="4">
        <v>80</v>
      </c>
      <c r="P1405">
        <v>0</v>
      </c>
      <c r="Q1405" s="4">
        <v>80</v>
      </c>
      <c r="R1405" s="12">
        <f t="shared" si="21"/>
        <v>32000</v>
      </c>
      <c r="T1405" t="s">
        <v>27</v>
      </c>
      <c r="U1405" t="s">
        <v>1050</v>
      </c>
      <c r="V1405" s="4">
        <v>400</v>
      </c>
      <c r="W1405">
        <v>0</v>
      </c>
    </row>
    <row r="1406" spans="1:23" hidden="1" x14ac:dyDescent="0.25">
      <c r="A1406" s="2">
        <v>45796.428263888891</v>
      </c>
      <c r="B1406">
        <v>3850</v>
      </c>
      <c r="C1406" t="s">
        <v>1048</v>
      </c>
      <c r="D1406" s="3">
        <v>45778</v>
      </c>
      <c r="E1406" s="3">
        <v>46264</v>
      </c>
      <c r="F1406" t="s">
        <v>21</v>
      </c>
      <c r="G1406" t="s">
        <v>1493</v>
      </c>
      <c r="H1406" t="s">
        <v>22</v>
      </c>
      <c r="I1406" t="s">
        <v>40</v>
      </c>
      <c r="J1406" t="s">
        <v>1491</v>
      </c>
      <c r="K1406" t="s">
        <v>24</v>
      </c>
      <c r="L1406" s="4">
        <v>350</v>
      </c>
      <c r="M1406" t="s">
        <v>1051</v>
      </c>
      <c r="N1406" t="s">
        <v>46</v>
      </c>
      <c r="O1406" s="4">
        <v>40</v>
      </c>
      <c r="P1406">
        <v>0</v>
      </c>
      <c r="Q1406" s="4">
        <v>40</v>
      </c>
      <c r="R1406" s="12">
        <f t="shared" si="21"/>
        <v>14000</v>
      </c>
      <c r="T1406" t="s">
        <v>27</v>
      </c>
      <c r="U1406" t="s">
        <v>1050</v>
      </c>
      <c r="V1406" s="4">
        <v>350</v>
      </c>
      <c r="W1406">
        <v>0</v>
      </c>
    </row>
    <row r="1407" spans="1:23" hidden="1" x14ac:dyDescent="0.25">
      <c r="A1407" s="2">
        <v>45796.428263888891</v>
      </c>
      <c r="B1407">
        <v>3850</v>
      </c>
      <c r="C1407" t="s">
        <v>1048</v>
      </c>
      <c r="D1407" s="3">
        <v>45778</v>
      </c>
      <c r="E1407" s="3">
        <v>46264</v>
      </c>
      <c r="F1407" t="s">
        <v>21</v>
      </c>
      <c r="H1407" t="s">
        <v>22</v>
      </c>
      <c r="I1407" t="s">
        <v>23</v>
      </c>
      <c r="J1407" t="s">
        <v>1490</v>
      </c>
      <c r="K1407" t="s">
        <v>24</v>
      </c>
      <c r="L1407" s="4">
        <v>18</v>
      </c>
      <c r="M1407" t="s">
        <v>1051</v>
      </c>
      <c r="N1407" t="s">
        <v>46</v>
      </c>
      <c r="O1407" s="4">
        <v>2000</v>
      </c>
      <c r="P1407">
        <v>0</v>
      </c>
      <c r="Q1407" s="4">
        <v>2000</v>
      </c>
      <c r="R1407" s="12">
        <f t="shared" si="21"/>
        <v>36000</v>
      </c>
      <c r="T1407" t="s">
        <v>27</v>
      </c>
      <c r="U1407" t="s">
        <v>1050</v>
      </c>
      <c r="V1407" s="4">
        <v>18</v>
      </c>
      <c r="W1407">
        <v>0</v>
      </c>
    </row>
    <row r="1408" spans="1:23" hidden="1" x14ac:dyDescent="0.25">
      <c r="A1408" s="2">
        <v>45792.652013888888</v>
      </c>
      <c r="B1408">
        <v>3845</v>
      </c>
      <c r="C1408" t="s">
        <v>1048</v>
      </c>
      <c r="D1408" s="3">
        <v>45792</v>
      </c>
      <c r="E1408" s="3">
        <v>46111</v>
      </c>
      <c r="F1408" t="s">
        <v>21</v>
      </c>
      <c r="G1408" t="s">
        <v>1493</v>
      </c>
      <c r="H1408" t="s">
        <v>22</v>
      </c>
      <c r="I1408" t="s">
        <v>38</v>
      </c>
      <c r="J1408" t="s">
        <v>1491</v>
      </c>
      <c r="K1408" t="s">
        <v>24</v>
      </c>
      <c r="L1408" s="4">
        <v>52</v>
      </c>
      <c r="M1408" t="s">
        <v>1052</v>
      </c>
      <c r="N1408" t="s">
        <v>26</v>
      </c>
      <c r="O1408" s="4">
        <v>201</v>
      </c>
      <c r="P1408">
        <v>0</v>
      </c>
      <c r="Q1408" s="4">
        <v>201</v>
      </c>
      <c r="R1408" s="12">
        <f t="shared" si="21"/>
        <v>10452</v>
      </c>
      <c r="T1408" t="s">
        <v>27</v>
      </c>
      <c r="U1408" t="s">
        <v>1050</v>
      </c>
      <c r="V1408" s="4">
        <v>52</v>
      </c>
      <c r="W1408">
        <v>0</v>
      </c>
    </row>
    <row r="1409" spans="1:23" hidden="1" x14ac:dyDescent="0.25">
      <c r="A1409" s="2">
        <v>45792.652013888888</v>
      </c>
      <c r="B1409">
        <v>3845</v>
      </c>
      <c r="C1409" t="s">
        <v>1048</v>
      </c>
      <c r="D1409" s="3">
        <v>45792</v>
      </c>
      <c r="E1409" s="3">
        <v>46111</v>
      </c>
      <c r="F1409" t="s">
        <v>21</v>
      </c>
      <c r="G1409" t="s">
        <v>1493</v>
      </c>
      <c r="H1409" t="s">
        <v>22</v>
      </c>
      <c r="I1409" t="s">
        <v>41</v>
      </c>
      <c r="J1409" t="s">
        <v>1491</v>
      </c>
      <c r="K1409" t="s">
        <v>24</v>
      </c>
      <c r="L1409" s="4">
        <v>350</v>
      </c>
      <c r="M1409" t="s">
        <v>1052</v>
      </c>
      <c r="N1409" t="s">
        <v>26</v>
      </c>
      <c r="O1409" s="4">
        <v>100</v>
      </c>
      <c r="P1409">
        <v>0</v>
      </c>
      <c r="Q1409" s="4">
        <v>100</v>
      </c>
      <c r="R1409" s="12">
        <f t="shared" si="21"/>
        <v>35000</v>
      </c>
      <c r="T1409" t="s">
        <v>27</v>
      </c>
      <c r="U1409" t="s">
        <v>1050</v>
      </c>
      <c r="V1409" s="4">
        <v>350</v>
      </c>
      <c r="W1409">
        <v>0</v>
      </c>
    </row>
    <row r="1410" spans="1:23" hidden="1" x14ac:dyDescent="0.25">
      <c r="A1410" s="2">
        <v>45792.652013888888</v>
      </c>
      <c r="B1410">
        <v>3845</v>
      </c>
      <c r="C1410" t="s">
        <v>1048</v>
      </c>
      <c r="D1410" s="3">
        <v>45792</v>
      </c>
      <c r="E1410" s="3">
        <v>46111</v>
      </c>
      <c r="F1410" t="s">
        <v>21</v>
      </c>
      <c r="G1410" t="s">
        <v>1493</v>
      </c>
      <c r="H1410" t="s">
        <v>22</v>
      </c>
      <c r="I1410" t="s">
        <v>43</v>
      </c>
      <c r="J1410" t="s">
        <v>1491</v>
      </c>
      <c r="K1410" t="s">
        <v>24</v>
      </c>
      <c r="L1410" s="4">
        <v>48</v>
      </c>
      <c r="M1410" t="s">
        <v>1052</v>
      </c>
      <c r="N1410" t="s">
        <v>26</v>
      </c>
      <c r="O1410" s="4">
        <v>201</v>
      </c>
      <c r="P1410">
        <v>0</v>
      </c>
      <c r="Q1410" s="4">
        <v>201</v>
      </c>
      <c r="R1410" s="12">
        <f t="shared" si="21"/>
        <v>9648</v>
      </c>
      <c r="T1410" t="s">
        <v>27</v>
      </c>
      <c r="U1410" t="s">
        <v>1050</v>
      </c>
      <c r="V1410" s="4">
        <v>48</v>
      </c>
      <c r="W1410">
        <v>0</v>
      </c>
    </row>
    <row r="1411" spans="1:23" hidden="1" x14ac:dyDescent="0.25">
      <c r="A1411" s="2">
        <v>45792.652013888888</v>
      </c>
      <c r="B1411">
        <v>3845</v>
      </c>
      <c r="C1411" t="s">
        <v>1048</v>
      </c>
      <c r="D1411" s="3">
        <v>45792</v>
      </c>
      <c r="E1411" s="3">
        <v>46111</v>
      </c>
      <c r="F1411" t="s">
        <v>21</v>
      </c>
      <c r="G1411" t="s">
        <v>1493</v>
      </c>
      <c r="H1411" t="s">
        <v>22</v>
      </c>
      <c r="I1411" t="s">
        <v>40</v>
      </c>
      <c r="J1411" t="s">
        <v>1491</v>
      </c>
      <c r="K1411" t="s">
        <v>24</v>
      </c>
      <c r="L1411" s="4">
        <v>350</v>
      </c>
      <c r="M1411" t="s">
        <v>1052</v>
      </c>
      <c r="N1411" t="s">
        <v>26</v>
      </c>
      <c r="O1411" s="4">
        <v>100</v>
      </c>
      <c r="P1411">
        <v>0</v>
      </c>
      <c r="Q1411" s="4">
        <v>100</v>
      </c>
      <c r="R1411" s="12">
        <f t="shared" ref="R1411:R1474" si="22">Q1411*L1411</f>
        <v>35000</v>
      </c>
      <c r="T1411" t="s">
        <v>27</v>
      </c>
      <c r="U1411" t="s">
        <v>1050</v>
      </c>
      <c r="V1411" s="4">
        <v>350</v>
      </c>
      <c r="W1411">
        <v>0</v>
      </c>
    </row>
    <row r="1412" spans="1:23" hidden="1" x14ac:dyDescent="0.25">
      <c r="A1412" s="2">
        <v>45792.652013888888</v>
      </c>
      <c r="B1412">
        <v>3845</v>
      </c>
      <c r="C1412" t="s">
        <v>1048</v>
      </c>
      <c r="D1412" s="3">
        <v>45792</v>
      </c>
      <c r="E1412" s="3">
        <v>46111</v>
      </c>
      <c r="F1412" t="s">
        <v>21</v>
      </c>
      <c r="H1412" t="s">
        <v>22</v>
      </c>
      <c r="I1412" t="s">
        <v>42</v>
      </c>
      <c r="J1412" t="s">
        <v>1490</v>
      </c>
      <c r="K1412" t="s">
        <v>24</v>
      </c>
      <c r="L1412" s="4">
        <v>245</v>
      </c>
      <c r="M1412" t="s">
        <v>1052</v>
      </c>
      <c r="N1412" t="s">
        <v>26</v>
      </c>
      <c r="O1412" s="4">
        <v>200</v>
      </c>
      <c r="P1412">
        <v>0</v>
      </c>
      <c r="Q1412" s="4">
        <v>200</v>
      </c>
      <c r="R1412" s="12">
        <f t="shared" si="22"/>
        <v>49000</v>
      </c>
      <c r="T1412" t="s">
        <v>27</v>
      </c>
      <c r="U1412" t="s">
        <v>1050</v>
      </c>
      <c r="V1412" s="4">
        <v>245</v>
      </c>
      <c r="W1412">
        <v>0</v>
      </c>
    </row>
    <row r="1413" spans="1:23" hidden="1" x14ac:dyDescent="0.25">
      <c r="A1413" s="2">
        <v>45792.652013888888</v>
      </c>
      <c r="B1413">
        <v>3845</v>
      </c>
      <c r="C1413" t="s">
        <v>1048</v>
      </c>
      <c r="D1413" s="3">
        <v>45792</v>
      </c>
      <c r="E1413" s="3">
        <v>46111</v>
      </c>
      <c r="F1413" t="s">
        <v>21</v>
      </c>
      <c r="G1413" t="s">
        <v>1493</v>
      </c>
      <c r="H1413" t="s">
        <v>22</v>
      </c>
      <c r="I1413" t="s">
        <v>44</v>
      </c>
      <c r="J1413" t="s">
        <v>1491</v>
      </c>
      <c r="K1413" t="s">
        <v>31</v>
      </c>
      <c r="L1413" s="4">
        <v>400</v>
      </c>
      <c r="M1413" t="s">
        <v>1052</v>
      </c>
      <c r="N1413" t="s">
        <v>26</v>
      </c>
      <c r="O1413" s="4">
        <v>100</v>
      </c>
      <c r="P1413">
        <v>0</v>
      </c>
      <c r="Q1413" s="4">
        <v>100</v>
      </c>
      <c r="R1413" s="12">
        <f t="shared" si="22"/>
        <v>40000</v>
      </c>
      <c r="T1413" t="s">
        <v>27</v>
      </c>
      <c r="U1413" t="s">
        <v>1050</v>
      </c>
      <c r="V1413" s="4">
        <v>400</v>
      </c>
      <c r="W1413">
        <v>0</v>
      </c>
    </row>
    <row r="1414" spans="1:23" hidden="1" x14ac:dyDescent="0.25">
      <c r="A1414" s="2">
        <v>45910.428182870368</v>
      </c>
      <c r="B1414">
        <v>4022</v>
      </c>
      <c r="C1414" t="s">
        <v>1048</v>
      </c>
      <c r="D1414" s="3">
        <v>45909</v>
      </c>
      <c r="E1414" s="3">
        <v>46111</v>
      </c>
      <c r="F1414" t="s">
        <v>21</v>
      </c>
      <c r="G1414" t="s">
        <v>1493</v>
      </c>
      <c r="H1414" t="s">
        <v>22</v>
      </c>
      <c r="I1414" t="s">
        <v>41</v>
      </c>
      <c r="J1414" t="s">
        <v>1491</v>
      </c>
      <c r="K1414" t="s">
        <v>24</v>
      </c>
      <c r="L1414" s="4">
        <v>350</v>
      </c>
      <c r="M1414" t="s">
        <v>1053</v>
      </c>
      <c r="N1414" t="s">
        <v>26</v>
      </c>
      <c r="O1414" s="4">
        <v>50</v>
      </c>
      <c r="P1414">
        <v>0</v>
      </c>
      <c r="Q1414" s="4">
        <v>50</v>
      </c>
      <c r="R1414" s="12">
        <f t="shared" si="22"/>
        <v>17500</v>
      </c>
      <c r="T1414" t="s">
        <v>27</v>
      </c>
      <c r="U1414" t="s">
        <v>1050</v>
      </c>
      <c r="V1414" s="4">
        <v>350</v>
      </c>
      <c r="W1414">
        <v>0</v>
      </c>
    </row>
    <row r="1415" spans="1:23" hidden="1" x14ac:dyDescent="0.25">
      <c r="A1415" s="2">
        <v>45910.428182870368</v>
      </c>
      <c r="B1415">
        <v>4022</v>
      </c>
      <c r="C1415" t="s">
        <v>1048</v>
      </c>
      <c r="D1415" s="3">
        <v>45909</v>
      </c>
      <c r="E1415" s="3">
        <v>46111</v>
      </c>
      <c r="F1415" t="s">
        <v>21</v>
      </c>
      <c r="G1415" t="s">
        <v>1493</v>
      </c>
      <c r="H1415" t="s">
        <v>22</v>
      </c>
      <c r="I1415" t="s">
        <v>40</v>
      </c>
      <c r="J1415" t="s">
        <v>1491</v>
      </c>
      <c r="K1415" t="s">
        <v>24</v>
      </c>
      <c r="L1415" s="4">
        <v>350</v>
      </c>
      <c r="M1415" t="s">
        <v>1053</v>
      </c>
      <c r="N1415" t="s">
        <v>26</v>
      </c>
      <c r="O1415" s="4">
        <v>50</v>
      </c>
      <c r="P1415">
        <v>0</v>
      </c>
      <c r="Q1415" s="4">
        <v>50</v>
      </c>
      <c r="R1415" s="12">
        <f t="shared" si="22"/>
        <v>17500</v>
      </c>
      <c r="T1415" t="s">
        <v>27</v>
      </c>
      <c r="U1415" t="s">
        <v>1050</v>
      </c>
      <c r="V1415" s="4">
        <v>350</v>
      </c>
      <c r="W1415">
        <v>0</v>
      </c>
    </row>
    <row r="1416" spans="1:23" hidden="1" x14ac:dyDescent="0.25">
      <c r="A1416" s="2">
        <v>45910.428182870368</v>
      </c>
      <c r="B1416">
        <v>4022</v>
      </c>
      <c r="C1416" t="s">
        <v>1048</v>
      </c>
      <c r="D1416" s="3">
        <v>45909</v>
      </c>
      <c r="E1416" s="3">
        <v>46111</v>
      </c>
      <c r="F1416" t="s">
        <v>21</v>
      </c>
      <c r="G1416" t="s">
        <v>1493</v>
      </c>
      <c r="H1416" t="s">
        <v>22</v>
      </c>
      <c r="I1416" t="s">
        <v>43</v>
      </c>
      <c r="J1416" t="s">
        <v>1491</v>
      </c>
      <c r="K1416" t="s">
        <v>24</v>
      </c>
      <c r="L1416" s="4">
        <v>48</v>
      </c>
      <c r="M1416" t="s">
        <v>1053</v>
      </c>
      <c r="N1416" t="s">
        <v>26</v>
      </c>
      <c r="O1416" s="4">
        <v>801</v>
      </c>
      <c r="P1416">
        <v>0</v>
      </c>
      <c r="Q1416" s="4">
        <v>801</v>
      </c>
      <c r="R1416" s="12">
        <f t="shared" si="22"/>
        <v>38448</v>
      </c>
      <c r="T1416" t="s">
        <v>27</v>
      </c>
      <c r="U1416" t="s">
        <v>1050</v>
      </c>
      <c r="V1416" s="4">
        <v>48</v>
      </c>
      <c r="W1416">
        <v>0</v>
      </c>
    </row>
    <row r="1417" spans="1:23" hidden="1" x14ac:dyDescent="0.25">
      <c r="A1417" s="2">
        <v>45910.428182870368</v>
      </c>
      <c r="B1417">
        <v>4022</v>
      </c>
      <c r="C1417" t="s">
        <v>1048</v>
      </c>
      <c r="D1417" s="3">
        <v>45909</v>
      </c>
      <c r="E1417" s="3">
        <v>46111</v>
      </c>
      <c r="F1417" t="s">
        <v>21</v>
      </c>
      <c r="G1417" t="s">
        <v>1493</v>
      </c>
      <c r="H1417" t="s">
        <v>22</v>
      </c>
      <c r="I1417" t="s">
        <v>44</v>
      </c>
      <c r="J1417" t="s">
        <v>1491</v>
      </c>
      <c r="K1417" t="s">
        <v>31</v>
      </c>
      <c r="L1417" s="4">
        <v>400</v>
      </c>
      <c r="M1417" t="s">
        <v>1053</v>
      </c>
      <c r="N1417" t="s">
        <v>26</v>
      </c>
      <c r="O1417" s="4">
        <v>50</v>
      </c>
      <c r="P1417">
        <v>0</v>
      </c>
      <c r="Q1417" s="4">
        <v>50</v>
      </c>
      <c r="R1417" s="12">
        <f t="shared" si="22"/>
        <v>20000</v>
      </c>
      <c r="T1417" t="s">
        <v>27</v>
      </c>
      <c r="U1417" t="s">
        <v>1050</v>
      </c>
      <c r="V1417" s="4">
        <v>400</v>
      </c>
      <c r="W1417">
        <v>0</v>
      </c>
    </row>
    <row r="1418" spans="1:23" hidden="1" x14ac:dyDescent="0.25">
      <c r="A1418" s="2">
        <v>45973.317372685182</v>
      </c>
      <c r="B1418">
        <v>4260</v>
      </c>
      <c r="C1418" t="s">
        <v>1048</v>
      </c>
      <c r="D1418" s="3">
        <v>45973</v>
      </c>
      <c r="E1418" s="3">
        <v>46111</v>
      </c>
      <c r="F1418" t="s">
        <v>21</v>
      </c>
      <c r="H1418" t="s">
        <v>22</v>
      </c>
      <c r="I1418" t="s">
        <v>36</v>
      </c>
      <c r="J1418" t="s">
        <v>1490</v>
      </c>
      <c r="K1418" t="s">
        <v>24</v>
      </c>
      <c r="L1418" s="4">
        <v>73</v>
      </c>
      <c r="M1418" t="s">
        <v>1054</v>
      </c>
      <c r="N1418" t="s">
        <v>26</v>
      </c>
      <c r="O1418" s="4">
        <v>120</v>
      </c>
      <c r="P1418">
        <v>0</v>
      </c>
      <c r="Q1418" s="4">
        <v>120</v>
      </c>
      <c r="R1418" s="12">
        <f t="shared" si="22"/>
        <v>8760</v>
      </c>
      <c r="T1418" t="s">
        <v>27</v>
      </c>
      <c r="U1418" t="s">
        <v>1050</v>
      </c>
      <c r="V1418" s="4">
        <v>73</v>
      </c>
      <c r="W1418">
        <v>0</v>
      </c>
    </row>
    <row r="1419" spans="1:23" hidden="1" x14ac:dyDescent="0.25">
      <c r="A1419" s="2">
        <v>46006.435567129629</v>
      </c>
      <c r="B1419">
        <v>4354</v>
      </c>
      <c r="C1419" t="s">
        <v>1048</v>
      </c>
      <c r="D1419" s="3">
        <v>46006</v>
      </c>
      <c r="E1419" s="3">
        <v>46264</v>
      </c>
      <c r="F1419" t="s">
        <v>21</v>
      </c>
      <c r="G1419" t="s">
        <v>1493</v>
      </c>
      <c r="H1419" t="s">
        <v>22</v>
      </c>
      <c r="I1419" t="s">
        <v>40</v>
      </c>
      <c r="J1419" t="s">
        <v>1491</v>
      </c>
      <c r="K1419" t="s">
        <v>24</v>
      </c>
      <c r="L1419" s="4">
        <v>350</v>
      </c>
      <c r="M1419" t="s">
        <v>1055</v>
      </c>
      <c r="N1419" t="s">
        <v>46</v>
      </c>
      <c r="O1419" s="4">
        <v>110</v>
      </c>
      <c r="P1419">
        <v>0</v>
      </c>
      <c r="Q1419" s="4">
        <v>110</v>
      </c>
      <c r="R1419" s="12">
        <f t="shared" si="22"/>
        <v>38500</v>
      </c>
      <c r="T1419" t="s">
        <v>27</v>
      </c>
      <c r="U1419" t="s">
        <v>1050</v>
      </c>
      <c r="V1419" s="4">
        <v>350</v>
      </c>
      <c r="W1419">
        <v>0</v>
      </c>
    </row>
    <row r="1420" spans="1:23" hidden="1" x14ac:dyDescent="0.25">
      <c r="A1420" s="2">
        <v>46006.435567129629</v>
      </c>
      <c r="B1420">
        <v>4354</v>
      </c>
      <c r="C1420" t="s">
        <v>1048</v>
      </c>
      <c r="D1420" s="3">
        <v>46006</v>
      </c>
      <c r="E1420" s="3">
        <v>46264</v>
      </c>
      <c r="F1420" t="s">
        <v>21</v>
      </c>
      <c r="G1420" t="s">
        <v>1493</v>
      </c>
      <c r="H1420" t="s">
        <v>22</v>
      </c>
      <c r="I1420" t="s">
        <v>44</v>
      </c>
      <c r="J1420" t="s">
        <v>1491</v>
      </c>
      <c r="K1420" t="s">
        <v>31</v>
      </c>
      <c r="L1420" s="4">
        <v>400</v>
      </c>
      <c r="M1420" t="s">
        <v>1055</v>
      </c>
      <c r="N1420" t="s">
        <v>46</v>
      </c>
      <c r="O1420" s="4">
        <v>70</v>
      </c>
      <c r="P1420">
        <v>0</v>
      </c>
      <c r="Q1420" s="4">
        <v>70</v>
      </c>
      <c r="R1420" s="12">
        <f t="shared" si="22"/>
        <v>28000</v>
      </c>
      <c r="T1420" t="s">
        <v>27</v>
      </c>
      <c r="U1420" t="s">
        <v>1050</v>
      </c>
      <c r="V1420" s="4">
        <v>400</v>
      </c>
      <c r="W1420">
        <v>0</v>
      </c>
    </row>
    <row r="1421" spans="1:23" hidden="1" x14ac:dyDescent="0.25">
      <c r="A1421" s="2">
        <v>46006.435567129629</v>
      </c>
      <c r="B1421">
        <v>4354</v>
      </c>
      <c r="C1421" t="s">
        <v>1048</v>
      </c>
      <c r="D1421" s="3">
        <v>46006</v>
      </c>
      <c r="E1421" s="3">
        <v>46264</v>
      </c>
      <c r="F1421" t="s">
        <v>21</v>
      </c>
      <c r="G1421" t="s">
        <v>1493</v>
      </c>
      <c r="H1421" t="s">
        <v>22</v>
      </c>
      <c r="I1421" t="s">
        <v>38</v>
      </c>
      <c r="J1421" t="s">
        <v>1491</v>
      </c>
      <c r="K1421" t="s">
        <v>24</v>
      </c>
      <c r="L1421" s="4">
        <v>52</v>
      </c>
      <c r="M1421" t="s">
        <v>1055</v>
      </c>
      <c r="N1421" t="s">
        <v>46</v>
      </c>
      <c r="O1421" s="4">
        <v>102</v>
      </c>
      <c r="P1421">
        <v>0</v>
      </c>
      <c r="Q1421" s="4">
        <v>102</v>
      </c>
      <c r="R1421" s="12">
        <f t="shared" si="22"/>
        <v>5304</v>
      </c>
      <c r="T1421" t="s">
        <v>27</v>
      </c>
      <c r="U1421" t="s">
        <v>1050</v>
      </c>
      <c r="V1421" s="4">
        <v>52</v>
      </c>
      <c r="W1421">
        <v>0</v>
      </c>
    </row>
    <row r="1422" spans="1:23" hidden="1" x14ac:dyDescent="0.25">
      <c r="A1422" s="2">
        <v>46006.435567129629</v>
      </c>
      <c r="B1422">
        <v>4354</v>
      </c>
      <c r="C1422" t="s">
        <v>1048</v>
      </c>
      <c r="D1422" s="3">
        <v>46006</v>
      </c>
      <c r="E1422" s="3">
        <v>46264</v>
      </c>
      <c r="F1422" t="s">
        <v>21</v>
      </c>
      <c r="G1422" t="s">
        <v>1493</v>
      </c>
      <c r="H1422" t="s">
        <v>22</v>
      </c>
      <c r="I1422" t="s">
        <v>41</v>
      </c>
      <c r="J1422" t="s">
        <v>1491</v>
      </c>
      <c r="K1422" t="s">
        <v>24</v>
      </c>
      <c r="L1422" s="4">
        <v>350</v>
      </c>
      <c r="M1422" t="s">
        <v>1055</v>
      </c>
      <c r="N1422" t="s">
        <v>46</v>
      </c>
      <c r="O1422" s="4">
        <v>110</v>
      </c>
      <c r="P1422">
        <v>0</v>
      </c>
      <c r="Q1422" s="4">
        <v>110</v>
      </c>
      <c r="R1422" s="12">
        <f t="shared" si="22"/>
        <v>38500</v>
      </c>
      <c r="T1422" t="s">
        <v>27</v>
      </c>
      <c r="U1422" t="s">
        <v>1050</v>
      </c>
      <c r="V1422" s="4">
        <v>350</v>
      </c>
      <c r="W1422">
        <v>0</v>
      </c>
    </row>
    <row r="1423" spans="1:23" hidden="1" x14ac:dyDescent="0.25">
      <c r="A1423" s="2">
        <v>46050.378275462965</v>
      </c>
      <c r="B1423">
        <v>4500</v>
      </c>
      <c r="C1423" t="s">
        <v>1048</v>
      </c>
      <c r="D1423" s="3">
        <v>46050</v>
      </c>
      <c r="E1423" s="3">
        <v>46264</v>
      </c>
      <c r="F1423" t="s">
        <v>21</v>
      </c>
      <c r="H1423" t="s">
        <v>22</v>
      </c>
      <c r="I1423" t="s">
        <v>36</v>
      </c>
      <c r="J1423" t="s">
        <v>1490</v>
      </c>
      <c r="K1423" t="s">
        <v>24</v>
      </c>
      <c r="L1423" s="4">
        <v>73</v>
      </c>
      <c r="M1423" t="s">
        <v>1056</v>
      </c>
      <c r="N1423" t="s">
        <v>46</v>
      </c>
      <c r="O1423" s="4">
        <v>200</v>
      </c>
      <c r="P1423">
        <v>0</v>
      </c>
      <c r="Q1423" s="4">
        <v>200</v>
      </c>
      <c r="R1423" s="12">
        <f t="shared" si="22"/>
        <v>14600</v>
      </c>
      <c r="T1423" t="s">
        <v>27</v>
      </c>
      <c r="U1423" t="s">
        <v>1050</v>
      </c>
      <c r="V1423" s="4">
        <v>73</v>
      </c>
      <c r="W1423">
        <v>0</v>
      </c>
    </row>
    <row r="1424" spans="1:23" hidden="1" x14ac:dyDescent="0.25">
      <c r="A1424" s="2">
        <v>46080.430775462963</v>
      </c>
      <c r="B1424">
        <v>4614</v>
      </c>
      <c r="C1424" t="s">
        <v>1048</v>
      </c>
      <c r="D1424" s="3">
        <v>46080</v>
      </c>
      <c r="E1424" s="3">
        <v>46264</v>
      </c>
      <c r="F1424" t="s">
        <v>21</v>
      </c>
      <c r="H1424" t="s">
        <v>22</v>
      </c>
      <c r="I1424" t="s">
        <v>23</v>
      </c>
      <c r="J1424" t="s">
        <v>1490</v>
      </c>
      <c r="K1424" t="s">
        <v>24</v>
      </c>
      <c r="L1424" s="4">
        <v>18</v>
      </c>
      <c r="M1424" t="s">
        <v>1057</v>
      </c>
      <c r="N1424" t="s">
        <v>46</v>
      </c>
      <c r="O1424" s="4">
        <v>180</v>
      </c>
      <c r="P1424">
        <v>0</v>
      </c>
      <c r="Q1424" s="4">
        <v>180</v>
      </c>
      <c r="R1424" s="12">
        <f t="shared" si="22"/>
        <v>3240</v>
      </c>
      <c r="T1424" t="s">
        <v>27</v>
      </c>
      <c r="U1424" t="s">
        <v>1050</v>
      </c>
      <c r="V1424" s="4">
        <v>18</v>
      </c>
      <c r="W1424">
        <v>0</v>
      </c>
    </row>
    <row r="1425" spans="1:23" hidden="1" x14ac:dyDescent="0.25">
      <c r="A1425" s="2">
        <v>46080.430775462963</v>
      </c>
      <c r="B1425">
        <v>4614</v>
      </c>
      <c r="C1425" t="s">
        <v>1048</v>
      </c>
      <c r="D1425" s="3">
        <v>46080</v>
      </c>
      <c r="E1425" s="3">
        <v>46264</v>
      </c>
      <c r="F1425" t="s">
        <v>21</v>
      </c>
      <c r="H1425" t="s">
        <v>22</v>
      </c>
      <c r="I1425" t="s">
        <v>30</v>
      </c>
      <c r="J1425" t="s">
        <v>1490</v>
      </c>
      <c r="K1425" t="s">
        <v>31</v>
      </c>
      <c r="L1425" s="4">
        <v>25</v>
      </c>
      <c r="M1425" t="s">
        <v>1057</v>
      </c>
      <c r="N1425" t="s">
        <v>46</v>
      </c>
      <c r="O1425" s="4">
        <v>360</v>
      </c>
      <c r="P1425" s="4">
        <v>360</v>
      </c>
      <c r="Q1425">
        <v>0</v>
      </c>
      <c r="R1425" s="12">
        <f t="shared" si="22"/>
        <v>0</v>
      </c>
      <c r="T1425" t="s">
        <v>27</v>
      </c>
      <c r="U1425" t="s">
        <v>1050</v>
      </c>
      <c r="V1425" s="4">
        <v>25</v>
      </c>
      <c r="W1425">
        <v>0</v>
      </c>
    </row>
    <row r="1426" spans="1:23" hidden="1" x14ac:dyDescent="0.25">
      <c r="A1426" s="2">
        <v>46080.430775462963</v>
      </c>
      <c r="B1426">
        <v>4614</v>
      </c>
      <c r="C1426" t="s">
        <v>1048</v>
      </c>
      <c r="D1426" s="3">
        <v>46080</v>
      </c>
      <c r="E1426" s="3">
        <v>46264</v>
      </c>
      <c r="F1426" t="s">
        <v>21</v>
      </c>
      <c r="H1426" t="s">
        <v>22</v>
      </c>
      <c r="I1426" t="s">
        <v>33</v>
      </c>
      <c r="J1426" t="s">
        <v>1490</v>
      </c>
      <c r="K1426" t="s">
        <v>31</v>
      </c>
      <c r="L1426" s="4">
        <v>28</v>
      </c>
      <c r="M1426" t="s">
        <v>1057</v>
      </c>
      <c r="N1426" t="s">
        <v>46</v>
      </c>
      <c r="O1426" s="4">
        <v>270</v>
      </c>
      <c r="P1426">
        <v>0</v>
      </c>
      <c r="Q1426" s="4">
        <v>270</v>
      </c>
      <c r="R1426" s="12">
        <f t="shared" si="22"/>
        <v>7560</v>
      </c>
      <c r="T1426" t="s">
        <v>27</v>
      </c>
      <c r="U1426" t="s">
        <v>1050</v>
      </c>
      <c r="V1426" s="4">
        <v>28</v>
      </c>
      <c r="W1426">
        <v>0</v>
      </c>
    </row>
    <row r="1427" spans="1:23" hidden="1" x14ac:dyDescent="0.25">
      <c r="A1427" s="2">
        <v>46080.430775462963</v>
      </c>
      <c r="B1427">
        <v>4614</v>
      </c>
      <c r="C1427" t="s">
        <v>1048</v>
      </c>
      <c r="D1427" s="3">
        <v>46080</v>
      </c>
      <c r="E1427" s="3">
        <v>46264</v>
      </c>
      <c r="F1427" t="s">
        <v>21</v>
      </c>
      <c r="H1427" t="s">
        <v>22</v>
      </c>
      <c r="I1427" t="s">
        <v>32</v>
      </c>
      <c r="J1427" t="s">
        <v>1490</v>
      </c>
      <c r="K1427" t="s">
        <v>24</v>
      </c>
      <c r="L1427" s="4">
        <v>26</v>
      </c>
      <c r="M1427" t="s">
        <v>1057</v>
      </c>
      <c r="N1427" t="s">
        <v>46</v>
      </c>
      <c r="O1427" s="4">
        <v>180</v>
      </c>
      <c r="P1427">
        <v>0</v>
      </c>
      <c r="Q1427" s="4">
        <v>180</v>
      </c>
      <c r="R1427" s="12">
        <f t="shared" si="22"/>
        <v>4680</v>
      </c>
      <c r="T1427" t="s">
        <v>27</v>
      </c>
      <c r="U1427" t="s">
        <v>1050</v>
      </c>
      <c r="V1427" s="4">
        <v>26</v>
      </c>
      <c r="W1427">
        <v>0</v>
      </c>
    </row>
    <row r="1428" spans="1:23" hidden="1" x14ac:dyDescent="0.25">
      <c r="A1428" s="2">
        <v>46080.430775462963</v>
      </c>
      <c r="B1428">
        <v>4614</v>
      </c>
      <c r="C1428" t="s">
        <v>1048</v>
      </c>
      <c r="D1428" s="3">
        <v>46080</v>
      </c>
      <c r="E1428" s="3">
        <v>46264</v>
      </c>
      <c r="F1428" t="s">
        <v>21</v>
      </c>
      <c r="H1428" t="s">
        <v>22</v>
      </c>
      <c r="I1428" t="s">
        <v>29</v>
      </c>
      <c r="J1428" t="s">
        <v>1490</v>
      </c>
      <c r="K1428" t="s">
        <v>24</v>
      </c>
      <c r="L1428" s="4">
        <v>170</v>
      </c>
      <c r="M1428" t="s">
        <v>1057</v>
      </c>
      <c r="N1428" t="s">
        <v>46</v>
      </c>
      <c r="O1428" s="4">
        <v>20</v>
      </c>
      <c r="P1428">
        <v>0</v>
      </c>
      <c r="Q1428" s="4">
        <v>20</v>
      </c>
      <c r="R1428" s="12">
        <f t="shared" si="22"/>
        <v>3400</v>
      </c>
      <c r="T1428" t="s">
        <v>27</v>
      </c>
      <c r="U1428" t="s">
        <v>1050</v>
      </c>
      <c r="V1428" s="4">
        <v>170</v>
      </c>
      <c r="W1428">
        <v>0</v>
      </c>
    </row>
    <row r="1429" spans="1:23" hidden="1" x14ac:dyDescent="0.25">
      <c r="A1429" s="2">
        <v>46080.430775462963</v>
      </c>
      <c r="B1429">
        <v>4614</v>
      </c>
      <c r="C1429" t="s">
        <v>1048</v>
      </c>
      <c r="D1429" s="3">
        <v>46080</v>
      </c>
      <c r="E1429" s="3">
        <v>46264</v>
      </c>
      <c r="F1429" t="s">
        <v>21</v>
      </c>
      <c r="H1429" t="s">
        <v>22</v>
      </c>
      <c r="I1429" t="s">
        <v>35</v>
      </c>
      <c r="J1429" t="s">
        <v>1490</v>
      </c>
      <c r="K1429" t="s">
        <v>24</v>
      </c>
      <c r="L1429" s="4">
        <v>73</v>
      </c>
      <c r="M1429" t="s">
        <v>1057</v>
      </c>
      <c r="N1429" t="s">
        <v>46</v>
      </c>
      <c r="O1429" s="4">
        <v>40</v>
      </c>
      <c r="P1429">
        <v>0</v>
      </c>
      <c r="Q1429" s="4">
        <v>40</v>
      </c>
      <c r="R1429" s="12">
        <f t="shared" si="22"/>
        <v>2920</v>
      </c>
      <c r="T1429" t="s">
        <v>27</v>
      </c>
      <c r="U1429" t="s">
        <v>1050</v>
      </c>
      <c r="V1429" s="4">
        <v>73</v>
      </c>
      <c r="W1429">
        <v>0</v>
      </c>
    </row>
    <row r="1430" spans="1:23" hidden="1" x14ac:dyDescent="0.25">
      <c r="A1430" s="2">
        <v>46093.446782407409</v>
      </c>
      <c r="B1430">
        <v>4647</v>
      </c>
      <c r="C1430" t="s">
        <v>1048</v>
      </c>
      <c r="D1430" s="3">
        <v>46093</v>
      </c>
      <c r="E1430" s="3">
        <v>46264</v>
      </c>
      <c r="F1430" t="s">
        <v>21</v>
      </c>
      <c r="H1430" t="s">
        <v>22</v>
      </c>
      <c r="I1430" t="s">
        <v>35</v>
      </c>
      <c r="J1430" t="s">
        <v>1490</v>
      </c>
      <c r="K1430" t="s">
        <v>24</v>
      </c>
      <c r="L1430" s="4">
        <v>73</v>
      </c>
      <c r="M1430" t="s">
        <v>1058</v>
      </c>
      <c r="N1430" t="s">
        <v>46</v>
      </c>
      <c r="O1430" s="4">
        <v>160</v>
      </c>
      <c r="P1430" s="4">
        <v>60</v>
      </c>
      <c r="Q1430" s="4">
        <v>100</v>
      </c>
      <c r="R1430" s="12">
        <f t="shared" si="22"/>
        <v>7300</v>
      </c>
      <c r="T1430" t="s">
        <v>27</v>
      </c>
      <c r="U1430" t="s">
        <v>1050</v>
      </c>
      <c r="V1430" s="4">
        <v>73</v>
      </c>
      <c r="W1430">
        <v>0</v>
      </c>
    </row>
    <row r="1431" spans="1:23" hidden="1" x14ac:dyDescent="0.25">
      <c r="A1431" s="2">
        <v>45727.645543981482</v>
      </c>
      <c r="B1431">
        <v>3736</v>
      </c>
      <c r="C1431" t="s">
        <v>1059</v>
      </c>
      <c r="D1431" s="3">
        <v>45726</v>
      </c>
      <c r="E1431" s="3">
        <v>46111</v>
      </c>
      <c r="F1431" t="s">
        <v>21</v>
      </c>
      <c r="H1431" t="s">
        <v>22</v>
      </c>
      <c r="I1431" t="s">
        <v>34</v>
      </c>
      <c r="J1431" t="s">
        <v>1490</v>
      </c>
      <c r="K1431" t="s">
        <v>31</v>
      </c>
      <c r="L1431" s="4">
        <v>25.539593</v>
      </c>
      <c r="M1431" t="s">
        <v>1060</v>
      </c>
      <c r="N1431" t="s">
        <v>26</v>
      </c>
      <c r="O1431" s="4">
        <v>1300</v>
      </c>
      <c r="P1431">
        <v>0</v>
      </c>
      <c r="Q1431" s="4">
        <v>1300</v>
      </c>
      <c r="R1431" s="12">
        <f t="shared" si="22"/>
        <v>33201.4709</v>
      </c>
      <c r="T1431" t="s">
        <v>151</v>
      </c>
      <c r="U1431" t="s">
        <v>1061</v>
      </c>
      <c r="V1431" s="4">
        <v>25.539593</v>
      </c>
      <c r="W1431">
        <v>0</v>
      </c>
    </row>
    <row r="1432" spans="1:23" hidden="1" x14ac:dyDescent="0.25">
      <c r="A1432" s="2">
        <v>45727.645543981482</v>
      </c>
      <c r="B1432">
        <v>3736</v>
      </c>
      <c r="C1432" t="s">
        <v>1059</v>
      </c>
      <c r="D1432" s="3">
        <v>45726</v>
      </c>
      <c r="E1432" s="3">
        <v>46111</v>
      </c>
      <c r="F1432" t="s">
        <v>21</v>
      </c>
      <c r="H1432" t="s">
        <v>22</v>
      </c>
      <c r="I1432" t="s">
        <v>32</v>
      </c>
      <c r="J1432" t="s">
        <v>1490</v>
      </c>
      <c r="K1432" t="s">
        <v>24</v>
      </c>
      <c r="L1432" s="4">
        <v>23.575009000000001</v>
      </c>
      <c r="M1432" t="s">
        <v>1060</v>
      </c>
      <c r="N1432" t="s">
        <v>26</v>
      </c>
      <c r="O1432" s="4">
        <v>1960</v>
      </c>
      <c r="P1432">
        <v>0</v>
      </c>
      <c r="Q1432" s="4">
        <v>1960</v>
      </c>
      <c r="R1432" s="12">
        <f t="shared" si="22"/>
        <v>46207.017640000005</v>
      </c>
      <c r="T1432" t="s">
        <v>151</v>
      </c>
      <c r="U1432" t="s">
        <v>1061</v>
      </c>
      <c r="V1432" s="4">
        <v>23.575009000000001</v>
      </c>
      <c r="W1432">
        <v>0</v>
      </c>
    </row>
    <row r="1433" spans="1:23" hidden="1" x14ac:dyDescent="0.25">
      <c r="A1433" s="2">
        <v>45727.645543981482</v>
      </c>
      <c r="B1433">
        <v>3736</v>
      </c>
      <c r="C1433" t="s">
        <v>1059</v>
      </c>
      <c r="D1433" s="3">
        <v>45726</v>
      </c>
      <c r="E1433" s="3">
        <v>46111</v>
      </c>
      <c r="F1433" t="s">
        <v>21</v>
      </c>
      <c r="H1433" t="s">
        <v>22</v>
      </c>
      <c r="I1433" t="s">
        <v>181</v>
      </c>
      <c r="J1433" t="s">
        <v>1490</v>
      </c>
      <c r="K1433" t="s">
        <v>24</v>
      </c>
      <c r="L1433" s="4">
        <v>78.583365000000001</v>
      </c>
      <c r="M1433" t="s">
        <v>1060</v>
      </c>
      <c r="N1433" t="s">
        <v>26</v>
      </c>
      <c r="O1433" s="4">
        <v>520</v>
      </c>
      <c r="P1433">
        <v>0</v>
      </c>
      <c r="Q1433" s="4">
        <v>520</v>
      </c>
      <c r="R1433" s="12">
        <f t="shared" si="22"/>
        <v>40863.349800000004</v>
      </c>
      <c r="T1433" t="s">
        <v>151</v>
      </c>
      <c r="U1433" t="s">
        <v>1061</v>
      </c>
      <c r="V1433" s="4">
        <v>78.583365000000001</v>
      </c>
      <c r="W1433">
        <v>0</v>
      </c>
    </row>
    <row r="1434" spans="1:23" hidden="1" x14ac:dyDescent="0.25">
      <c r="A1434" s="2">
        <v>45727.645543981482</v>
      </c>
      <c r="B1434">
        <v>3736</v>
      </c>
      <c r="C1434" t="s">
        <v>1059</v>
      </c>
      <c r="D1434" s="3">
        <v>45726</v>
      </c>
      <c r="E1434" s="3">
        <v>46111</v>
      </c>
      <c r="F1434" t="s">
        <v>21</v>
      </c>
      <c r="H1434" t="s">
        <v>22</v>
      </c>
      <c r="I1434" t="s">
        <v>30</v>
      </c>
      <c r="J1434" t="s">
        <v>1490</v>
      </c>
      <c r="K1434" t="s">
        <v>31</v>
      </c>
      <c r="L1434" s="4">
        <v>20.628132999999998</v>
      </c>
      <c r="M1434" t="s">
        <v>1060</v>
      </c>
      <c r="N1434" t="s">
        <v>26</v>
      </c>
      <c r="O1434" s="4">
        <v>2600</v>
      </c>
      <c r="P1434">
        <v>0</v>
      </c>
      <c r="Q1434" s="4">
        <v>2600</v>
      </c>
      <c r="R1434" s="12">
        <f t="shared" si="22"/>
        <v>53633.145799999998</v>
      </c>
      <c r="T1434" t="s">
        <v>151</v>
      </c>
      <c r="U1434" t="s">
        <v>1061</v>
      </c>
      <c r="V1434" s="4">
        <v>20.628132999999998</v>
      </c>
      <c r="W1434">
        <v>0</v>
      </c>
    </row>
    <row r="1435" spans="1:23" hidden="1" x14ac:dyDescent="0.25">
      <c r="A1435" s="2">
        <v>45727.645543981482</v>
      </c>
      <c r="B1435">
        <v>3736</v>
      </c>
      <c r="C1435" t="s">
        <v>1059</v>
      </c>
      <c r="D1435" s="3">
        <v>45726</v>
      </c>
      <c r="E1435" s="3">
        <v>46111</v>
      </c>
      <c r="F1435" t="s">
        <v>21</v>
      </c>
      <c r="H1435" t="s">
        <v>22</v>
      </c>
      <c r="I1435" t="s">
        <v>29</v>
      </c>
      <c r="J1435" t="s">
        <v>1490</v>
      </c>
      <c r="K1435" t="s">
        <v>24</v>
      </c>
      <c r="L1435" s="4">
        <v>164.183111</v>
      </c>
      <c r="M1435" t="s">
        <v>1060</v>
      </c>
      <c r="N1435" t="s">
        <v>26</v>
      </c>
      <c r="O1435" s="4">
        <v>320</v>
      </c>
      <c r="P1435">
        <v>0</v>
      </c>
      <c r="Q1435" s="4">
        <v>320</v>
      </c>
      <c r="R1435" s="12">
        <f t="shared" si="22"/>
        <v>52538.595520000003</v>
      </c>
      <c r="T1435" t="s">
        <v>151</v>
      </c>
      <c r="U1435" t="s">
        <v>1061</v>
      </c>
      <c r="V1435" s="4">
        <v>164.183111</v>
      </c>
      <c r="W1435">
        <v>0</v>
      </c>
    </row>
    <row r="1436" spans="1:23" hidden="1" x14ac:dyDescent="0.25">
      <c r="A1436" s="2">
        <v>45727.645543981482</v>
      </c>
      <c r="B1436">
        <v>3736</v>
      </c>
      <c r="C1436" t="s">
        <v>1059</v>
      </c>
      <c r="D1436" s="3">
        <v>45726</v>
      </c>
      <c r="E1436" s="3">
        <v>46111</v>
      </c>
      <c r="F1436" t="s">
        <v>21</v>
      </c>
      <c r="H1436" t="s">
        <v>22</v>
      </c>
      <c r="I1436" t="s">
        <v>328</v>
      </c>
      <c r="K1436" t="s">
        <v>24</v>
      </c>
      <c r="L1436" s="4">
        <v>73.671903999999998</v>
      </c>
      <c r="M1436" t="s">
        <v>1060</v>
      </c>
      <c r="N1436" t="s">
        <v>26</v>
      </c>
      <c r="O1436" s="4">
        <v>220</v>
      </c>
      <c r="P1436">
        <v>0</v>
      </c>
      <c r="Q1436" s="4">
        <v>220</v>
      </c>
      <c r="R1436" s="12">
        <f t="shared" si="22"/>
        <v>16207.818879999999</v>
      </c>
      <c r="T1436" t="s">
        <v>151</v>
      </c>
      <c r="U1436" t="s">
        <v>1061</v>
      </c>
      <c r="V1436" s="4">
        <v>73.671903999999998</v>
      </c>
      <c r="W1436">
        <v>0</v>
      </c>
    </row>
    <row r="1437" spans="1:23" hidden="1" x14ac:dyDescent="0.25">
      <c r="A1437" s="2">
        <v>45727.645543981482</v>
      </c>
      <c r="B1437">
        <v>3736</v>
      </c>
      <c r="C1437" t="s">
        <v>1059</v>
      </c>
      <c r="D1437" s="3">
        <v>45726</v>
      </c>
      <c r="E1437" s="3">
        <v>46111</v>
      </c>
      <c r="F1437" t="s">
        <v>21</v>
      </c>
      <c r="H1437" t="s">
        <v>22</v>
      </c>
      <c r="I1437" t="s">
        <v>37</v>
      </c>
      <c r="J1437" t="s">
        <v>1490</v>
      </c>
      <c r="K1437" t="s">
        <v>31</v>
      </c>
      <c r="L1437" s="4">
        <v>88.406283999999999</v>
      </c>
      <c r="M1437" t="s">
        <v>1060</v>
      </c>
      <c r="N1437" t="s">
        <v>26</v>
      </c>
      <c r="O1437" s="4">
        <v>261</v>
      </c>
      <c r="P1437">
        <v>0</v>
      </c>
      <c r="Q1437" s="4">
        <v>261</v>
      </c>
      <c r="R1437" s="12">
        <f t="shared" si="22"/>
        <v>23074.040123999999</v>
      </c>
      <c r="T1437" t="s">
        <v>151</v>
      </c>
      <c r="U1437" t="s">
        <v>1061</v>
      </c>
      <c r="V1437" s="4">
        <v>88.406283999999999</v>
      </c>
      <c r="W1437">
        <v>0</v>
      </c>
    </row>
    <row r="1438" spans="1:23" hidden="1" x14ac:dyDescent="0.25">
      <c r="A1438" s="2">
        <v>45727.645543981482</v>
      </c>
      <c r="B1438">
        <v>3736</v>
      </c>
      <c r="C1438" t="s">
        <v>1059</v>
      </c>
      <c r="D1438" s="3">
        <v>45726</v>
      </c>
      <c r="E1438" s="3">
        <v>46111</v>
      </c>
      <c r="F1438" t="s">
        <v>21</v>
      </c>
      <c r="H1438" t="s">
        <v>22</v>
      </c>
      <c r="I1438" t="s">
        <v>188</v>
      </c>
      <c r="J1438" t="s">
        <v>1490</v>
      </c>
      <c r="K1438" t="s">
        <v>31</v>
      </c>
      <c r="L1438" s="4">
        <v>66.795858999999993</v>
      </c>
      <c r="M1438" t="s">
        <v>1060</v>
      </c>
      <c r="N1438" t="s">
        <v>26</v>
      </c>
      <c r="O1438" s="4">
        <v>390</v>
      </c>
      <c r="P1438">
        <v>0</v>
      </c>
      <c r="Q1438" s="4">
        <v>390</v>
      </c>
      <c r="R1438" s="12">
        <f t="shared" si="22"/>
        <v>26050.385009999998</v>
      </c>
      <c r="T1438" t="s">
        <v>151</v>
      </c>
      <c r="U1438" t="s">
        <v>1061</v>
      </c>
      <c r="V1438" s="4">
        <v>66.795858999999993</v>
      </c>
      <c r="W1438">
        <v>0</v>
      </c>
    </row>
    <row r="1439" spans="1:23" hidden="1" x14ac:dyDescent="0.25">
      <c r="A1439" s="2">
        <v>45727.645543981482</v>
      </c>
      <c r="B1439">
        <v>3736</v>
      </c>
      <c r="C1439" t="s">
        <v>1059</v>
      </c>
      <c r="D1439" s="3">
        <v>45726</v>
      </c>
      <c r="E1439" s="3">
        <v>46111</v>
      </c>
      <c r="F1439" t="s">
        <v>21</v>
      </c>
      <c r="H1439" t="s">
        <v>22</v>
      </c>
      <c r="I1439" t="s">
        <v>314</v>
      </c>
      <c r="K1439" t="s">
        <v>31</v>
      </c>
      <c r="L1439" s="4">
        <v>23.575009000000001</v>
      </c>
      <c r="M1439" t="s">
        <v>1060</v>
      </c>
      <c r="N1439" t="s">
        <v>26</v>
      </c>
      <c r="O1439" s="4">
        <v>660</v>
      </c>
      <c r="P1439">
        <v>0</v>
      </c>
      <c r="Q1439" s="4">
        <v>660</v>
      </c>
      <c r="R1439" s="12">
        <f t="shared" si="22"/>
        <v>15559.505940000001</v>
      </c>
      <c r="T1439" t="s">
        <v>151</v>
      </c>
      <c r="U1439" t="s">
        <v>1061</v>
      </c>
      <c r="V1439" s="4">
        <v>23.575009000000001</v>
      </c>
      <c r="W1439">
        <v>0</v>
      </c>
    </row>
    <row r="1440" spans="1:23" hidden="1" x14ac:dyDescent="0.25">
      <c r="A1440" s="2">
        <v>45727.645543981482</v>
      </c>
      <c r="B1440">
        <v>3736</v>
      </c>
      <c r="C1440" t="s">
        <v>1059</v>
      </c>
      <c r="D1440" s="3">
        <v>45726</v>
      </c>
      <c r="E1440" s="3">
        <v>46111</v>
      </c>
      <c r="F1440" t="s">
        <v>21</v>
      </c>
      <c r="H1440" t="s">
        <v>22</v>
      </c>
      <c r="I1440" t="s">
        <v>36</v>
      </c>
      <c r="J1440" t="s">
        <v>1490</v>
      </c>
      <c r="K1440" t="s">
        <v>24</v>
      </c>
      <c r="L1440" s="4">
        <v>73.671903999999998</v>
      </c>
      <c r="M1440" t="s">
        <v>1060</v>
      </c>
      <c r="N1440" t="s">
        <v>26</v>
      </c>
      <c r="O1440" s="4">
        <v>60</v>
      </c>
      <c r="P1440">
        <v>0</v>
      </c>
      <c r="Q1440" s="4">
        <v>60</v>
      </c>
      <c r="R1440" s="12">
        <f t="shared" si="22"/>
        <v>4420.3142399999997</v>
      </c>
      <c r="T1440" t="s">
        <v>151</v>
      </c>
      <c r="U1440" t="s">
        <v>1061</v>
      </c>
      <c r="V1440" s="4">
        <v>73.671903999999998</v>
      </c>
      <c r="W1440">
        <v>0</v>
      </c>
    </row>
    <row r="1441" spans="1:23" hidden="1" x14ac:dyDescent="0.25">
      <c r="A1441" s="2">
        <v>45727.645543981482</v>
      </c>
      <c r="B1441">
        <v>3736</v>
      </c>
      <c r="C1441" t="s">
        <v>1059</v>
      </c>
      <c r="D1441" s="3">
        <v>45726</v>
      </c>
      <c r="E1441" s="3">
        <v>46111</v>
      </c>
      <c r="F1441" t="s">
        <v>21</v>
      </c>
      <c r="H1441" t="s">
        <v>22</v>
      </c>
      <c r="I1441" t="s">
        <v>148</v>
      </c>
      <c r="J1441" t="s">
        <v>1490</v>
      </c>
      <c r="K1441" t="s">
        <v>24</v>
      </c>
      <c r="L1441" s="4">
        <v>73.671903999999998</v>
      </c>
      <c r="M1441" t="s">
        <v>1060</v>
      </c>
      <c r="N1441" t="s">
        <v>26</v>
      </c>
      <c r="O1441" s="4">
        <v>40</v>
      </c>
      <c r="P1441">
        <v>0</v>
      </c>
      <c r="Q1441" s="4">
        <v>40</v>
      </c>
      <c r="R1441" s="12">
        <f t="shared" si="22"/>
        <v>2946.8761599999998</v>
      </c>
      <c r="T1441" t="s">
        <v>151</v>
      </c>
      <c r="U1441" t="s">
        <v>1061</v>
      </c>
      <c r="V1441" s="4">
        <v>73.671903999999998</v>
      </c>
      <c r="W1441">
        <v>0</v>
      </c>
    </row>
    <row r="1442" spans="1:23" hidden="1" x14ac:dyDescent="0.25">
      <c r="A1442" s="2">
        <v>45727.645543981482</v>
      </c>
      <c r="B1442">
        <v>3736</v>
      </c>
      <c r="C1442" t="s">
        <v>1059</v>
      </c>
      <c r="D1442" s="3">
        <v>45726</v>
      </c>
      <c r="E1442" s="3">
        <v>46111</v>
      </c>
      <c r="F1442" t="s">
        <v>21</v>
      </c>
      <c r="H1442" t="s">
        <v>22</v>
      </c>
      <c r="I1442" t="s">
        <v>96</v>
      </c>
      <c r="K1442" t="s">
        <v>24</v>
      </c>
      <c r="L1442" s="4">
        <v>73.671903999999998</v>
      </c>
      <c r="M1442" t="s">
        <v>1060</v>
      </c>
      <c r="N1442" t="s">
        <v>26</v>
      </c>
      <c r="O1442" s="4">
        <v>70</v>
      </c>
      <c r="P1442">
        <v>0</v>
      </c>
      <c r="Q1442" s="4">
        <v>70</v>
      </c>
      <c r="R1442" s="12">
        <f t="shared" si="22"/>
        <v>5157.0332799999996</v>
      </c>
      <c r="T1442" t="s">
        <v>151</v>
      </c>
      <c r="U1442" t="s">
        <v>1061</v>
      </c>
      <c r="V1442" s="4">
        <v>73.671903999999998</v>
      </c>
      <c r="W1442">
        <v>0</v>
      </c>
    </row>
    <row r="1443" spans="1:23" hidden="1" x14ac:dyDescent="0.25">
      <c r="A1443" s="2">
        <v>45727.645543981482</v>
      </c>
      <c r="B1443">
        <v>3736</v>
      </c>
      <c r="C1443" t="s">
        <v>1059</v>
      </c>
      <c r="D1443" s="3">
        <v>45726</v>
      </c>
      <c r="E1443" s="3">
        <v>46111</v>
      </c>
      <c r="F1443" t="s">
        <v>21</v>
      </c>
      <c r="H1443" t="s">
        <v>22</v>
      </c>
      <c r="I1443" t="s">
        <v>33</v>
      </c>
      <c r="J1443" t="s">
        <v>1490</v>
      </c>
      <c r="K1443" t="s">
        <v>31</v>
      </c>
      <c r="L1443" s="4">
        <v>23.575009000000001</v>
      </c>
      <c r="M1443" t="s">
        <v>1060</v>
      </c>
      <c r="N1443" t="s">
        <v>26</v>
      </c>
      <c r="O1443" s="4">
        <v>2330</v>
      </c>
      <c r="P1443">
        <v>0</v>
      </c>
      <c r="Q1443" s="4">
        <v>2330</v>
      </c>
      <c r="R1443" s="12">
        <f t="shared" si="22"/>
        <v>54929.770970000005</v>
      </c>
      <c r="T1443" t="s">
        <v>151</v>
      </c>
      <c r="U1443" t="s">
        <v>1061</v>
      </c>
      <c r="V1443" s="4">
        <v>23.575009000000001</v>
      </c>
      <c r="W1443">
        <v>0</v>
      </c>
    </row>
    <row r="1444" spans="1:23" hidden="1" x14ac:dyDescent="0.25">
      <c r="A1444" s="2">
        <v>45833.463680555556</v>
      </c>
      <c r="B1444">
        <v>3906</v>
      </c>
      <c r="C1444" t="s">
        <v>1059</v>
      </c>
      <c r="D1444" s="3">
        <v>45833</v>
      </c>
      <c r="E1444" s="3">
        <v>46264</v>
      </c>
      <c r="F1444" t="s">
        <v>21</v>
      </c>
      <c r="G1444" t="s">
        <v>1493</v>
      </c>
      <c r="H1444" t="s">
        <v>22</v>
      </c>
      <c r="I1444" t="s">
        <v>63</v>
      </c>
      <c r="J1444" t="s">
        <v>1491</v>
      </c>
      <c r="K1444" t="s">
        <v>31</v>
      </c>
      <c r="L1444" s="4">
        <v>180</v>
      </c>
      <c r="M1444" t="s">
        <v>1062</v>
      </c>
      <c r="N1444" t="s">
        <v>46</v>
      </c>
      <c r="O1444" s="4">
        <v>80</v>
      </c>
      <c r="P1444">
        <v>0</v>
      </c>
      <c r="Q1444" s="4">
        <v>80</v>
      </c>
      <c r="R1444" s="12">
        <f t="shared" si="22"/>
        <v>14400</v>
      </c>
      <c r="T1444" t="s">
        <v>151</v>
      </c>
      <c r="U1444" t="s">
        <v>1061</v>
      </c>
      <c r="V1444" s="4">
        <v>180</v>
      </c>
      <c r="W1444">
        <v>0</v>
      </c>
    </row>
    <row r="1445" spans="1:23" hidden="1" x14ac:dyDescent="0.25">
      <c r="A1445" s="2">
        <v>45833.463680555556</v>
      </c>
      <c r="B1445">
        <v>3906</v>
      </c>
      <c r="C1445" t="s">
        <v>1059</v>
      </c>
      <c r="D1445" s="3">
        <v>45833</v>
      </c>
      <c r="E1445" s="3">
        <v>46264</v>
      </c>
      <c r="F1445" t="s">
        <v>21</v>
      </c>
      <c r="H1445" t="s">
        <v>22</v>
      </c>
      <c r="I1445" t="s">
        <v>32</v>
      </c>
      <c r="J1445" t="s">
        <v>1490</v>
      </c>
      <c r="K1445" t="s">
        <v>24</v>
      </c>
      <c r="L1445" s="4">
        <v>23.5</v>
      </c>
      <c r="M1445" t="s">
        <v>1062</v>
      </c>
      <c r="N1445" t="s">
        <v>46</v>
      </c>
      <c r="O1445" s="4">
        <v>1200</v>
      </c>
      <c r="P1445">
        <v>0</v>
      </c>
      <c r="Q1445" s="4">
        <v>1200</v>
      </c>
      <c r="R1445" s="12">
        <f t="shared" si="22"/>
        <v>28200</v>
      </c>
      <c r="T1445" t="s">
        <v>151</v>
      </c>
      <c r="U1445" t="s">
        <v>1061</v>
      </c>
      <c r="V1445" s="4">
        <v>23.5</v>
      </c>
      <c r="W1445">
        <v>0</v>
      </c>
    </row>
    <row r="1446" spans="1:23" hidden="1" x14ac:dyDescent="0.25">
      <c r="A1446" s="2">
        <v>45833.463680555556</v>
      </c>
      <c r="B1446">
        <v>3906</v>
      </c>
      <c r="C1446" t="s">
        <v>1059</v>
      </c>
      <c r="D1446" s="3">
        <v>45833</v>
      </c>
      <c r="E1446" s="3">
        <v>46264</v>
      </c>
      <c r="F1446" t="s">
        <v>21</v>
      </c>
      <c r="H1446" t="s">
        <v>22</v>
      </c>
      <c r="I1446" t="s">
        <v>192</v>
      </c>
      <c r="J1446" t="s">
        <v>1490</v>
      </c>
      <c r="K1446" t="s">
        <v>24</v>
      </c>
      <c r="L1446" s="4">
        <v>14</v>
      </c>
      <c r="M1446" t="s">
        <v>1062</v>
      </c>
      <c r="N1446" t="s">
        <v>46</v>
      </c>
      <c r="O1446" s="4">
        <v>2400</v>
      </c>
      <c r="P1446">
        <v>0</v>
      </c>
      <c r="Q1446" s="4">
        <v>2400</v>
      </c>
      <c r="R1446" s="12">
        <f t="shared" si="22"/>
        <v>33600</v>
      </c>
      <c r="T1446" t="s">
        <v>151</v>
      </c>
      <c r="U1446" t="s">
        <v>1061</v>
      </c>
      <c r="V1446" s="4">
        <v>14</v>
      </c>
      <c r="W1446">
        <v>0</v>
      </c>
    </row>
    <row r="1447" spans="1:23" hidden="1" x14ac:dyDescent="0.25">
      <c r="A1447" s="2">
        <v>45833.463680555556</v>
      </c>
      <c r="B1447">
        <v>3906</v>
      </c>
      <c r="C1447" t="s">
        <v>1059</v>
      </c>
      <c r="D1447" s="3">
        <v>45833</v>
      </c>
      <c r="E1447" s="3">
        <v>46264</v>
      </c>
      <c r="F1447" t="s">
        <v>21</v>
      </c>
      <c r="H1447" t="s">
        <v>22</v>
      </c>
      <c r="I1447" t="s">
        <v>42</v>
      </c>
      <c r="J1447" t="s">
        <v>1490</v>
      </c>
      <c r="K1447" t="s">
        <v>24</v>
      </c>
      <c r="L1447" s="4">
        <v>225</v>
      </c>
      <c r="M1447" t="s">
        <v>1062</v>
      </c>
      <c r="N1447" t="s">
        <v>46</v>
      </c>
      <c r="O1447" s="4">
        <v>85</v>
      </c>
      <c r="P1447">
        <v>0</v>
      </c>
      <c r="Q1447" s="4">
        <v>85</v>
      </c>
      <c r="R1447" s="12">
        <f t="shared" si="22"/>
        <v>19125</v>
      </c>
      <c r="T1447" t="s">
        <v>151</v>
      </c>
      <c r="U1447" t="s">
        <v>1061</v>
      </c>
      <c r="V1447" s="4">
        <v>225</v>
      </c>
      <c r="W1447">
        <v>0</v>
      </c>
    </row>
    <row r="1448" spans="1:23" hidden="1" x14ac:dyDescent="0.25">
      <c r="A1448" s="2">
        <v>45833.463680555556</v>
      </c>
      <c r="B1448">
        <v>3906</v>
      </c>
      <c r="C1448" t="s">
        <v>1059</v>
      </c>
      <c r="D1448" s="3">
        <v>45833</v>
      </c>
      <c r="E1448" s="3">
        <v>46264</v>
      </c>
      <c r="F1448" t="s">
        <v>21</v>
      </c>
      <c r="H1448" t="s">
        <v>22</v>
      </c>
      <c r="I1448" t="s">
        <v>33</v>
      </c>
      <c r="J1448" t="s">
        <v>1490</v>
      </c>
      <c r="K1448" t="s">
        <v>31</v>
      </c>
      <c r="L1448" s="4">
        <v>24</v>
      </c>
      <c r="M1448" t="s">
        <v>1062</v>
      </c>
      <c r="N1448" t="s">
        <v>46</v>
      </c>
      <c r="O1448" s="4">
        <v>1800</v>
      </c>
      <c r="P1448">
        <v>0</v>
      </c>
      <c r="Q1448" s="4">
        <v>1800</v>
      </c>
      <c r="R1448" s="12">
        <f t="shared" si="22"/>
        <v>43200</v>
      </c>
      <c r="T1448" t="s">
        <v>151</v>
      </c>
      <c r="U1448" t="s">
        <v>1061</v>
      </c>
      <c r="V1448" s="4">
        <v>24</v>
      </c>
      <c r="W1448">
        <v>0</v>
      </c>
    </row>
    <row r="1449" spans="1:23" hidden="1" x14ac:dyDescent="0.25">
      <c r="A1449" s="2">
        <v>45833.463680555556</v>
      </c>
      <c r="B1449">
        <v>3906</v>
      </c>
      <c r="C1449" t="s">
        <v>1059</v>
      </c>
      <c r="D1449" s="3">
        <v>45833</v>
      </c>
      <c r="E1449" s="3">
        <v>46264</v>
      </c>
      <c r="F1449" t="s">
        <v>21</v>
      </c>
      <c r="G1449" t="s">
        <v>1493</v>
      </c>
      <c r="H1449" t="s">
        <v>22</v>
      </c>
      <c r="I1449" t="s">
        <v>38</v>
      </c>
      <c r="J1449" t="s">
        <v>1491</v>
      </c>
      <c r="K1449" t="s">
        <v>24</v>
      </c>
      <c r="L1449" s="4">
        <v>48</v>
      </c>
      <c r="M1449" t="s">
        <v>1062</v>
      </c>
      <c r="N1449" t="s">
        <v>46</v>
      </c>
      <c r="O1449" s="4">
        <v>102</v>
      </c>
      <c r="P1449">
        <v>0</v>
      </c>
      <c r="Q1449" s="4">
        <v>102</v>
      </c>
      <c r="R1449" s="12">
        <f t="shared" si="22"/>
        <v>4896</v>
      </c>
      <c r="T1449" t="s">
        <v>151</v>
      </c>
      <c r="U1449" t="s">
        <v>1061</v>
      </c>
      <c r="V1449" s="4">
        <v>48</v>
      </c>
      <c r="W1449">
        <v>0</v>
      </c>
    </row>
    <row r="1450" spans="1:23" hidden="1" x14ac:dyDescent="0.25">
      <c r="A1450" s="2">
        <v>45833.463680555556</v>
      </c>
      <c r="B1450">
        <v>3906</v>
      </c>
      <c r="C1450" t="s">
        <v>1059</v>
      </c>
      <c r="D1450" s="3">
        <v>45833</v>
      </c>
      <c r="E1450" s="3">
        <v>46264</v>
      </c>
      <c r="F1450" t="s">
        <v>21</v>
      </c>
      <c r="G1450" t="s">
        <v>1493</v>
      </c>
      <c r="H1450" t="s">
        <v>22</v>
      </c>
      <c r="I1450" t="s">
        <v>41</v>
      </c>
      <c r="J1450" t="s">
        <v>1491</v>
      </c>
      <c r="K1450" t="s">
        <v>24</v>
      </c>
      <c r="L1450" s="4">
        <v>320</v>
      </c>
      <c r="M1450" t="s">
        <v>1062</v>
      </c>
      <c r="N1450" t="s">
        <v>46</v>
      </c>
      <c r="O1450" s="4">
        <v>20</v>
      </c>
      <c r="P1450">
        <v>0</v>
      </c>
      <c r="Q1450" s="4">
        <v>20</v>
      </c>
      <c r="R1450" s="12">
        <f t="shared" si="22"/>
        <v>6400</v>
      </c>
      <c r="T1450" t="s">
        <v>151</v>
      </c>
      <c r="U1450" t="s">
        <v>1061</v>
      </c>
      <c r="V1450" s="4">
        <v>320</v>
      </c>
      <c r="W1450">
        <v>0</v>
      </c>
    </row>
    <row r="1451" spans="1:23" hidden="1" x14ac:dyDescent="0.25">
      <c r="A1451" s="2">
        <v>45833.463680555556</v>
      </c>
      <c r="B1451">
        <v>3906</v>
      </c>
      <c r="C1451" t="s">
        <v>1059</v>
      </c>
      <c r="D1451" s="3">
        <v>45833</v>
      </c>
      <c r="E1451" s="3">
        <v>46264</v>
      </c>
      <c r="F1451" t="s">
        <v>21</v>
      </c>
      <c r="H1451" t="s">
        <v>22</v>
      </c>
      <c r="I1451" t="s">
        <v>29</v>
      </c>
      <c r="J1451" t="s">
        <v>1490</v>
      </c>
      <c r="K1451" t="s">
        <v>24</v>
      </c>
      <c r="L1451" s="4">
        <v>157</v>
      </c>
      <c r="M1451" t="s">
        <v>1062</v>
      </c>
      <c r="N1451" t="s">
        <v>46</v>
      </c>
      <c r="O1451" s="4">
        <v>240</v>
      </c>
      <c r="P1451">
        <v>0</v>
      </c>
      <c r="Q1451" s="4">
        <v>240</v>
      </c>
      <c r="R1451" s="12">
        <f t="shared" si="22"/>
        <v>37680</v>
      </c>
      <c r="T1451" t="s">
        <v>151</v>
      </c>
      <c r="U1451" t="s">
        <v>1061</v>
      </c>
      <c r="V1451" s="4">
        <v>157</v>
      </c>
      <c r="W1451">
        <v>0</v>
      </c>
    </row>
    <row r="1452" spans="1:23" hidden="1" x14ac:dyDescent="0.25">
      <c r="A1452" s="2">
        <v>45833.463680555556</v>
      </c>
      <c r="B1452">
        <v>3906</v>
      </c>
      <c r="C1452" t="s">
        <v>1059</v>
      </c>
      <c r="D1452" s="3">
        <v>45833</v>
      </c>
      <c r="E1452" s="3">
        <v>46264</v>
      </c>
      <c r="F1452" t="s">
        <v>21</v>
      </c>
      <c r="H1452" t="s">
        <v>22</v>
      </c>
      <c r="I1452" t="s">
        <v>30</v>
      </c>
      <c r="J1452" t="s">
        <v>1490</v>
      </c>
      <c r="K1452" t="s">
        <v>31</v>
      </c>
      <c r="L1452" s="4">
        <v>23</v>
      </c>
      <c r="M1452" t="s">
        <v>1062</v>
      </c>
      <c r="N1452" t="s">
        <v>46</v>
      </c>
      <c r="O1452" s="4">
        <v>3600</v>
      </c>
      <c r="P1452">
        <v>0</v>
      </c>
      <c r="Q1452" s="4">
        <v>3600</v>
      </c>
      <c r="R1452" s="12">
        <f t="shared" si="22"/>
        <v>82800</v>
      </c>
      <c r="T1452" t="s">
        <v>151</v>
      </c>
      <c r="U1452" t="s">
        <v>1061</v>
      </c>
      <c r="V1452" s="4">
        <v>23</v>
      </c>
      <c r="W1452">
        <v>0</v>
      </c>
    </row>
    <row r="1453" spans="1:23" hidden="1" x14ac:dyDescent="0.25">
      <c r="A1453" s="2">
        <v>45833.463680555556</v>
      </c>
      <c r="B1453">
        <v>3906</v>
      </c>
      <c r="C1453" t="s">
        <v>1059</v>
      </c>
      <c r="D1453" s="3">
        <v>45833</v>
      </c>
      <c r="E1453" s="3">
        <v>46264</v>
      </c>
      <c r="F1453" t="s">
        <v>21</v>
      </c>
      <c r="G1453" t="s">
        <v>1493</v>
      </c>
      <c r="H1453" t="s">
        <v>22</v>
      </c>
      <c r="I1453" t="s">
        <v>40</v>
      </c>
      <c r="J1453" t="s">
        <v>1491</v>
      </c>
      <c r="K1453" t="s">
        <v>24</v>
      </c>
      <c r="L1453" s="4">
        <v>320</v>
      </c>
      <c r="M1453" t="s">
        <v>1062</v>
      </c>
      <c r="N1453" t="s">
        <v>46</v>
      </c>
      <c r="O1453" s="4">
        <v>20</v>
      </c>
      <c r="P1453">
        <v>0</v>
      </c>
      <c r="Q1453" s="4">
        <v>20</v>
      </c>
      <c r="R1453" s="12">
        <f t="shared" si="22"/>
        <v>6400</v>
      </c>
      <c r="T1453" t="s">
        <v>151</v>
      </c>
      <c r="U1453" t="s">
        <v>1061</v>
      </c>
      <c r="V1453" s="4">
        <v>320</v>
      </c>
      <c r="W1453">
        <v>0</v>
      </c>
    </row>
    <row r="1454" spans="1:23" hidden="1" x14ac:dyDescent="0.25">
      <c r="A1454" s="2">
        <v>45727.659803240742</v>
      </c>
      <c r="B1454">
        <v>3737</v>
      </c>
      <c r="C1454" t="s">
        <v>1059</v>
      </c>
      <c r="D1454" s="3">
        <v>45896</v>
      </c>
      <c r="E1454" s="3">
        <v>46111</v>
      </c>
      <c r="F1454" t="s">
        <v>21</v>
      </c>
      <c r="G1454" t="s">
        <v>1493</v>
      </c>
      <c r="H1454" t="s">
        <v>22</v>
      </c>
      <c r="I1454" t="s">
        <v>38</v>
      </c>
      <c r="J1454" t="s">
        <v>1491</v>
      </c>
      <c r="K1454" t="s">
        <v>24</v>
      </c>
      <c r="L1454" s="4">
        <v>44.235123999999999</v>
      </c>
      <c r="M1454" t="s">
        <v>1063</v>
      </c>
      <c r="N1454" t="s">
        <v>26</v>
      </c>
      <c r="O1454" s="4">
        <v>120</v>
      </c>
      <c r="P1454">
        <v>0</v>
      </c>
      <c r="Q1454" s="4">
        <v>120</v>
      </c>
      <c r="R1454" s="12">
        <f t="shared" si="22"/>
        <v>5308.2148799999995</v>
      </c>
      <c r="T1454" t="s">
        <v>151</v>
      </c>
      <c r="U1454" t="s">
        <v>1061</v>
      </c>
      <c r="V1454" s="4">
        <v>44.235123999999999</v>
      </c>
      <c r="W1454">
        <v>0</v>
      </c>
    </row>
    <row r="1455" spans="1:23" hidden="1" x14ac:dyDescent="0.25">
      <c r="A1455" s="2">
        <v>45727.659803240742</v>
      </c>
      <c r="B1455">
        <v>3737</v>
      </c>
      <c r="C1455" t="s">
        <v>1059</v>
      </c>
      <c r="D1455" s="3">
        <v>45896</v>
      </c>
      <c r="E1455" s="3">
        <v>46111</v>
      </c>
      <c r="F1455" t="s">
        <v>21</v>
      </c>
      <c r="G1455" t="s">
        <v>1493</v>
      </c>
      <c r="H1455" t="s">
        <v>22</v>
      </c>
      <c r="I1455" t="s">
        <v>43</v>
      </c>
      <c r="J1455" t="s">
        <v>1491</v>
      </c>
      <c r="K1455" t="s">
        <v>24</v>
      </c>
      <c r="L1455" s="4">
        <v>41.696412000000002</v>
      </c>
      <c r="M1455" t="s">
        <v>1063</v>
      </c>
      <c r="N1455" t="s">
        <v>26</v>
      </c>
      <c r="O1455" s="4">
        <v>123</v>
      </c>
      <c r="P1455">
        <v>0</v>
      </c>
      <c r="Q1455" s="4">
        <v>123</v>
      </c>
      <c r="R1455" s="12">
        <f t="shared" si="22"/>
        <v>5128.658676</v>
      </c>
      <c r="T1455" t="s">
        <v>151</v>
      </c>
      <c r="U1455" t="s">
        <v>1061</v>
      </c>
      <c r="V1455" s="4">
        <v>41.696412000000002</v>
      </c>
      <c r="W1455">
        <v>0</v>
      </c>
    </row>
    <row r="1456" spans="1:23" hidden="1" x14ac:dyDescent="0.25">
      <c r="A1456" s="2">
        <v>45727.659803240742</v>
      </c>
      <c r="B1456">
        <v>3737</v>
      </c>
      <c r="C1456" t="s">
        <v>1059</v>
      </c>
      <c r="D1456" s="3">
        <v>45896</v>
      </c>
      <c r="E1456" s="3">
        <v>46111</v>
      </c>
      <c r="F1456" t="s">
        <v>21</v>
      </c>
      <c r="G1456" t="s">
        <v>1493</v>
      </c>
      <c r="H1456" t="s">
        <v>22</v>
      </c>
      <c r="I1456" t="s">
        <v>59</v>
      </c>
      <c r="J1456" t="s">
        <v>1491</v>
      </c>
      <c r="K1456" t="s">
        <v>24</v>
      </c>
      <c r="L1456" s="4">
        <v>41.696412000000002</v>
      </c>
      <c r="M1456" t="s">
        <v>1063</v>
      </c>
      <c r="N1456" t="s">
        <v>26</v>
      </c>
      <c r="O1456" s="4">
        <v>123</v>
      </c>
      <c r="P1456">
        <v>0</v>
      </c>
      <c r="Q1456" s="4">
        <v>123</v>
      </c>
      <c r="R1456" s="12">
        <f t="shared" si="22"/>
        <v>5128.658676</v>
      </c>
      <c r="T1456" t="s">
        <v>151</v>
      </c>
      <c r="U1456" t="s">
        <v>1061</v>
      </c>
      <c r="V1456" s="4">
        <v>41.696412000000002</v>
      </c>
      <c r="W1456">
        <v>0</v>
      </c>
    </row>
    <row r="1457" spans="1:23" hidden="1" x14ac:dyDescent="0.25">
      <c r="A1457" s="2">
        <v>45727.659803240742</v>
      </c>
      <c r="B1457">
        <v>3737</v>
      </c>
      <c r="C1457" t="s">
        <v>1059</v>
      </c>
      <c r="D1457" s="3">
        <v>45896</v>
      </c>
      <c r="E1457" s="3">
        <v>46111</v>
      </c>
      <c r="F1457" t="s">
        <v>21</v>
      </c>
      <c r="G1457" t="s">
        <v>1493</v>
      </c>
      <c r="H1457" t="s">
        <v>22</v>
      </c>
      <c r="I1457" t="s">
        <v>101</v>
      </c>
      <c r="J1457" t="s">
        <v>1491</v>
      </c>
      <c r="K1457" t="s">
        <v>31</v>
      </c>
      <c r="L1457" s="4">
        <v>625.06153700000004</v>
      </c>
      <c r="M1457" t="s">
        <v>1063</v>
      </c>
      <c r="N1457" t="s">
        <v>26</v>
      </c>
      <c r="O1457" s="4">
        <v>65</v>
      </c>
      <c r="P1457">
        <v>0</v>
      </c>
      <c r="Q1457" s="4">
        <v>65</v>
      </c>
      <c r="R1457" s="12">
        <f t="shared" si="22"/>
        <v>40628.999905000004</v>
      </c>
      <c r="T1457" t="s">
        <v>151</v>
      </c>
      <c r="U1457" t="s">
        <v>1061</v>
      </c>
      <c r="V1457" s="4">
        <v>625.06153700000004</v>
      </c>
      <c r="W1457">
        <v>0</v>
      </c>
    </row>
    <row r="1458" spans="1:23" hidden="1" x14ac:dyDescent="0.25">
      <c r="A1458" s="2">
        <v>45727.659803240742</v>
      </c>
      <c r="B1458">
        <v>3737</v>
      </c>
      <c r="C1458" t="s">
        <v>1059</v>
      </c>
      <c r="D1458" s="3">
        <v>45896</v>
      </c>
      <c r="E1458" s="3">
        <v>46111</v>
      </c>
      <c r="F1458" t="s">
        <v>21</v>
      </c>
      <c r="H1458" t="s">
        <v>22</v>
      </c>
      <c r="I1458" t="s">
        <v>42</v>
      </c>
      <c r="J1458" t="s">
        <v>1490</v>
      </c>
      <c r="K1458" t="s">
        <v>24</v>
      </c>
      <c r="L1458" s="4">
        <v>221.17562100000001</v>
      </c>
      <c r="M1458" t="s">
        <v>1063</v>
      </c>
      <c r="N1458" t="s">
        <v>26</v>
      </c>
      <c r="O1458" s="4">
        <v>120</v>
      </c>
      <c r="P1458">
        <v>0</v>
      </c>
      <c r="Q1458" s="4">
        <v>120</v>
      </c>
      <c r="R1458" s="12">
        <f t="shared" si="22"/>
        <v>26541.074520000002</v>
      </c>
      <c r="T1458" t="s">
        <v>151</v>
      </c>
      <c r="U1458" t="s">
        <v>1061</v>
      </c>
      <c r="V1458" s="4">
        <v>221.17562100000001</v>
      </c>
      <c r="W1458">
        <v>0</v>
      </c>
    </row>
    <row r="1459" spans="1:23" hidden="1" x14ac:dyDescent="0.25">
      <c r="A1459" s="2">
        <v>45727.659803240742</v>
      </c>
      <c r="B1459">
        <v>3737</v>
      </c>
      <c r="C1459" t="s">
        <v>1059</v>
      </c>
      <c r="D1459" s="3">
        <v>45896</v>
      </c>
      <c r="E1459" s="3">
        <v>46111</v>
      </c>
      <c r="F1459" t="s">
        <v>21</v>
      </c>
      <c r="G1459" t="s">
        <v>1493</v>
      </c>
      <c r="H1459" t="s">
        <v>22</v>
      </c>
      <c r="I1459" t="s">
        <v>63</v>
      </c>
      <c r="J1459" t="s">
        <v>1491</v>
      </c>
      <c r="K1459" t="s">
        <v>31</v>
      </c>
      <c r="L1459" s="4">
        <v>177.90213</v>
      </c>
      <c r="M1459" t="s">
        <v>1063</v>
      </c>
      <c r="N1459" t="s">
        <v>26</v>
      </c>
      <c r="O1459" s="4">
        <v>122</v>
      </c>
      <c r="P1459">
        <v>0</v>
      </c>
      <c r="Q1459" s="4">
        <v>122</v>
      </c>
      <c r="R1459" s="12">
        <f t="shared" si="22"/>
        <v>21704.059860000001</v>
      </c>
      <c r="T1459" t="s">
        <v>151</v>
      </c>
      <c r="U1459" t="s">
        <v>1061</v>
      </c>
      <c r="V1459" s="4">
        <v>177.90213</v>
      </c>
      <c r="W1459">
        <v>0</v>
      </c>
    </row>
    <row r="1460" spans="1:23" hidden="1" x14ac:dyDescent="0.25">
      <c r="A1460" s="2">
        <v>45915.447847222225</v>
      </c>
      <c r="B1460">
        <v>4040</v>
      </c>
      <c r="C1460" t="s">
        <v>1059</v>
      </c>
      <c r="D1460" s="3">
        <v>45915</v>
      </c>
      <c r="E1460" s="3">
        <v>46111</v>
      </c>
      <c r="F1460" t="s">
        <v>21</v>
      </c>
      <c r="G1460" t="s">
        <v>1493</v>
      </c>
      <c r="H1460" t="s">
        <v>22</v>
      </c>
      <c r="I1460" t="s">
        <v>44</v>
      </c>
      <c r="J1460" t="s">
        <v>1491</v>
      </c>
      <c r="K1460" t="s">
        <v>31</v>
      </c>
      <c r="L1460" s="4">
        <v>388</v>
      </c>
      <c r="M1460" t="s">
        <v>1064</v>
      </c>
      <c r="N1460" t="s">
        <v>26</v>
      </c>
      <c r="O1460" s="4">
        <v>38</v>
      </c>
      <c r="P1460">
        <v>0</v>
      </c>
      <c r="Q1460" s="4">
        <v>38</v>
      </c>
      <c r="R1460" s="12">
        <f t="shared" si="22"/>
        <v>14744</v>
      </c>
      <c r="T1460" t="s">
        <v>151</v>
      </c>
      <c r="U1460" t="s">
        <v>1061</v>
      </c>
      <c r="V1460" s="4">
        <v>388</v>
      </c>
      <c r="W1460">
        <v>0</v>
      </c>
    </row>
    <row r="1461" spans="1:23" hidden="1" x14ac:dyDescent="0.25">
      <c r="A1461" s="2">
        <v>45934.326284722221</v>
      </c>
      <c r="B1461">
        <v>4125</v>
      </c>
      <c r="C1461" t="s">
        <v>1059</v>
      </c>
      <c r="D1461" s="3">
        <v>45934</v>
      </c>
      <c r="E1461" s="3">
        <v>46111</v>
      </c>
      <c r="F1461" t="s">
        <v>21</v>
      </c>
      <c r="H1461" t="s">
        <v>22</v>
      </c>
      <c r="I1461" t="s">
        <v>173</v>
      </c>
      <c r="K1461" t="s">
        <v>24</v>
      </c>
      <c r="L1461" s="4">
        <v>27</v>
      </c>
      <c r="M1461" t="s">
        <v>1065</v>
      </c>
      <c r="N1461" t="s">
        <v>26</v>
      </c>
      <c r="O1461" s="4">
        <v>200</v>
      </c>
      <c r="P1461">
        <v>0</v>
      </c>
      <c r="Q1461" s="4">
        <v>200</v>
      </c>
      <c r="R1461" s="12">
        <f t="shared" si="22"/>
        <v>5400</v>
      </c>
      <c r="T1461" t="s">
        <v>151</v>
      </c>
      <c r="U1461" t="s">
        <v>1061</v>
      </c>
      <c r="V1461" s="4">
        <v>27</v>
      </c>
      <c r="W1461">
        <v>0</v>
      </c>
    </row>
    <row r="1462" spans="1:23" hidden="1" x14ac:dyDescent="0.25">
      <c r="A1462" s="2">
        <v>45940.383946759262</v>
      </c>
      <c r="B1462">
        <v>4143</v>
      </c>
      <c r="C1462" t="s">
        <v>1059</v>
      </c>
      <c r="D1462" s="3">
        <v>45940</v>
      </c>
      <c r="E1462" s="3">
        <v>46111</v>
      </c>
      <c r="F1462" t="s">
        <v>21</v>
      </c>
      <c r="G1462" t="s">
        <v>1493</v>
      </c>
      <c r="H1462" t="s">
        <v>22</v>
      </c>
      <c r="I1462" t="s">
        <v>44</v>
      </c>
      <c r="J1462" t="s">
        <v>1491</v>
      </c>
      <c r="K1462" t="s">
        <v>31</v>
      </c>
      <c r="L1462" s="4">
        <v>388</v>
      </c>
      <c r="M1462" t="s">
        <v>1066</v>
      </c>
      <c r="N1462" t="s">
        <v>26</v>
      </c>
      <c r="O1462" s="4">
        <v>7</v>
      </c>
      <c r="P1462">
        <v>0</v>
      </c>
      <c r="Q1462" s="4">
        <v>7</v>
      </c>
      <c r="R1462" s="12">
        <f t="shared" si="22"/>
        <v>2716</v>
      </c>
      <c r="T1462" t="s">
        <v>151</v>
      </c>
      <c r="U1462" t="s">
        <v>1061</v>
      </c>
      <c r="V1462" s="4">
        <v>388</v>
      </c>
      <c r="W1462">
        <v>0</v>
      </c>
    </row>
    <row r="1463" spans="1:23" hidden="1" x14ac:dyDescent="0.25">
      <c r="A1463" s="2">
        <v>45948.453252314815</v>
      </c>
      <c r="B1463">
        <v>4177</v>
      </c>
      <c r="C1463" t="s">
        <v>1059</v>
      </c>
      <c r="D1463" s="3">
        <v>45948</v>
      </c>
      <c r="E1463" s="3">
        <v>46111</v>
      </c>
      <c r="F1463" t="s">
        <v>21</v>
      </c>
      <c r="H1463" t="s">
        <v>22</v>
      </c>
      <c r="I1463" t="s">
        <v>32</v>
      </c>
      <c r="J1463" t="s">
        <v>1490</v>
      </c>
      <c r="K1463" t="s">
        <v>24</v>
      </c>
      <c r="L1463" s="4">
        <v>23.57</v>
      </c>
      <c r="M1463" t="s">
        <v>1067</v>
      </c>
      <c r="N1463" t="s">
        <v>26</v>
      </c>
      <c r="O1463" s="4">
        <v>200</v>
      </c>
      <c r="P1463">
        <v>0</v>
      </c>
      <c r="Q1463" s="4">
        <v>200</v>
      </c>
      <c r="R1463" s="12">
        <f t="shared" si="22"/>
        <v>4714</v>
      </c>
      <c r="T1463" t="s">
        <v>151</v>
      </c>
      <c r="U1463" t="s">
        <v>1061</v>
      </c>
      <c r="V1463" s="4">
        <v>23.57</v>
      </c>
      <c r="W1463">
        <v>0</v>
      </c>
    </row>
    <row r="1464" spans="1:23" hidden="1" x14ac:dyDescent="0.25">
      <c r="A1464" s="2">
        <v>45959.415983796294</v>
      </c>
      <c r="B1464">
        <v>4220</v>
      </c>
      <c r="C1464" t="s">
        <v>1059</v>
      </c>
      <c r="D1464" s="3">
        <v>45959</v>
      </c>
      <c r="E1464" s="3">
        <v>46111</v>
      </c>
      <c r="F1464" t="s">
        <v>21</v>
      </c>
      <c r="H1464" t="s">
        <v>22</v>
      </c>
      <c r="I1464" t="s">
        <v>29</v>
      </c>
      <c r="J1464" t="s">
        <v>1490</v>
      </c>
      <c r="K1464" t="s">
        <v>24</v>
      </c>
      <c r="L1464" s="4">
        <v>164.18</v>
      </c>
      <c r="M1464" t="s">
        <v>1068</v>
      </c>
      <c r="N1464" t="s">
        <v>26</v>
      </c>
      <c r="O1464" s="4">
        <v>20</v>
      </c>
      <c r="P1464">
        <v>0</v>
      </c>
      <c r="Q1464" s="4">
        <v>20</v>
      </c>
      <c r="R1464" s="12">
        <f t="shared" si="22"/>
        <v>3283.6000000000004</v>
      </c>
      <c r="T1464" t="s">
        <v>151</v>
      </c>
      <c r="U1464" t="s">
        <v>1061</v>
      </c>
      <c r="V1464" s="4">
        <v>164.18</v>
      </c>
      <c r="W1464">
        <v>0</v>
      </c>
    </row>
    <row r="1465" spans="1:23" hidden="1" x14ac:dyDescent="0.25">
      <c r="A1465" s="2">
        <v>45959.415983796294</v>
      </c>
      <c r="B1465">
        <v>4220</v>
      </c>
      <c r="C1465" t="s">
        <v>1059</v>
      </c>
      <c r="D1465" s="3">
        <v>45959</v>
      </c>
      <c r="E1465" s="3">
        <v>46111</v>
      </c>
      <c r="F1465" t="s">
        <v>21</v>
      </c>
      <c r="H1465" t="s">
        <v>22</v>
      </c>
      <c r="I1465" t="s">
        <v>30</v>
      </c>
      <c r="J1465" t="s">
        <v>1490</v>
      </c>
      <c r="K1465" t="s">
        <v>31</v>
      </c>
      <c r="L1465" s="4">
        <v>20.63</v>
      </c>
      <c r="M1465" t="s">
        <v>1068</v>
      </c>
      <c r="N1465" t="s">
        <v>26</v>
      </c>
      <c r="O1465" s="4">
        <v>100</v>
      </c>
      <c r="P1465">
        <v>0</v>
      </c>
      <c r="Q1465" s="4">
        <v>100</v>
      </c>
      <c r="R1465" s="12">
        <f t="shared" si="22"/>
        <v>2063</v>
      </c>
      <c r="T1465" t="s">
        <v>151</v>
      </c>
      <c r="U1465" t="s">
        <v>1061</v>
      </c>
      <c r="V1465" s="4">
        <v>20.63</v>
      </c>
      <c r="W1465">
        <v>0</v>
      </c>
    </row>
    <row r="1466" spans="1:23" hidden="1" x14ac:dyDescent="0.25">
      <c r="A1466" s="2">
        <v>45964.565995370373</v>
      </c>
      <c r="B1466">
        <v>4232</v>
      </c>
      <c r="C1466" t="s">
        <v>1059</v>
      </c>
      <c r="D1466" s="3">
        <v>45964</v>
      </c>
      <c r="E1466" s="3">
        <v>46111</v>
      </c>
      <c r="F1466" t="s">
        <v>21</v>
      </c>
      <c r="H1466" t="s">
        <v>22</v>
      </c>
      <c r="I1466" t="s">
        <v>32</v>
      </c>
      <c r="J1466" t="s">
        <v>1490</v>
      </c>
      <c r="K1466" t="s">
        <v>24</v>
      </c>
      <c r="L1466" s="4">
        <v>23.57</v>
      </c>
      <c r="M1466" t="s">
        <v>1069</v>
      </c>
      <c r="N1466" t="s">
        <v>26</v>
      </c>
      <c r="O1466" s="4">
        <v>300</v>
      </c>
      <c r="P1466">
        <v>0</v>
      </c>
      <c r="Q1466" s="4">
        <v>300</v>
      </c>
      <c r="R1466" s="12">
        <f t="shared" si="22"/>
        <v>7071</v>
      </c>
      <c r="T1466" t="s">
        <v>151</v>
      </c>
      <c r="U1466" t="s">
        <v>1061</v>
      </c>
      <c r="V1466" s="4">
        <v>23.57</v>
      </c>
      <c r="W1466">
        <v>0</v>
      </c>
    </row>
    <row r="1467" spans="1:23" hidden="1" x14ac:dyDescent="0.25">
      <c r="A1467" s="2">
        <v>45975.37159722222</v>
      </c>
      <c r="B1467">
        <v>4269</v>
      </c>
      <c r="C1467" t="s">
        <v>1059</v>
      </c>
      <c r="D1467" s="3">
        <v>45975</v>
      </c>
      <c r="E1467" s="3">
        <v>46111</v>
      </c>
      <c r="F1467" t="s">
        <v>21</v>
      </c>
      <c r="H1467" t="s">
        <v>22</v>
      </c>
      <c r="I1467" t="s">
        <v>30</v>
      </c>
      <c r="J1467" t="s">
        <v>1490</v>
      </c>
      <c r="K1467" t="s">
        <v>31</v>
      </c>
      <c r="L1467" s="4">
        <v>20.63</v>
      </c>
      <c r="M1467" t="s">
        <v>1070</v>
      </c>
      <c r="N1467" t="s">
        <v>26</v>
      </c>
      <c r="O1467" s="4">
        <v>500</v>
      </c>
      <c r="P1467">
        <v>0</v>
      </c>
      <c r="Q1467" s="4">
        <v>500</v>
      </c>
      <c r="R1467" s="12">
        <f t="shared" si="22"/>
        <v>10315</v>
      </c>
      <c r="T1467" t="s">
        <v>151</v>
      </c>
      <c r="U1467" t="s">
        <v>1061</v>
      </c>
      <c r="V1467" s="4">
        <v>20.63</v>
      </c>
      <c r="W1467">
        <v>0</v>
      </c>
    </row>
    <row r="1468" spans="1:23" hidden="1" x14ac:dyDescent="0.25">
      <c r="A1468" s="2">
        <v>45975.37159722222</v>
      </c>
      <c r="B1468">
        <v>4269</v>
      </c>
      <c r="C1468" t="s">
        <v>1059</v>
      </c>
      <c r="D1468" s="3">
        <v>45975</v>
      </c>
      <c r="E1468" s="3">
        <v>46111</v>
      </c>
      <c r="F1468" t="s">
        <v>21</v>
      </c>
      <c r="H1468" t="s">
        <v>22</v>
      </c>
      <c r="I1468" t="s">
        <v>29</v>
      </c>
      <c r="J1468" t="s">
        <v>1490</v>
      </c>
      <c r="K1468" t="s">
        <v>24</v>
      </c>
      <c r="L1468" s="4">
        <v>164.18</v>
      </c>
      <c r="M1468" t="s">
        <v>1070</v>
      </c>
      <c r="N1468" t="s">
        <v>26</v>
      </c>
      <c r="O1468" s="4">
        <v>60</v>
      </c>
      <c r="P1468">
        <v>0</v>
      </c>
      <c r="Q1468" s="4">
        <v>60</v>
      </c>
      <c r="R1468" s="12">
        <f t="shared" si="22"/>
        <v>9850.8000000000011</v>
      </c>
      <c r="T1468" t="s">
        <v>151</v>
      </c>
      <c r="U1468" t="s">
        <v>1061</v>
      </c>
      <c r="V1468" s="4">
        <v>164.18</v>
      </c>
      <c r="W1468">
        <v>0</v>
      </c>
    </row>
    <row r="1469" spans="1:23" hidden="1" x14ac:dyDescent="0.25">
      <c r="A1469" s="2">
        <v>45975.37159722222</v>
      </c>
      <c r="B1469">
        <v>4269</v>
      </c>
      <c r="C1469" t="s">
        <v>1059</v>
      </c>
      <c r="D1469" s="3">
        <v>45975</v>
      </c>
      <c r="E1469" s="3">
        <v>46111</v>
      </c>
      <c r="F1469" t="s">
        <v>21</v>
      </c>
      <c r="H1469" t="s">
        <v>22</v>
      </c>
      <c r="I1469" t="s">
        <v>32</v>
      </c>
      <c r="J1469" t="s">
        <v>1490</v>
      </c>
      <c r="K1469" t="s">
        <v>24</v>
      </c>
      <c r="L1469" s="4">
        <v>23.57</v>
      </c>
      <c r="M1469" t="s">
        <v>1070</v>
      </c>
      <c r="N1469" t="s">
        <v>26</v>
      </c>
      <c r="O1469" s="4">
        <v>240</v>
      </c>
      <c r="P1469">
        <v>0</v>
      </c>
      <c r="Q1469" s="4">
        <v>240</v>
      </c>
      <c r="R1469" s="12">
        <f t="shared" si="22"/>
        <v>5656.8</v>
      </c>
      <c r="T1469" t="s">
        <v>151</v>
      </c>
      <c r="U1469" t="s">
        <v>1061</v>
      </c>
      <c r="V1469" s="4">
        <v>23.57</v>
      </c>
      <c r="W1469">
        <v>0</v>
      </c>
    </row>
    <row r="1470" spans="1:23" hidden="1" x14ac:dyDescent="0.25">
      <c r="A1470" s="2">
        <v>46028.727881944447</v>
      </c>
      <c r="B1470">
        <v>4412</v>
      </c>
      <c r="C1470" t="s">
        <v>1059</v>
      </c>
      <c r="D1470" s="3">
        <v>46028</v>
      </c>
      <c r="E1470" s="3">
        <v>46264</v>
      </c>
      <c r="F1470" t="s">
        <v>21</v>
      </c>
      <c r="H1470" t="s">
        <v>22</v>
      </c>
      <c r="I1470" t="s">
        <v>33</v>
      </c>
      <c r="J1470" t="s">
        <v>1490</v>
      </c>
      <c r="K1470" t="s">
        <v>31</v>
      </c>
      <c r="L1470" s="4">
        <v>24</v>
      </c>
      <c r="M1470" t="s">
        <v>1071</v>
      </c>
      <c r="N1470" t="s">
        <v>46</v>
      </c>
      <c r="O1470" s="4">
        <v>600</v>
      </c>
      <c r="P1470">
        <v>0</v>
      </c>
      <c r="Q1470" s="4">
        <v>600</v>
      </c>
      <c r="R1470" s="12">
        <f t="shared" si="22"/>
        <v>14400</v>
      </c>
      <c r="T1470" t="s">
        <v>151</v>
      </c>
      <c r="U1470" t="s">
        <v>1061</v>
      </c>
      <c r="V1470" s="4">
        <v>24</v>
      </c>
      <c r="W1470">
        <v>0</v>
      </c>
    </row>
    <row r="1471" spans="1:23" hidden="1" x14ac:dyDescent="0.25">
      <c r="A1471" s="2">
        <v>46035.541898148149</v>
      </c>
      <c r="B1471">
        <v>4438</v>
      </c>
      <c r="C1471" t="s">
        <v>1059</v>
      </c>
      <c r="D1471" s="3">
        <v>46034</v>
      </c>
      <c r="E1471" s="3">
        <v>46264</v>
      </c>
      <c r="F1471" t="s">
        <v>21</v>
      </c>
      <c r="H1471" t="s">
        <v>22</v>
      </c>
      <c r="I1471" t="s">
        <v>37</v>
      </c>
      <c r="J1471" t="s">
        <v>1490</v>
      </c>
      <c r="K1471" t="s">
        <v>31</v>
      </c>
      <c r="L1471" s="4">
        <v>88</v>
      </c>
      <c r="M1471" t="s">
        <v>1072</v>
      </c>
      <c r="N1471" t="s">
        <v>46</v>
      </c>
      <c r="O1471" s="4">
        <v>120</v>
      </c>
      <c r="P1471">
        <v>0</v>
      </c>
      <c r="Q1471" s="4">
        <v>120</v>
      </c>
      <c r="R1471" s="12">
        <f t="shared" si="22"/>
        <v>10560</v>
      </c>
      <c r="T1471" t="s">
        <v>151</v>
      </c>
      <c r="U1471" t="s">
        <v>1061</v>
      </c>
      <c r="V1471" s="4">
        <v>88</v>
      </c>
      <c r="W1471">
        <v>0</v>
      </c>
    </row>
    <row r="1472" spans="1:23" hidden="1" x14ac:dyDescent="0.25">
      <c r="A1472" s="2">
        <v>46036.435428240744</v>
      </c>
      <c r="B1472">
        <v>4446</v>
      </c>
      <c r="C1472" t="s">
        <v>1059</v>
      </c>
      <c r="D1472" s="3">
        <v>46036</v>
      </c>
      <c r="E1472" s="3">
        <v>46264</v>
      </c>
      <c r="F1472" t="s">
        <v>21</v>
      </c>
      <c r="G1472" t="s">
        <v>1493</v>
      </c>
      <c r="H1472" t="s">
        <v>22</v>
      </c>
      <c r="I1472" t="s">
        <v>63</v>
      </c>
      <c r="J1472" t="s">
        <v>1491</v>
      </c>
      <c r="K1472" t="s">
        <v>31</v>
      </c>
      <c r="L1472" s="4">
        <v>180</v>
      </c>
      <c r="M1472" t="s">
        <v>1073</v>
      </c>
      <c r="N1472" t="s">
        <v>46</v>
      </c>
      <c r="O1472" s="4">
        <v>16</v>
      </c>
      <c r="P1472">
        <v>0</v>
      </c>
      <c r="Q1472" s="4">
        <v>16</v>
      </c>
      <c r="R1472" s="12">
        <f t="shared" si="22"/>
        <v>2880</v>
      </c>
      <c r="T1472" t="s">
        <v>151</v>
      </c>
      <c r="U1472" t="s">
        <v>1061</v>
      </c>
      <c r="V1472" s="4">
        <v>180</v>
      </c>
      <c r="W1472">
        <v>0</v>
      </c>
    </row>
    <row r="1473" spans="1:23" hidden="1" x14ac:dyDescent="0.25">
      <c r="A1473" s="2">
        <v>46037.308344907404</v>
      </c>
      <c r="B1473">
        <v>4447</v>
      </c>
      <c r="C1473" t="s">
        <v>1059</v>
      </c>
      <c r="D1473" s="3">
        <v>46037</v>
      </c>
      <c r="E1473" s="3">
        <v>46264</v>
      </c>
      <c r="F1473" t="s">
        <v>21</v>
      </c>
      <c r="H1473" t="s">
        <v>22</v>
      </c>
      <c r="I1473" t="s">
        <v>233</v>
      </c>
      <c r="K1473" t="s">
        <v>31</v>
      </c>
      <c r="L1473" s="4">
        <v>480</v>
      </c>
      <c r="M1473" t="s">
        <v>1074</v>
      </c>
      <c r="N1473" t="s">
        <v>46</v>
      </c>
      <c r="O1473" s="4">
        <v>27</v>
      </c>
      <c r="P1473">
        <v>0</v>
      </c>
      <c r="Q1473" s="4">
        <v>27</v>
      </c>
      <c r="R1473" s="12">
        <f t="shared" si="22"/>
        <v>12960</v>
      </c>
      <c r="T1473" t="s">
        <v>151</v>
      </c>
      <c r="U1473" t="s">
        <v>1061</v>
      </c>
      <c r="V1473" s="4">
        <v>480</v>
      </c>
      <c r="W1473">
        <v>0</v>
      </c>
    </row>
    <row r="1474" spans="1:23" hidden="1" x14ac:dyDescent="0.25">
      <c r="A1474" s="2">
        <v>46041.429976851854</v>
      </c>
      <c r="B1474">
        <v>4461</v>
      </c>
      <c r="C1474" t="s">
        <v>1059</v>
      </c>
      <c r="D1474" s="3">
        <v>46041</v>
      </c>
      <c r="E1474" s="3">
        <v>46264</v>
      </c>
      <c r="F1474" t="s">
        <v>21</v>
      </c>
      <c r="H1474" t="s">
        <v>22</v>
      </c>
      <c r="I1474" t="s">
        <v>672</v>
      </c>
      <c r="K1474" t="s">
        <v>24</v>
      </c>
      <c r="L1474" s="4">
        <v>75</v>
      </c>
      <c r="M1474" t="s">
        <v>1075</v>
      </c>
      <c r="N1474" t="s">
        <v>46</v>
      </c>
      <c r="O1474" s="4">
        <v>10</v>
      </c>
      <c r="P1474">
        <v>0</v>
      </c>
      <c r="Q1474" s="4">
        <v>10</v>
      </c>
      <c r="R1474" s="12">
        <f t="shared" si="22"/>
        <v>750</v>
      </c>
      <c r="T1474" t="s">
        <v>151</v>
      </c>
      <c r="U1474" t="s">
        <v>1061</v>
      </c>
      <c r="V1474" s="4">
        <v>75</v>
      </c>
      <c r="W1474">
        <v>0</v>
      </c>
    </row>
    <row r="1475" spans="1:23" hidden="1" x14ac:dyDescent="0.25">
      <c r="A1475" s="2">
        <v>46041.429976851854</v>
      </c>
      <c r="B1475">
        <v>4461</v>
      </c>
      <c r="C1475" t="s">
        <v>1059</v>
      </c>
      <c r="D1475" s="3">
        <v>46041</v>
      </c>
      <c r="E1475" s="3">
        <v>46264</v>
      </c>
      <c r="F1475" t="s">
        <v>21</v>
      </c>
      <c r="H1475" t="s">
        <v>22</v>
      </c>
      <c r="I1475" t="s">
        <v>57</v>
      </c>
      <c r="K1475" t="s">
        <v>31</v>
      </c>
      <c r="L1475" s="4">
        <v>75</v>
      </c>
      <c r="M1475" t="s">
        <v>1075</v>
      </c>
      <c r="N1475" t="s">
        <v>46</v>
      </c>
      <c r="O1475" s="4">
        <v>6</v>
      </c>
      <c r="P1475">
        <v>0</v>
      </c>
      <c r="Q1475" s="4">
        <v>6</v>
      </c>
      <c r="R1475" s="12">
        <f t="shared" ref="R1475:R1538" si="23">Q1475*L1475</f>
        <v>450</v>
      </c>
      <c r="T1475" t="s">
        <v>151</v>
      </c>
      <c r="U1475" t="s">
        <v>1061</v>
      </c>
      <c r="V1475" s="4">
        <v>75</v>
      </c>
      <c r="W1475">
        <v>0</v>
      </c>
    </row>
    <row r="1476" spans="1:23" hidden="1" x14ac:dyDescent="0.25">
      <c r="A1476" s="2">
        <v>46049.405393518522</v>
      </c>
      <c r="B1476">
        <v>4495</v>
      </c>
      <c r="C1476" t="s">
        <v>1059</v>
      </c>
      <c r="D1476" s="3">
        <v>46049</v>
      </c>
      <c r="E1476" s="3">
        <v>46264</v>
      </c>
      <c r="F1476" t="s">
        <v>21</v>
      </c>
      <c r="H1476" t="s">
        <v>22</v>
      </c>
      <c r="I1476" t="s">
        <v>29</v>
      </c>
      <c r="J1476" t="s">
        <v>1490</v>
      </c>
      <c r="K1476" t="s">
        <v>24</v>
      </c>
      <c r="L1476" s="4">
        <v>157</v>
      </c>
      <c r="M1476" t="s">
        <v>1076</v>
      </c>
      <c r="N1476" t="s">
        <v>46</v>
      </c>
      <c r="O1476" s="4">
        <v>100</v>
      </c>
      <c r="P1476">
        <v>0</v>
      </c>
      <c r="Q1476" s="4">
        <v>100</v>
      </c>
      <c r="R1476" s="12">
        <f t="shared" si="23"/>
        <v>15700</v>
      </c>
      <c r="T1476" t="s">
        <v>151</v>
      </c>
      <c r="U1476" t="s">
        <v>1061</v>
      </c>
      <c r="V1476" s="4">
        <v>157</v>
      </c>
      <c r="W1476">
        <v>0</v>
      </c>
    </row>
    <row r="1477" spans="1:23" hidden="1" x14ac:dyDescent="0.25">
      <c r="A1477" s="2">
        <v>46058.380231481482</v>
      </c>
      <c r="B1477">
        <v>4530</v>
      </c>
      <c r="C1477" t="s">
        <v>1059</v>
      </c>
      <c r="D1477" s="3">
        <v>46058</v>
      </c>
      <c r="E1477" s="3">
        <v>46264</v>
      </c>
      <c r="F1477" t="s">
        <v>21</v>
      </c>
      <c r="G1477" t="s">
        <v>1493</v>
      </c>
      <c r="H1477" t="s">
        <v>22</v>
      </c>
      <c r="I1477" t="s">
        <v>63</v>
      </c>
      <c r="J1477" t="s">
        <v>1491</v>
      </c>
      <c r="K1477" t="s">
        <v>31</v>
      </c>
      <c r="L1477" s="4">
        <v>180</v>
      </c>
      <c r="M1477" t="s">
        <v>1077</v>
      </c>
      <c r="N1477" t="s">
        <v>46</v>
      </c>
      <c r="O1477" s="4">
        <v>4</v>
      </c>
      <c r="P1477">
        <v>0</v>
      </c>
      <c r="Q1477" s="4">
        <v>4</v>
      </c>
      <c r="R1477" s="12">
        <f t="shared" si="23"/>
        <v>720</v>
      </c>
      <c r="T1477" t="s">
        <v>151</v>
      </c>
      <c r="U1477" t="s">
        <v>1061</v>
      </c>
      <c r="V1477" s="4">
        <v>180</v>
      </c>
      <c r="W1477">
        <v>0</v>
      </c>
    </row>
    <row r="1478" spans="1:23" hidden="1" x14ac:dyDescent="0.25">
      <c r="A1478" s="2">
        <v>46058.380231481482</v>
      </c>
      <c r="B1478">
        <v>4530</v>
      </c>
      <c r="C1478" t="s">
        <v>1059</v>
      </c>
      <c r="D1478" s="3">
        <v>46058</v>
      </c>
      <c r="E1478" s="3">
        <v>46264</v>
      </c>
      <c r="F1478" t="s">
        <v>21</v>
      </c>
      <c r="G1478" t="s">
        <v>1493</v>
      </c>
      <c r="H1478" t="s">
        <v>22</v>
      </c>
      <c r="I1478" t="s">
        <v>38</v>
      </c>
      <c r="J1478" t="s">
        <v>1491</v>
      </c>
      <c r="K1478" t="s">
        <v>24</v>
      </c>
      <c r="L1478" s="4">
        <v>48</v>
      </c>
      <c r="M1478" t="s">
        <v>1077</v>
      </c>
      <c r="N1478" t="s">
        <v>46</v>
      </c>
      <c r="O1478" s="4">
        <v>6</v>
      </c>
      <c r="P1478">
        <v>0</v>
      </c>
      <c r="Q1478" s="4">
        <v>6</v>
      </c>
      <c r="R1478" s="12">
        <f t="shared" si="23"/>
        <v>288</v>
      </c>
      <c r="T1478" t="s">
        <v>151</v>
      </c>
      <c r="U1478" t="s">
        <v>1061</v>
      </c>
      <c r="V1478" s="4">
        <v>48</v>
      </c>
      <c r="W1478">
        <v>0</v>
      </c>
    </row>
    <row r="1479" spans="1:23" hidden="1" x14ac:dyDescent="0.25">
      <c r="A1479" s="2">
        <v>46079.401412037034</v>
      </c>
      <c r="B1479">
        <v>565</v>
      </c>
      <c r="C1479" t="s">
        <v>1078</v>
      </c>
      <c r="D1479" s="3">
        <v>46079</v>
      </c>
      <c r="E1479" s="3">
        <v>46080</v>
      </c>
      <c r="F1479" t="s">
        <v>332</v>
      </c>
      <c r="H1479" t="s">
        <v>484</v>
      </c>
      <c r="I1479" t="s">
        <v>80</v>
      </c>
      <c r="K1479" t="s">
        <v>31</v>
      </c>
      <c r="L1479" s="4">
        <v>46</v>
      </c>
      <c r="M1479" t="s">
        <v>1079</v>
      </c>
      <c r="N1479" t="s">
        <v>46</v>
      </c>
      <c r="O1479" s="4">
        <v>150</v>
      </c>
      <c r="P1479">
        <v>0</v>
      </c>
      <c r="Q1479" s="4">
        <v>150</v>
      </c>
      <c r="R1479" s="12">
        <f t="shared" si="23"/>
        <v>6900</v>
      </c>
      <c r="T1479" t="s">
        <v>668</v>
      </c>
      <c r="U1479" t="s">
        <v>1080</v>
      </c>
      <c r="V1479" s="4">
        <v>46</v>
      </c>
      <c r="W1479">
        <v>0</v>
      </c>
    </row>
    <row r="1480" spans="1:23" hidden="1" x14ac:dyDescent="0.25">
      <c r="A1480" s="2">
        <v>46010.442094907405</v>
      </c>
      <c r="B1480">
        <v>4370</v>
      </c>
      <c r="C1480" t="s">
        <v>1081</v>
      </c>
      <c r="D1480" s="3">
        <v>46010</v>
      </c>
      <c r="E1480" s="3">
        <v>46111</v>
      </c>
      <c r="F1480" t="s">
        <v>247</v>
      </c>
      <c r="H1480" t="s">
        <v>22</v>
      </c>
      <c r="I1480" t="s">
        <v>107</v>
      </c>
      <c r="K1480" t="s">
        <v>31</v>
      </c>
      <c r="L1480" s="4">
        <v>2460</v>
      </c>
      <c r="M1480" t="s">
        <v>1082</v>
      </c>
      <c r="N1480" t="s">
        <v>26</v>
      </c>
      <c r="O1480" s="4">
        <v>5</v>
      </c>
      <c r="P1480">
        <v>0</v>
      </c>
      <c r="Q1480" s="4">
        <v>5</v>
      </c>
      <c r="R1480" s="12">
        <f t="shared" si="23"/>
        <v>12300</v>
      </c>
      <c r="T1480" t="s">
        <v>117</v>
      </c>
      <c r="U1480" t="s">
        <v>1083</v>
      </c>
      <c r="V1480" s="4">
        <v>2460</v>
      </c>
      <c r="W1480">
        <v>0</v>
      </c>
    </row>
    <row r="1481" spans="1:23" hidden="1" x14ac:dyDescent="0.25">
      <c r="A1481" s="2">
        <v>46014.323379629626</v>
      </c>
      <c r="B1481">
        <v>4376</v>
      </c>
      <c r="C1481" t="s">
        <v>1081</v>
      </c>
      <c r="D1481" s="3">
        <v>46014</v>
      </c>
      <c r="E1481" s="3">
        <v>46111</v>
      </c>
      <c r="F1481" t="s">
        <v>247</v>
      </c>
      <c r="H1481" t="s">
        <v>22</v>
      </c>
      <c r="I1481" t="s">
        <v>181</v>
      </c>
      <c r="J1481" t="s">
        <v>1490</v>
      </c>
      <c r="K1481" t="s">
        <v>24</v>
      </c>
      <c r="L1481" s="4">
        <v>65</v>
      </c>
      <c r="M1481" t="s">
        <v>1084</v>
      </c>
      <c r="N1481" t="s">
        <v>26</v>
      </c>
      <c r="O1481" s="4">
        <v>60</v>
      </c>
      <c r="P1481">
        <v>0</v>
      </c>
      <c r="Q1481" s="4">
        <v>60</v>
      </c>
      <c r="R1481" s="12">
        <f t="shared" si="23"/>
        <v>3900</v>
      </c>
      <c r="T1481" t="s">
        <v>117</v>
      </c>
      <c r="U1481" t="s">
        <v>1083</v>
      </c>
      <c r="V1481" s="4">
        <v>65</v>
      </c>
      <c r="W1481">
        <v>0</v>
      </c>
    </row>
    <row r="1482" spans="1:23" hidden="1" x14ac:dyDescent="0.25">
      <c r="A1482" s="2">
        <v>45904.445833333331</v>
      </c>
      <c r="B1482">
        <v>282</v>
      </c>
      <c r="C1482" t="s">
        <v>1085</v>
      </c>
      <c r="D1482" s="3">
        <v>45904</v>
      </c>
      <c r="E1482" s="3">
        <v>45960</v>
      </c>
      <c r="F1482" t="s">
        <v>418</v>
      </c>
      <c r="H1482" t="s">
        <v>22</v>
      </c>
      <c r="I1482" t="s">
        <v>1086</v>
      </c>
      <c r="K1482" t="s">
        <v>546</v>
      </c>
      <c r="L1482" s="4">
        <v>683.85</v>
      </c>
      <c r="M1482" t="s">
        <v>1087</v>
      </c>
      <c r="N1482" t="s">
        <v>46</v>
      </c>
      <c r="O1482" s="4">
        <v>250</v>
      </c>
      <c r="P1482">
        <v>0</v>
      </c>
      <c r="Q1482" s="4">
        <v>250</v>
      </c>
      <c r="R1482" s="12">
        <f t="shared" si="23"/>
        <v>170962.5</v>
      </c>
      <c r="T1482" t="s">
        <v>125</v>
      </c>
      <c r="U1482" t="s">
        <v>1088</v>
      </c>
      <c r="V1482" s="4">
        <v>683.85</v>
      </c>
      <c r="W1482">
        <v>0</v>
      </c>
    </row>
    <row r="1483" spans="1:23" hidden="1" x14ac:dyDescent="0.25">
      <c r="A1483" s="2">
        <v>45905.631979166668</v>
      </c>
      <c r="B1483">
        <v>287</v>
      </c>
      <c r="C1483" t="s">
        <v>1085</v>
      </c>
      <c r="D1483" s="3">
        <v>45905</v>
      </c>
      <c r="E1483" s="3">
        <v>45960</v>
      </c>
      <c r="F1483" t="s">
        <v>418</v>
      </c>
      <c r="G1483" t="s">
        <v>1494</v>
      </c>
      <c r="H1483" t="s">
        <v>22</v>
      </c>
      <c r="I1483" t="s">
        <v>44</v>
      </c>
      <c r="J1483" t="s">
        <v>1491</v>
      </c>
      <c r="K1483" t="s">
        <v>31</v>
      </c>
      <c r="L1483" s="4">
        <v>342</v>
      </c>
      <c r="M1483" t="s">
        <v>1089</v>
      </c>
      <c r="N1483" t="s">
        <v>26</v>
      </c>
      <c r="O1483" s="4">
        <v>25</v>
      </c>
      <c r="P1483">
        <v>0</v>
      </c>
      <c r="Q1483" s="4">
        <v>25</v>
      </c>
      <c r="R1483" s="12">
        <f t="shared" si="23"/>
        <v>8550</v>
      </c>
      <c r="T1483" t="s">
        <v>125</v>
      </c>
      <c r="U1483" t="s">
        <v>1088</v>
      </c>
      <c r="V1483" s="4">
        <v>342</v>
      </c>
      <c r="W1483">
        <v>0</v>
      </c>
    </row>
    <row r="1484" spans="1:23" hidden="1" x14ac:dyDescent="0.25">
      <c r="A1484" s="2">
        <v>45987.357638888891</v>
      </c>
      <c r="B1484">
        <v>4302</v>
      </c>
      <c r="C1484" t="s">
        <v>1090</v>
      </c>
      <c r="D1484" s="3">
        <v>45982</v>
      </c>
      <c r="E1484" s="3">
        <v>45988</v>
      </c>
      <c r="F1484" t="s">
        <v>143</v>
      </c>
      <c r="H1484" t="s">
        <v>22</v>
      </c>
      <c r="I1484" t="s">
        <v>80</v>
      </c>
      <c r="K1484" t="s">
        <v>31</v>
      </c>
      <c r="L1484" s="4">
        <v>45</v>
      </c>
      <c r="M1484" t="s">
        <v>1091</v>
      </c>
      <c r="N1484" t="s">
        <v>26</v>
      </c>
      <c r="O1484" s="4">
        <v>150</v>
      </c>
      <c r="P1484">
        <v>0</v>
      </c>
      <c r="Q1484" s="4">
        <v>150</v>
      </c>
      <c r="R1484" s="12">
        <f t="shared" si="23"/>
        <v>6750</v>
      </c>
      <c r="T1484" t="s">
        <v>364</v>
      </c>
      <c r="U1484" t="s">
        <v>1092</v>
      </c>
      <c r="V1484" s="4">
        <v>45</v>
      </c>
      <c r="W1484">
        <v>0</v>
      </c>
    </row>
    <row r="1485" spans="1:23" x14ac:dyDescent="0.25">
      <c r="A1485" s="2">
        <v>45874.311041666668</v>
      </c>
      <c r="B1485">
        <v>3967</v>
      </c>
      <c r="C1485" t="s">
        <v>1093</v>
      </c>
      <c r="D1485" s="3">
        <v>45873</v>
      </c>
      <c r="E1485" s="3">
        <v>46142</v>
      </c>
      <c r="F1485" t="s">
        <v>98</v>
      </c>
      <c r="H1485" t="s">
        <v>22</v>
      </c>
      <c r="I1485" t="s">
        <v>677</v>
      </c>
      <c r="K1485" t="s">
        <v>105</v>
      </c>
      <c r="L1485" s="4">
        <v>1380</v>
      </c>
      <c r="M1485" t="s">
        <v>1094</v>
      </c>
      <c r="N1485" t="s">
        <v>26</v>
      </c>
      <c r="O1485" s="4">
        <v>50</v>
      </c>
      <c r="P1485">
        <v>0</v>
      </c>
      <c r="Q1485" s="4">
        <v>50</v>
      </c>
      <c r="R1485" s="12">
        <f t="shared" si="23"/>
        <v>69000</v>
      </c>
      <c r="T1485" t="s">
        <v>151</v>
      </c>
      <c r="U1485" t="s">
        <v>1095</v>
      </c>
      <c r="V1485" s="4">
        <v>1380</v>
      </c>
      <c r="W1485">
        <v>0</v>
      </c>
    </row>
    <row r="1486" spans="1:23" x14ac:dyDescent="0.25">
      <c r="A1486" s="2">
        <v>45923.451979166668</v>
      </c>
      <c r="B1486">
        <v>4067</v>
      </c>
      <c r="C1486" t="s">
        <v>1093</v>
      </c>
      <c r="D1486" s="3">
        <v>45923</v>
      </c>
      <c r="E1486" s="3">
        <v>46142</v>
      </c>
      <c r="F1486" t="s">
        <v>98</v>
      </c>
      <c r="G1486" t="s">
        <v>1493</v>
      </c>
      <c r="H1486" t="s">
        <v>22</v>
      </c>
      <c r="I1486" t="s">
        <v>38</v>
      </c>
      <c r="J1486" t="s">
        <v>1491</v>
      </c>
      <c r="K1486" t="s">
        <v>24</v>
      </c>
      <c r="L1486" s="4">
        <v>46</v>
      </c>
      <c r="M1486" t="s">
        <v>1096</v>
      </c>
      <c r="N1486" t="s">
        <v>26</v>
      </c>
      <c r="O1486" s="4">
        <v>60</v>
      </c>
      <c r="P1486">
        <v>0</v>
      </c>
      <c r="Q1486" s="4">
        <v>60</v>
      </c>
      <c r="R1486" s="12">
        <f t="shared" si="23"/>
        <v>2760</v>
      </c>
      <c r="T1486" t="s">
        <v>151</v>
      </c>
      <c r="U1486" t="s">
        <v>1095</v>
      </c>
      <c r="V1486" s="4">
        <v>46</v>
      </c>
      <c r="W1486">
        <v>0</v>
      </c>
    </row>
    <row r="1487" spans="1:23" x14ac:dyDescent="0.25">
      <c r="A1487" s="2">
        <v>45923.451979166668</v>
      </c>
      <c r="B1487">
        <v>4067</v>
      </c>
      <c r="C1487" t="s">
        <v>1093</v>
      </c>
      <c r="D1487" s="3">
        <v>45923</v>
      </c>
      <c r="E1487" s="3">
        <v>46142</v>
      </c>
      <c r="F1487" t="s">
        <v>98</v>
      </c>
      <c r="G1487" t="s">
        <v>1493</v>
      </c>
      <c r="H1487" t="s">
        <v>22</v>
      </c>
      <c r="I1487" t="s">
        <v>43</v>
      </c>
      <c r="J1487" t="s">
        <v>1491</v>
      </c>
      <c r="K1487" t="s">
        <v>24</v>
      </c>
      <c r="L1487" s="4">
        <v>46</v>
      </c>
      <c r="M1487" t="s">
        <v>1096</v>
      </c>
      <c r="N1487" t="s">
        <v>26</v>
      </c>
      <c r="O1487" s="4">
        <v>117</v>
      </c>
      <c r="P1487">
        <v>0</v>
      </c>
      <c r="Q1487" s="4">
        <v>117</v>
      </c>
      <c r="R1487" s="12">
        <f t="shared" si="23"/>
        <v>5382</v>
      </c>
      <c r="T1487" t="s">
        <v>151</v>
      </c>
      <c r="U1487" t="s">
        <v>1095</v>
      </c>
      <c r="V1487" s="4">
        <v>46</v>
      </c>
      <c r="W1487">
        <v>0</v>
      </c>
    </row>
    <row r="1488" spans="1:23" hidden="1" x14ac:dyDescent="0.25">
      <c r="A1488" s="2">
        <v>46037.435474537036</v>
      </c>
      <c r="B1488">
        <v>4450</v>
      </c>
      <c r="C1488" t="s">
        <v>1093</v>
      </c>
      <c r="D1488" s="3">
        <v>46037</v>
      </c>
      <c r="E1488" s="3">
        <v>46295</v>
      </c>
      <c r="F1488" t="s">
        <v>98</v>
      </c>
      <c r="G1488" t="s">
        <v>1493</v>
      </c>
      <c r="H1488" t="s">
        <v>22</v>
      </c>
      <c r="I1488" t="s">
        <v>38</v>
      </c>
      <c r="J1488" t="s">
        <v>1491</v>
      </c>
      <c r="K1488" t="s">
        <v>24</v>
      </c>
      <c r="L1488" s="4">
        <v>48</v>
      </c>
      <c r="M1488" t="s">
        <v>1097</v>
      </c>
      <c r="N1488" t="s">
        <v>46</v>
      </c>
      <c r="O1488" s="4">
        <v>120</v>
      </c>
      <c r="P1488">
        <v>0</v>
      </c>
      <c r="Q1488" s="4">
        <v>120</v>
      </c>
      <c r="R1488" s="12">
        <f t="shared" si="23"/>
        <v>5760</v>
      </c>
      <c r="T1488" t="s">
        <v>151</v>
      </c>
      <c r="U1488" t="s">
        <v>1095</v>
      </c>
      <c r="V1488" s="4">
        <v>48</v>
      </c>
      <c r="W1488">
        <v>0</v>
      </c>
    </row>
    <row r="1489" spans="1:23" hidden="1" x14ac:dyDescent="0.25">
      <c r="A1489" s="2">
        <v>46037.435474537036</v>
      </c>
      <c r="B1489">
        <v>4450</v>
      </c>
      <c r="C1489" t="s">
        <v>1093</v>
      </c>
      <c r="D1489" s="3">
        <v>46037</v>
      </c>
      <c r="E1489" s="3">
        <v>46295</v>
      </c>
      <c r="F1489" t="s">
        <v>98</v>
      </c>
      <c r="H1489" t="s">
        <v>22</v>
      </c>
      <c r="I1489" t="s">
        <v>335</v>
      </c>
      <c r="K1489" t="s">
        <v>24</v>
      </c>
      <c r="L1489" s="4">
        <v>11.5</v>
      </c>
      <c r="M1489" t="s">
        <v>1097</v>
      </c>
      <c r="N1489" t="s">
        <v>46</v>
      </c>
      <c r="O1489" s="4">
        <v>250</v>
      </c>
      <c r="P1489">
        <v>0</v>
      </c>
      <c r="Q1489" s="4">
        <v>250</v>
      </c>
      <c r="R1489" s="12">
        <f t="shared" si="23"/>
        <v>2875</v>
      </c>
      <c r="T1489" t="s">
        <v>151</v>
      </c>
      <c r="U1489" t="s">
        <v>1095</v>
      </c>
      <c r="V1489" s="4">
        <v>11.5</v>
      </c>
      <c r="W1489">
        <v>0</v>
      </c>
    </row>
    <row r="1490" spans="1:23" hidden="1" x14ac:dyDescent="0.25">
      <c r="A1490" s="2">
        <v>46069.329375000001</v>
      </c>
      <c r="B1490">
        <v>4568</v>
      </c>
      <c r="C1490" t="s">
        <v>1093</v>
      </c>
      <c r="D1490" s="3">
        <v>46069</v>
      </c>
      <c r="E1490" s="3">
        <v>46264</v>
      </c>
      <c r="F1490" t="s">
        <v>98</v>
      </c>
      <c r="H1490" t="s">
        <v>22</v>
      </c>
      <c r="I1490" t="s">
        <v>1098</v>
      </c>
      <c r="K1490" t="s">
        <v>546</v>
      </c>
      <c r="L1490" s="4">
        <v>640</v>
      </c>
      <c r="M1490" t="s">
        <v>1099</v>
      </c>
      <c r="N1490" t="s">
        <v>46</v>
      </c>
      <c r="O1490" s="4">
        <v>68</v>
      </c>
      <c r="P1490">
        <v>0</v>
      </c>
      <c r="Q1490" s="4">
        <v>68</v>
      </c>
      <c r="R1490" s="12">
        <f t="shared" si="23"/>
        <v>43520</v>
      </c>
      <c r="T1490" t="s">
        <v>151</v>
      </c>
      <c r="U1490" t="s">
        <v>1095</v>
      </c>
      <c r="V1490" s="4">
        <v>640</v>
      </c>
      <c r="W1490">
        <v>0</v>
      </c>
    </row>
    <row r="1491" spans="1:23" hidden="1" x14ac:dyDescent="0.25">
      <c r="A1491" s="2">
        <v>45818.426921296297</v>
      </c>
      <c r="B1491">
        <v>3888</v>
      </c>
      <c r="C1491" t="s">
        <v>1100</v>
      </c>
      <c r="D1491" s="3">
        <v>45818</v>
      </c>
      <c r="E1491" s="3">
        <v>45960</v>
      </c>
      <c r="F1491" t="s">
        <v>21</v>
      </c>
      <c r="G1491" t="s">
        <v>1493</v>
      </c>
      <c r="H1491" t="s">
        <v>22</v>
      </c>
      <c r="I1491" t="s">
        <v>44</v>
      </c>
      <c r="J1491" t="s">
        <v>1491</v>
      </c>
      <c r="K1491" t="s">
        <v>31</v>
      </c>
      <c r="L1491" s="4">
        <v>367</v>
      </c>
      <c r="M1491" t="s">
        <v>1101</v>
      </c>
      <c r="N1491" t="s">
        <v>26</v>
      </c>
      <c r="O1491" s="4">
        <v>100</v>
      </c>
      <c r="P1491">
        <v>0</v>
      </c>
      <c r="Q1491" s="4">
        <v>100</v>
      </c>
      <c r="R1491" s="12">
        <f t="shared" si="23"/>
        <v>36700</v>
      </c>
      <c r="T1491" t="s">
        <v>151</v>
      </c>
      <c r="U1491" t="s">
        <v>1102</v>
      </c>
      <c r="V1491" s="4">
        <v>367</v>
      </c>
      <c r="W1491">
        <v>0</v>
      </c>
    </row>
    <row r="1492" spans="1:23" hidden="1" x14ac:dyDescent="0.25">
      <c r="A1492" s="2">
        <v>45818.426921296297</v>
      </c>
      <c r="B1492">
        <v>3888</v>
      </c>
      <c r="C1492" t="s">
        <v>1100</v>
      </c>
      <c r="D1492" s="3">
        <v>45818</v>
      </c>
      <c r="E1492" s="3">
        <v>45960</v>
      </c>
      <c r="F1492" t="s">
        <v>21</v>
      </c>
      <c r="G1492" t="s">
        <v>1493</v>
      </c>
      <c r="H1492" t="s">
        <v>22</v>
      </c>
      <c r="I1492" t="s">
        <v>38</v>
      </c>
      <c r="J1492" t="s">
        <v>1491</v>
      </c>
      <c r="K1492" t="s">
        <v>24</v>
      </c>
      <c r="L1492" s="4">
        <v>48</v>
      </c>
      <c r="M1492" t="s">
        <v>1101</v>
      </c>
      <c r="N1492" t="s">
        <v>26</v>
      </c>
      <c r="O1492" s="4">
        <v>300</v>
      </c>
      <c r="P1492">
        <v>0</v>
      </c>
      <c r="Q1492" s="4">
        <v>300</v>
      </c>
      <c r="R1492" s="12">
        <f t="shared" si="23"/>
        <v>14400</v>
      </c>
      <c r="T1492" t="s">
        <v>151</v>
      </c>
      <c r="U1492" t="s">
        <v>1102</v>
      </c>
      <c r="V1492" s="4">
        <v>48</v>
      </c>
      <c r="W1492">
        <v>0</v>
      </c>
    </row>
    <row r="1493" spans="1:23" hidden="1" x14ac:dyDescent="0.25">
      <c r="A1493" s="2">
        <v>45818.426921296297</v>
      </c>
      <c r="B1493">
        <v>3888</v>
      </c>
      <c r="C1493" t="s">
        <v>1100</v>
      </c>
      <c r="D1493" s="3">
        <v>45818</v>
      </c>
      <c r="E1493" s="3">
        <v>45960</v>
      </c>
      <c r="F1493" t="s">
        <v>21</v>
      </c>
      <c r="G1493" t="s">
        <v>1493</v>
      </c>
      <c r="H1493" t="s">
        <v>22</v>
      </c>
      <c r="I1493" t="s">
        <v>43</v>
      </c>
      <c r="J1493" t="s">
        <v>1491</v>
      </c>
      <c r="K1493" t="s">
        <v>24</v>
      </c>
      <c r="L1493" s="4">
        <v>42</v>
      </c>
      <c r="M1493" t="s">
        <v>1101</v>
      </c>
      <c r="N1493" t="s">
        <v>26</v>
      </c>
      <c r="O1493" s="4">
        <v>801</v>
      </c>
      <c r="P1493">
        <v>0</v>
      </c>
      <c r="Q1493" s="4">
        <v>801</v>
      </c>
      <c r="R1493" s="12">
        <f t="shared" si="23"/>
        <v>33642</v>
      </c>
      <c r="T1493" t="s">
        <v>151</v>
      </c>
      <c r="U1493" t="s">
        <v>1102</v>
      </c>
      <c r="V1493" s="4">
        <v>42</v>
      </c>
      <c r="W1493">
        <v>0</v>
      </c>
    </row>
    <row r="1494" spans="1:23" hidden="1" x14ac:dyDescent="0.25">
      <c r="A1494" s="2">
        <v>45818.426921296297</v>
      </c>
      <c r="B1494">
        <v>3888</v>
      </c>
      <c r="C1494" t="s">
        <v>1100</v>
      </c>
      <c r="D1494" s="3">
        <v>45818</v>
      </c>
      <c r="E1494" s="3">
        <v>45960</v>
      </c>
      <c r="F1494" t="s">
        <v>21</v>
      </c>
      <c r="G1494" t="s">
        <v>1493</v>
      </c>
      <c r="H1494" t="s">
        <v>22</v>
      </c>
      <c r="I1494" t="s">
        <v>40</v>
      </c>
      <c r="J1494" t="s">
        <v>1491</v>
      </c>
      <c r="K1494" t="s">
        <v>24</v>
      </c>
      <c r="L1494" s="4">
        <v>320</v>
      </c>
      <c r="M1494" t="s">
        <v>1101</v>
      </c>
      <c r="N1494" t="s">
        <v>26</v>
      </c>
      <c r="O1494" s="4">
        <v>100</v>
      </c>
      <c r="P1494">
        <v>0</v>
      </c>
      <c r="Q1494" s="4">
        <v>100</v>
      </c>
      <c r="R1494" s="12">
        <f t="shared" si="23"/>
        <v>32000</v>
      </c>
      <c r="T1494" t="s">
        <v>151</v>
      </c>
      <c r="U1494" t="s">
        <v>1102</v>
      </c>
      <c r="V1494" s="4">
        <v>320</v>
      </c>
      <c r="W1494">
        <v>0</v>
      </c>
    </row>
    <row r="1495" spans="1:23" hidden="1" x14ac:dyDescent="0.25">
      <c r="A1495" s="2">
        <v>45818.426921296297</v>
      </c>
      <c r="B1495">
        <v>3888</v>
      </c>
      <c r="C1495" t="s">
        <v>1100</v>
      </c>
      <c r="D1495" s="3">
        <v>45818</v>
      </c>
      <c r="E1495" s="3">
        <v>45960</v>
      </c>
      <c r="F1495" t="s">
        <v>21</v>
      </c>
      <c r="H1495" t="s">
        <v>22</v>
      </c>
      <c r="I1495" t="s">
        <v>42</v>
      </c>
      <c r="J1495" t="s">
        <v>1490</v>
      </c>
      <c r="K1495" t="s">
        <v>24</v>
      </c>
      <c r="L1495" s="4">
        <v>221</v>
      </c>
      <c r="M1495" t="s">
        <v>1101</v>
      </c>
      <c r="N1495" t="s">
        <v>26</v>
      </c>
      <c r="O1495" s="4">
        <v>200</v>
      </c>
      <c r="P1495">
        <v>0</v>
      </c>
      <c r="Q1495" s="4">
        <v>200</v>
      </c>
      <c r="R1495" s="12">
        <f t="shared" si="23"/>
        <v>44200</v>
      </c>
      <c r="T1495" t="s">
        <v>151</v>
      </c>
      <c r="U1495" t="s">
        <v>1102</v>
      </c>
      <c r="V1495" s="4">
        <v>221</v>
      </c>
      <c r="W1495">
        <v>0</v>
      </c>
    </row>
    <row r="1496" spans="1:23" hidden="1" x14ac:dyDescent="0.25">
      <c r="A1496" s="2">
        <v>45818.426921296297</v>
      </c>
      <c r="B1496">
        <v>3888</v>
      </c>
      <c r="C1496" t="s">
        <v>1100</v>
      </c>
      <c r="D1496" s="3">
        <v>45818</v>
      </c>
      <c r="E1496" s="3">
        <v>45960</v>
      </c>
      <c r="F1496" t="s">
        <v>21</v>
      </c>
      <c r="G1496" t="s">
        <v>1493</v>
      </c>
      <c r="H1496" t="s">
        <v>22</v>
      </c>
      <c r="I1496" t="s">
        <v>41</v>
      </c>
      <c r="J1496" t="s">
        <v>1491</v>
      </c>
      <c r="K1496" t="s">
        <v>24</v>
      </c>
      <c r="L1496" s="4">
        <v>320</v>
      </c>
      <c r="M1496" t="s">
        <v>1101</v>
      </c>
      <c r="N1496" t="s">
        <v>26</v>
      </c>
      <c r="O1496" s="4">
        <v>100</v>
      </c>
      <c r="P1496">
        <v>0</v>
      </c>
      <c r="Q1496" s="4">
        <v>100</v>
      </c>
      <c r="R1496" s="12">
        <f t="shared" si="23"/>
        <v>32000</v>
      </c>
      <c r="T1496" t="s">
        <v>151</v>
      </c>
      <c r="U1496" t="s">
        <v>1102</v>
      </c>
      <c r="V1496" s="4">
        <v>320</v>
      </c>
      <c r="W1496">
        <v>0</v>
      </c>
    </row>
    <row r="1497" spans="1:23" hidden="1" x14ac:dyDescent="0.25">
      <c r="A1497" s="2">
        <v>45818.426921296297</v>
      </c>
      <c r="B1497">
        <v>3888</v>
      </c>
      <c r="C1497" t="s">
        <v>1100</v>
      </c>
      <c r="D1497" s="3">
        <v>45818</v>
      </c>
      <c r="E1497" s="3">
        <v>45960</v>
      </c>
      <c r="F1497" t="s">
        <v>21</v>
      </c>
      <c r="G1497" t="s">
        <v>1493</v>
      </c>
      <c r="H1497" t="s">
        <v>22</v>
      </c>
      <c r="I1497" t="s">
        <v>497</v>
      </c>
      <c r="J1497" t="s">
        <v>1491</v>
      </c>
      <c r="K1497" t="s">
        <v>24</v>
      </c>
      <c r="L1497" s="4">
        <v>65</v>
      </c>
      <c r="M1497" t="s">
        <v>1101</v>
      </c>
      <c r="N1497" t="s">
        <v>26</v>
      </c>
      <c r="O1497" s="4">
        <v>201</v>
      </c>
      <c r="P1497">
        <v>0</v>
      </c>
      <c r="Q1497" s="4">
        <v>201</v>
      </c>
      <c r="R1497" s="12">
        <f t="shared" si="23"/>
        <v>13065</v>
      </c>
      <c r="T1497" t="s">
        <v>151</v>
      </c>
      <c r="U1497" t="s">
        <v>1102</v>
      </c>
      <c r="V1497" s="4">
        <v>65</v>
      </c>
      <c r="W1497">
        <v>0</v>
      </c>
    </row>
    <row r="1498" spans="1:23" hidden="1" x14ac:dyDescent="0.25">
      <c r="A1498" s="2">
        <v>45818.430011574077</v>
      </c>
      <c r="B1498">
        <v>3889</v>
      </c>
      <c r="C1498" t="s">
        <v>1100</v>
      </c>
      <c r="D1498" s="3">
        <v>45818</v>
      </c>
      <c r="E1498" s="3">
        <v>45960</v>
      </c>
      <c r="F1498" t="s">
        <v>21</v>
      </c>
      <c r="G1498" t="s">
        <v>1493</v>
      </c>
      <c r="H1498" t="s">
        <v>22</v>
      </c>
      <c r="I1498" t="s">
        <v>41</v>
      </c>
      <c r="J1498" t="s">
        <v>1491</v>
      </c>
      <c r="K1498" t="s">
        <v>24</v>
      </c>
      <c r="L1498" s="4">
        <v>320</v>
      </c>
      <c r="M1498" t="s">
        <v>1103</v>
      </c>
      <c r="N1498" t="s">
        <v>26</v>
      </c>
      <c r="O1498" s="4">
        <v>65</v>
      </c>
      <c r="P1498">
        <v>0</v>
      </c>
      <c r="Q1498" s="4">
        <v>65</v>
      </c>
      <c r="R1498" s="12">
        <f t="shared" si="23"/>
        <v>20800</v>
      </c>
      <c r="T1498" t="s">
        <v>274</v>
      </c>
      <c r="U1498" t="s">
        <v>1102</v>
      </c>
      <c r="V1498" s="4">
        <v>320</v>
      </c>
      <c r="W1498">
        <v>0</v>
      </c>
    </row>
    <row r="1499" spans="1:23" hidden="1" x14ac:dyDescent="0.25">
      <c r="A1499" s="2">
        <v>45818.430011574077</v>
      </c>
      <c r="B1499">
        <v>3889</v>
      </c>
      <c r="C1499" t="s">
        <v>1100</v>
      </c>
      <c r="D1499" s="3">
        <v>45818</v>
      </c>
      <c r="E1499" s="3">
        <v>45960</v>
      </c>
      <c r="F1499" t="s">
        <v>21</v>
      </c>
      <c r="G1499" t="s">
        <v>1493</v>
      </c>
      <c r="H1499" t="s">
        <v>22</v>
      </c>
      <c r="I1499" t="s">
        <v>38</v>
      </c>
      <c r="J1499" t="s">
        <v>1491</v>
      </c>
      <c r="K1499" t="s">
        <v>24</v>
      </c>
      <c r="L1499" s="4">
        <v>48</v>
      </c>
      <c r="M1499" t="s">
        <v>1103</v>
      </c>
      <c r="N1499" t="s">
        <v>26</v>
      </c>
      <c r="O1499" s="4">
        <v>105</v>
      </c>
      <c r="P1499">
        <v>0</v>
      </c>
      <c r="Q1499" s="4">
        <v>105</v>
      </c>
      <c r="R1499" s="12">
        <f t="shared" si="23"/>
        <v>5040</v>
      </c>
      <c r="T1499" t="s">
        <v>274</v>
      </c>
      <c r="U1499" t="s">
        <v>1102</v>
      </c>
      <c r="V1499" s="4">
        <v>48</v>
      </c>
      <c r="W1499">
        <v>0</v>
      </c>
    </row>
    <row r="1500" spans="1:23" hidden="1" x14ac:dyDescent="0.25">
      <c r="A1500" s="2">
        <v>45818.430011574077</v>
      </c>
      <c r="B1500">
        <v>3889</v>
      </c>
      <c r="C1500" t="s">
        <v>1100</v>
      </c>
      <c r="D1500" s="3">
        <v>45818</v>
      </c>
      <c r="E1500" s="3">
        <v>45960</v>
      </c>
      <c r="F1500" t="s">
        <v>21</v>
      </c>
      <c r="H1500" t="s">
        <v>22</v>
      </c>
      <c r="I1500" t="s">
        <v>42</v>
      </c>
      <c r="J1500" t="s">
        <v>1490</v>
      </c>
      <c r="K1500" t="s">
        <v>24</v>
      </c>
      <c r="L1500" s="4">
        <v>221</v>
      </c>
      <c r="M1500" t="s">
        <v>1103</v>
      </c>
      <c r="N1500" t="s">
        <v>26</v>
      </c>
      <c r="O1500" s="4">
        <v>130</v>
      </c>
      <c r="P1500">
        <v>0</v>
      </c>
      <c r="Q1500" s="4">
        <v>130</v>
      </c>
      <c r="R1500" s="12">
        <f t="shared" si="23"/>
        <v>28730</v>
      </c>
      <c r="T1500" t="s">
        <v>274</v>
      </c>
      <c r="U1500" t="s">
        <v>1102</v>
      </c>
      <c r="V1500" s="4">
        <v>221</v>
      </c>
      <c r="W1500">
        <v>0</v>
      </c>
    </row>
    <row r="1501" spans="1:23" hidden="1" x14ac:dyDescent="0.25">
      <c r="A1501" s="2">
        <v>45818.430011574077</v>
      </c>
      <c r="B1501">
        <v>3889</v>
      </c>
      <c r="C1501" t="s">
        <v>1100</v>
      </c>
      <c r="D1501" s="3">
        <v>45818</v>
      </c>
      <c r="E1501" s="3">
        <v>45960</v>
      </c>
      <c r="F1501" t="s">
        <v>21</v>
      </c>
      <c r="G1501" t="s">
        <v>1493</v>
      </c>
      <c r="H1501" t="s">
        <v>22</v>
      </c>
      <c r="I1501" t="s">
        <v>497</v>
      </c>
      <c r="J1501" t="s">
        <v>1491</v>
      </c>
      <c r="K1501" t="s">
        <v>24</v>
      </c>
      <c r="L1501" s="4">
        <v>65</v>
      </c>
      <c r="M1501" t="s">
        <v>1103</v>
      </c>
      <c r="N1501" t="s">
        <v>26</v>
      </c>
      <c r="O1501" s="4">
        <v>66</v>
      </c>
      <c r="P1501">
        <v>0</v>
      </c>
      <c r="Q1501" s="4">
        <v>66</v>
      </c>
      <c r="R1501" s="12">
        <f t="shared" si="23"/>
        <v>4290</v>
      </c>
      <c r="T1501" t="s">
        <v>274</v>
      </c>
      <c r="U1501" t="s">
        <v>1102</v>
      </c>
      <c r="V1501" s="4">
        <v>65</v>
      </c>
      <c r="W1501">
        <v>0</v>
      </c>
    </row>
    <row r="1502" spans="1:23" hidden="1" x14ac:dyDescent="0.25">
      <c r="A1502" s="2">
        <v>45818.430011574077</v>
      </c>
      <c r="B1502">
        <v>3889</v>
      </c>
      <c r="C1502" t="s">
        <v>1100</v>
      </c>
      <c r="D1502" s="3">
        <v>45818</v>
      </c>
      <c r="E1502" s="3">
        <v>45960</v>
      </c>
      <c r="F1502" t="s">
        <v>21</v>
      </c>
      <c r="G1502" t="s">
        <v>1493</v>
      </c>
      <c r="H1502" t="s">
        <v>22</v>
      </c>
      <c r="I1502" t="s">
        <v>43</v>
      </c>
      <c r="J1502" t="s">
        <v>1491</v>
      </c>
      <c r="K1502" t="s">
        <v>24</v>
      </c>
      <c r="L1502" s="4">
        <v>42</v>
      </c>
      <c r="M1502" t="s">
        <v>1103</v>
      </c>
      <c r="N1502" t="s">
        <v>26</v>
      </c>
      <c r="O1502" s="4">
        <v>105</v>
      </c>
      <c r="P1502">
        <v>0</v>
      </c>
      <c r="Q1502" s="4">
        <v>105</v>
      </c>
      <c r="R1502" s="12">
        <f t="shared" si="23"/>
        <v>4410</v>
      </c>
      <c r="T1502" t="s">
        <v>274</v>
      </c>
      <c r="U1502" t="s">
        <v>1102</v>
      </c>
      <c r="V1502" s="4">
        <v>42</v>
      </c>
      <c r="W1502">
        <v>0</v>
      </c>
    </row>
    <row r="1503" spans="1:23" hidden="1" x14ac:dyDescent="0.25">
      <c r="A1503" s="2">
        <v>45818.430011574077</v>
      </c>
      <c r="B1503">
        <v>3889</v>
      </c>
      <c r="C1503" t="s">
        <v>1100</v>
      </c>
      <c r="D1503" s="3">
        <v>45818</v>
      </c>
      <c r="E1503" s="3">
        <v>45960</v>
      </c>
      <c r="F1503" t="s">
        <v>21</v>
      </c>
      <c r="G1503" t="s">
        <v>1493</v>
      </c>
      <c r="H1503" t="s">
        <v>22</v>
      </c>
      <c r="I1503" t="s">
        <v>44</v>
      </c>
      <c r="J1503" t="s">
        <v>1491</v>
      </c>
      <c r="K1503" t="s">
        <v>31</v>
      </c>
      <c r="L1503" s="4">
        <v>347</v>
      </c>
      <c r="M1503" t="s">
        <v>1103</v>
      </c>
      <c r="N1503" t="s">
        <v>26</v>
      </c>
      <c r="O1503" s="4">
        <v>65</v>
      </c>
      <c r="P1503">
        <v>0</v>
      </c>
      <c r="Q1503" s="4">
        <v>65</v>
      </c>
      <c r="R1503" s="12">
        <f t="shared" si="23"/>
        <v>22555</v>
      </c>
      <c r="T1503" t="s">
        <v>274</v>
      </c>
      <c r="U1503" t="s">
        <v>1102</v>
      </c>
      <c r="V1503" s="4">
        <v>347</v>
      </c>
      <c r="W1503">
        <v>0</v>
      </c>
    </row>
    <row r="1504" spans="1:23" hidden="1" x14ac:dyDescent="0.25">
      <c r="A1504" s="2">
        <v>45818.430011574077</v>
      </c>
      <c r="B1504">
        <v>3889</v>
      </c>
      <c r="C1504" t="s">
        <v>1100</v>
      </c>
      <c r="D1504" s="3">
        <v>45818</v>
      </c>
      <c r="E1504" s="3">
        <v>45960</v>
      </c>
      <c r="F1504" t="s">
        <v>21</v>
      </c>
      <c r="G1504" t="s">
        <v>1493</v>
      </c>
      <c r="H1504" t="s">
        <v>22</v>
      </c>
      <c r="I1504" t="s">
        <v>40</v>
      </c>
      <c r="J1504" t="s">
        <v>1491</v>
      </c>
      <c r="K1504" t="s">
        <v>24</v>
      </c>
      <c r="L1504" s="4">
        <v>320</v>
      </c>
      <c r="M1504" t="s">
        <v>1103</v>
      </c>
      <c r="N1504" t="s">
        <v>26</v>
      </c>
      <c r="O1504" s="4">
        <v>65</v>
      </c>
      <c r="P1504">
        <v>0</v>
      </c>
      <c r="Q1504" s="4">
        <v>65</v>
      </c>
      <c r="R1504" s="12">
        <f t="shared" si="23"/>
        <v>20800</v>
      </c>
      <c r="T1504" t="s">
        <v>274</v>
      </c>
      <c r="U1504" t="s">
        <v>1102</v>
      </c>
      <c r="V1504" s="4">
        <v>320</v>
      </c>
      <c r="W1504">
        <v>0</v>
      </c>
    </row>
    <row r="1505" spans="1:23" hidden="1" x14ac:dyDescent="0.25">
      <c r="A1505" s="2">
        <v>45996.400335648148</v>
      </c>
      <c r="B1505">
        <v>4329</v>
      </c>
      <c r="C1505" t="s">
        <v>1100</v>
      </c>
      <c r="D1505" s="3">
        <v>45996</v>
      </c>
      <c r="E1505" s="3">
        <v>46111</v>
      </c>
      <c r="F1505" t="s">
        <v>21</v>
      </c>
      <c r="G1505" t="s">
        <v>1493</v>
      </c>
      <c r="H1505" t="s">
        <v>22</v>
      </c>
      <c r="I1505" t="s">
        <v>40</v>
      </c>
      <c r="J1505" t="s">
        <v>1491</v>
      </c>
      <c r="K1505" t="s">
        <v>24</v>
      </c>
      <c r="L1505" s="4">
        <v>320</v>
      </c>
      <c r="M1505" t="s">
        <v>1104</v>
      </c>
      <c r="N1505" t="s">
        <v>46</v>
      </c>
      <c r="O1505" s="4">
        <v>130</v>
      </c>
      <c r="P1505">
        <v>0</v>
      </c>
      <c r="Q1505" s="4">
        <v>130</v>
      </c>
      <c r="R1505" s="12">
        <f t="shared" si="23"/>
        <v>41600</v>
      </c>
      <c r="T1505" t="s">
        <v>151</v>
      </c>
      <c r="U1505" t="s">
        <v>1102</v>
      </c>
      <c r="V1505" s="4">
        <v>320</v>
      </c>
      <c r="W1505">
        <v>0</v>
      </c>
    </row>
    <row r="1506" spans="1:23" hidden="1" x14ac:dyDescent="0.25">
      <c r="A1506" s="2">
        <v>45996.400335648148</v>
      </c>
      <c r="B1506">
        <v>4329</v>
      </c>
      <c r="C1506" t="s">
        <v>1100</v>
      </c>
      <c r="D1506" s="3">
        <v>45996</v>
      </c>
      <c r="E1506" s="3">
        <v>46111</v>
      </c>
      <c r="F1506" t="s">
        <v>21</v>
      </c>
      <c r="G1506" t="s">
        <v>1493</v>
      </c>
      <c r="H1506" t="s">
        <v>22</v>
      </c>
      <c r="I1506" t="s">
        <v>41</v>
      </c>
      <c r="J1506" t="s">
        <v>1491</v>
      </c>
      <c r="K1506" t="s">
        <v>24</v>
      </c>
      <c r="L1506" s="4">
        <v>320</v>
      </c>
      <c r="M1506" t="s">
        <v>1104</v>
      </c>
      <c r="N1506" t="s">
        <v>46</v>
      </c>
      <c r="O1506" s="4">
        <v>130</v>
      </c>
      <c r="P1506">
        <v>0</v>
      </c>
      <c r="Q1506" s="4">
        <v>130</v>
      </c>
      <c r="R1506" s="12">
        <f t="shared" si="23"/>
        <v>41600</v>
      </c>
      <c r="T1506" t="s">
        <v>151</v>
      </c>
      <c r="U1506" t="s">
        <v>1102</v>
      </c>
      <c r="V1506" s="4">
        <v>320</v>
      </c>
      <c r="W1506">
        <v>0</v>
      </c>
    </row>
    <row r="1507" spans="1:23" hidden="1" x14ac:dyDescent="0.25">
      <c r="A1507" s="2">
        <v>46022.406875000001</v>
      </c>
      <c r="B1507">
        <v>4397</v>
      </c>
      <c r="C1507" t="s">
        <v>1100</v>
      </c>
      <c r="D1507" s="3">
        <v>46022</v>
      </c>
      <c r="E1507" s="3">
        <v>46111</v>
      </c>
      <c r="F1507" t="s">
        <v>21</v>
      </c>
      <c r="G1507" t="s">
        <v>1493</v>
      </c>
      <c r="H1507" t="s">
        <v>22</v>
      </c>
      <c r="I1507" t="s">
        <v>63</v>
      </c>
      <c r="J1507" t="s">
        <v>1491</v>
      </c>
      <c r="K1507" t="s">
        <v>31</v>
      </c>
      <c r="L1507" s="4">
        <v>175</v>
      </c>
      <c r="M1507" t="s">
        <v>1105</v>
      </c>
      <c r="N1507" t="s">
        <v>46</v>
      </c>
      <c r="O1507" s="4">
        <v>250</v>
      </c>
      <c r="P1507">
        <v>0</v>
      </c>
      <c r="Q1507" s="4">
        <v>250</v>
      </c>
      <c r="R1507" s="12">
        <f t="shared" si="23"/>
        <v>43750</v>
      </c>
      <c r="T1507" t="s">
        <v>151</v>
      </c>
      <c r="U1507" t="s">
        <v>1102</v>
      </c>
      <c r="V1507" s="4">
        <v>175</v>
      </c>
      <c r="W1507">
        <v>0</v>
      </c>
    </row>
    <row r="1508" spans="1:23" hidden="1" x14ac:dyDescent="0.25">
      <c r="A1508" s="2">
        <v>46022.407569444447</v>
      </c>
      <c r="B1508">
        <v>4398</v>
      </c>
      <c r="C1508" t="s">
        <v>1100</v>
      </c>
      <c r="D1508" s="3">
        <v>46022</v>
      </c>
      <c r="E1508" s="3">
        <v>46111</v>
      </c>
      <c r="F1508" t="s">
        <v>21</v>
      </c>
      <c r="G1508" t="s">
        <v>1493</v>
      </c>
      <c r="H1508" t="s">
        <v>22</v>
      </c>
      <c r="I1508" t="s">
        <v>63</v>
      </c>
      <c r="J1508" t="s">
        <v>1491</v>
      </c>
      <c r="K1508" t="s">
        <v>31</v>
      </c>
      <c r="L1508" s="4">
        <v>175</v>
      </c>
      <c r="M1508" t="s">
        <v>1106</v>
      </c>
      <c r="N1508" t="s">
        <v>46</v>
      </c>
      <c r="O1508" s="4">
        <v>100</v>
      </c>
      <c r="P1508">
        <v>0</v>
      </c>
      <c r="Q1508" s="4">
        <v>100</v>
      </c>
      <c r="R1508" s="12">
        <f t="shared" si="23"/>
        <v>17500</v>
      </c>
      <c r="T1508" t="s">
        <v>274</v>
      </c>
      <c r="U1508" t="s">
        <v>1102</v>
      </c>
      <c r="V1508" s="4">
        <v>175</v>
      </c>
      <c r="W1508">
        <v>0</v>
      </c>
    </row>
    <row r="1509" spans="1:23" hidden="1" x14ac:dyDescent="0.25">
      <c r="A1509" s="2">
        <v>46028.431689814817</v>
      </c>
      <c r="B1509">
        <v>4407</v>
      </c>
      <c r="C1509" t="s">
        <v>1100</v>
      </c>
      <c r="D1509" s="3">
        <v>46028</v>
      </c>
      <c r="E1509" s="3">
        <v>46111</v>
      </c>
      <c r="F1509" t="s">
        <v>21</v>
      </c>
      <c r="G1509" t="s">
        <v>1493</v>
      </c>
      <c r="H1509" t="s">
        <v>22</v>
      </c>
      <c r="I1509" t="s">
        <v>38</v>
      </c>
      <c r="J1509" t="s">
        <v>1491</v>
      </c>
      <c r="K1509" t="s">
        <v>24</v>
      </c>
      <c r="L1509" s="4">
        <v>48</v>
      </c>
      <c r="M1509" t="s">
        <v>1107</v>
      </c>
      <c r="N1509" t="s">
        <v>46</v>
      </c>
      <c r="O1509" s="4">
        <v>102</v>
      </c>
      <c r="P1509">
        <v>0</v>
      </c>
      <c r="Q1509" s="4">
        <v>102</v>
      </c>
      <c r="R1509" s="12">
        <f t="shared" si="23"/>
        <v>4896</v>
      </c>
      <c r="T1509" t="s">
        <v>274</v>
      </c>
      <c r="U1509" t="s">
        <v>1102</v>
      </c>
      <c r="V1509" s="4">
        <v>48</v>
      </c>
      <c r="W1509">
        <v>0</v>
      </c>
    </row>
    <row r="1510" spans="1:23" hidden="1" x14ac:dyDescent="0.25">
      <c r="A1510" s="2">
        <v>46035.543576388889</v>
      </c>
      <c r="B1510">
        <v>4439</v>
      </c>
      <c r="C1510" t="s">
        <v>1100</v>
      </c>
      <c r="D1510" s="3">
        <v>46029</v>
      </c>
      <c r="E1510" s="3">
        <v>46142</v>
      </c>
      <c r="F1510" t="s">
        <v>21</v>
      </c>
      <c r="H1510" t="s">
        <v>22</v>
      </c>
      <c r="I1510" t="s">
        <v>32</v>
      </c>
      <c r="J1510" t="s">
        <v>1490</v>
      </c>
      <c r="K1510" t="s">
        <v>24</v>
      </c>
      <c r="L1510" s="4">
        <v>22</v>
      </c>
      <c r="M1510" t="s">
        <v>1108</v>
      </c>
      <c r="N1510" t="s">
        <v>46</v>
      </c>
      <c r="O1510" s="4">
        <v>640</v>
      </c>
      <c r="P1510">
        <v>0</v>
      </c>
      <c r="Q1510" s="4">
        <v>640</v>
      </c>
      <c r="R1510" s="12">
        <f t="shared" si="23"/>
        <v>14080</v>
      </c>
      <c r="T1510" t="s">
        <v>274</v>
      </c>
      <c r="U1510" t="s">
        <v>1102</v>
      </c>
      <c r="V1510" s="4">
        <v>22</v>
      </c>
      <c r="W1510">
        <v>0</v>
      </c>
    </row>
    <row r="1511" spans="1:23" hidden="1" x14ac:dyDescent="0.25">
      <c r="A1511" s="2">
        <v>46035.547835648147</v>
      </c>
      <c r="B1511">
        <v>4440</v>
      </c>
      <c r="C1511" t="s">
        <v>1100</v>
      </c>
      <c r="D1511" s="3">
        <v>46029</v>
      </c>
      <c r="E1511" s="3">
        <v>46142</v>
      </c>
      <c r="F1511" t="s">
        <v>21</v>
      </c>
      <c r="H1511" t="s">
        <v>22</v>
      </c>
      <c r="I1511" t="s">
        <v>32</v>
      </c>
      <c r="J1511" t="s">
        <v>1490</v>
      </c>
      <c r="K1511" t="s">
        <v>24</v>
      </c>
      <c r="L1511" s="4">
        <v>22</v>
      </c>
      <c r="M1511" t="s">
        <v>1109</v>
      </c>
      <c r="N1511" t="s">
        <v>46</v>
      </c>
      <c r="O1511" s="4">
        <v>660</v>
      </c>
      <c r="P1511">
        <v>0</v>
      </c>
      <c r="Q1511" s="4">
        <v>660</v>
      </c>
      <c r="R1511" s="12">
        <f t="shared" si="23"/>
        <v>14520</v>
      </c>
      <c r="T1511" t="s">
        <v>151</v>
      </c>
      <c r="U1511" t="s">
        <v>1102</v>
      </c>
      <c r="V1511" s="4">
        <v>22</v>
      </c>
      <c r="W1511">
        <v>0</v>
      </c>
    </row>
    <row r="1512" spans="1:23" hidden="1" x14ac:dyDescent="0.25">
      <c r="A1512" s="2">
        <v>46085.411956018521</v>
      </c>
      <c r="B1512">
        <v>4623</v>
      </c>
      <c r="C1512" t="s">
        <v>1100</v>
      </c>
      <c r="D1512" s="3">
        <v>46085</v>
      </c>
      <c r="E1512" s="3">
        <v>46142</v>
      </c>
      <c r="F1512" t="s">
        <v>21</v>
      </c>
      <c r="H1512" t="s">
        <v>22</v>
      </c>
      <c r="I1512" t="s">
        <v>32</v>
      </c>
      <c r="J1512" t="s">
        <v>1490</v>
      </c>
      <c r="K1512" t="s">
        <v>24</v>
      </c>
      <c r="L1512" s="4">
        <v>22</v>
      </c>
      <c r="M1512" t="s">
        <v>1110</v>
      </c>
      <c r="N1512" t="s">
        <v>46</v>
      </c>
      <c r="O1512" s="4">
        <v>480</v>
      </c>
      <c r="P1512">
        <v>0</v>
      </c>
      <c r="Q1512" s="4">
        <v>480</v>
      </c>
      <c r="R1512" s="12">
        <f t="shared" si="23"/>
        <v>10560</v>
      </c>
      <c r="T1512" t="s">
        <v>274</v>
      </c>
      <c r="U1512" t="s">
        <v>1102</v>
      </c>
      <c r="V1512" s="4">
        <v>22</v>
      </c>
      <c r="W1512">
        <v>0</v>
      </c>
    </row>
    <row r="1513" spans="1:23" hidden="1" x14ac:dyDescent="0.25">
      <c r="A1513" s="2">
        <v>45912.587384259263</v>
      </c>
      <c r="B1513">
        <v>293</v>
      </c>
      <c r="C1513" t="s">
        <v>1111</v>
      </c>
      <c r="D1513" s="3">
        <v>45912</v>
      </c>
      <c r="E1513" s="3">
        <v>46142</v>
      </c>
      <c r="F1513" t="s">
        <v>418</v>
      </c>
      <c r="G1513" t="s">
        <v>1494</v>
      </c>
      <c r="H1513" t="s">
        <v>22</v>
      </c>
      <c r="I1513" t="s">
        <v>41</v>
      </c>
      <c r="J1513" t="s">
        <v>1491</v>
      </c>
      <c r="K1513" t="s">
        <v>24</v>
      </c>
      <c r="L1513" s="4">
        <v>345</v>
      </c>
      <c r="M1513" t="s">
        <v>1112</v>
      </c>
      <c r="N1513" t="s">
        <v>26</v>
      </c>
      <c r="O1513" s="4">
        <v>5</v>
      </c>
      <c r="P1513">
        <v>0</v>
      </c>
      <c r="Q1513" s="4">
        <v>5</v>
      </c>
      <c r="R1513" s="12">
        <f t="shared" si="23"/>
        <v>1725</v>
      </c>
      <c r="T1513" t="s">
        <v>71</v>
      </c>
      <c r="U1513" t="s">
        <v>1113</v>
      </c>
      <c r="V1513" s="4">
        <v>345</v>
      </c>
      <c r="W1513">
        <v>0</v>
      </c>
    </row>
    <row r="1514" spans="1:23" hidden="1" x14ac:dyDescent="0.25">
      <c r="A1514" s="2">
        <v>45912.587384259263</v>
      </c>
      <c r="B1514">
        <v>293</v>
      </c>
      <c r="C1514" t="s">
        <v>1111</v>
      </c>
      <c r="D1514" s="3">
        <v>45912</v>
      </c>
      <c r="E1514" s="3">
        <v>46142</v>
      </c>
      <c r="F1514" t="s">
        <v>418</v>
      </c>
      <c r="G1514" t="s">
        <v>1494</v>
      </c>
      <c r="H1514" t="s">
        <v>22</v>
      </c>
      <c r="I1514" t="s">
        <v>43</v>
      </c>
      <c r="J1514" t="s">
        <v>1491</v>
      </c>
      <c r="K1514" t="s">
        <v>24</v>
      </c>
      <c r="L1514" s="4">
        <v>47</v>
      </c>
      <c r="M1514" t="s">
        <v>1112</v>
      </c>
      <c r="N1514" t="s">
        <v>26</v>
      </c>
      <c r="O1514" s="4">
        <v>21</v>
      </c>
      <c r="P1514">
        <v>0</v>
      </c>
      <c r="Q1514" s="4">
        <v>21</v>
      </c>
      <c r="R1514" s="12">
        <f t="shared" si="23"/>
        <v>987</v>
      </c>
      <c r="T1514" t="s">
        <v>71</v>
      </c>
      <c r="U1514" t="s">
        <v>1113</v>
      </c>
      <c r="V1514" s="4">
        <v>47</v>
      </c>
      <c r="W1514">
        <v>0</v>
      </c>
    </row>
    <row r="1515" spans="1:23" hidden="1" x14ac:dyDescent="0.25">
      <c r="A1515" s="2">
        <v>45912.587384259263</v>
      </c>
      <c r="B1515">
        <v>293</v>
      </c>
      <c r="C1515" t="s">
        <v>1111</v>
      </c>
      <c r="D1515" s="3">
        <v>45912</v>
      </c>
      <c r="E1515" s="3">
        <v>46142</v>
      </c>
      <c r="F1515" t="s">
        <v>418</v>
      </c>
      <c r="G1515" t="s">
        <v>1494</v>
      </c>
      <c r="H1515" t="s">
        <v>22</v>
      </c>
      <c r="I1515" t="s">
        <v>40</v>
      </c>
      <c r="J1515" t="s">
        <v>1491</v>
      </c>
      <c r="K1515" t="s">
        <v>24</v>
      </c>
      <c r="L1515" s="4">
        <v>345</v>
      </c>
      <c r="M1515" t="s">
        <v>1112</v>
      </c>
      <c r="N1515" t="s">
        <v>26</v>
      </c>
      <c r="O1515" s="4">
        <v>5</v>
      </c>
      <c r="P1515">
        <v>0</v>
      </c>
      <c r="Q1515" s="4">
        <v>5</v>
      </c>
      <c r="R1515" s="12">
        <f t="shared" si="23"/>
        <v>1725</v>
      </c>
      <c r="T1515" t="s">
        <v>71</v>
      </c>
      <c r="U1515" t="s">
        <v>1113</v>
      </c>
      <c r="V1515" s="4">
        <v>345</v>
      </c>
      <c r="W1515">
        <v>0</v>
      </c>
    </row>
    <row r="1516" spans="1:23" hidden="1" x14ac:dyDescent="0.25">
      <c r="A1516" s="2">
        <v>45912.587384259263</v>
      </c>
      <c r="B1516">
        <v>293</v>
      </c>
      <c r="C1516" t="s">
        <v>1111</v>
      </c>
      <c r="D1516" s="3">
        <v>45912</v>
      </c>
      <c r="E1516" s="3">
        <v>46142</v>
      </c>
      <c r="F1516" t="s">
        <v>418</v>
      </c>
      <c r="H1516" t="s">
        <v>22</v>
      </c>
      <c r="I1516" t="s">
        <v>42</v>
      </c>
      <c r="J1516" t="s">
        <v>1490</v>
      </c>
      <c r="K1516" t="s">
        <v>24</v>
      </c>
      <c r="L1516" s="4">
        <v>240</v>
      </c>
      <c r="M1516" t="s">
        <v>1112</v>
      </c>
      <c r="N1516" t="s">
        <v>26</v>
      </c>
      <c r="O1516" s="4">
        <v>10</v>
      </c>
      <c r="P1516">
        <v>0</v>
      </c>
      <c r="Q1516" s="4">
        <v>10</v>
      </c>
      <c r="R1516" s="12">
        <f t="shared" si="23"/>
        <v>2400</v>
      </c>
      <c r="T1516" t="s">
        <v>71</v>
      </c>
      <c r="U1516" t="s">
        <v>1113</v>
      </c>
      <c r="V1516" s="4">
        <v>240</v>
      </c>
      <c r="W1516">
        <v>0</v>
      </c>
    </row>
    <row r="1517" spans="1:23" hidden="1" x14ac:dyDescent="0.25">
      <c r="A1517" s="2">
        <v>45912.587384259263</v>
      </c>
      <c r="B1517">
        <v>293</v>
      </c>
      <c r="C1517" t="s">
        <v>1111</v>
      </c>
      <c r="D1517" s="3">
        <v>45912</v>
      </c>
      <c r="E1517" s="3">
        <v>46142</v>
      </c>
      <c r="F1517" t="s">
        <v>418</v>
      </c>
      <c r="G1517" t="s">
        <v>1494</v>
      </c>
      <c r="H1517" t="s">
        <v>22</v>
      </c>
      <c r="I1517" t="s">
        <v>44</v>
      </c>
      <c r="J1517" t="s">
        <v>1491</v>
      </c>
      <c r="K1517" t="s">
        <v>31</v>
      </c>
      <c r="L1517" s="4">
        <v>400</v>
      </c>
      <c r="M1517" t="s">
        <v>1112</v>
      </c>
      <c r="N1517" t="s">
        <v>26</v>
      </c>
      <c r="O1517" s="4">
        <v>5</v>
      </c>
      <c r="P1517">
        <v>0</v>
      </c>
      <c r="Q1517" s="4">
        <v>5</v>
      </c>
      <c r="R1517" s="12">
        <f t="shared" si="23"/>
        <v>2000</v>
      </c>
      <c r="T1517" t="s">
        <v>71</v>
      </c>
      <c r="U1517" t="s">
        <v>1113</v>
      </c>
      <c r="V1517" s="4">
        <v>400</v>
      </c>
      <c r="W1517">
        <v>0</v>
      </c>
    </row>
    <row r="1518" spans="1:23" hidden="1" x14ac:dyDescent="0.25">
      <c r="A1518" s="2">
        <v>45912.587384259263</v>
      </c>
      <c r="B1518">
        <v>293</v>
      </c>
      <c r="C1518" t="s">
        <v>1111</v>
      </c>
      <c r="D1518" s="3">
        <v>45912</v>
      </c>
      <c r="E1518" s="3">
        <v>46142</v>
      </c>
      <c r="F1518" t="s">
        <v>418</v>
      </c>
      <c r="G1518" t="s">
        <v>1494</v>
      </c>
      <c r="H1518" t="s">
        <v>22</v>
      </c>
      <c r="I1518" t="s">
        <v>38</v>
      </c>
      <c r="J1518" t="s">
        <v>1491</v>
      </c>
      <c r="K1518" t="s">
        <v>24</v>
      </c>
      <c r="L1518" s="4">
        <v>54</v>
      </c>
      <c r="M1518" t="s">
        <v>1112</v>
      </c>
      <c r="N1518" t="s">
        <v>26</v>
      </c>
      <c r="O1518" s="4">
        <v>12</v>
      </c>
      <c r="P1518">
        <v>0</v>
      </c>
      <c r="Q1518" s="4">
        <v>12</v>
      </c>
      <c r="R1518" s="12">
        <f t="shared" si="23"/>
        <v>648</v>
      </c>
      <c r="T1518" t="s">
        <v>71</v>
      </c>
      <c r="U1518" t="s">
        <v>1113</v>
      </c>
      <c r="V1518" s="4">
        <v>54</v>
      </c>
      <c r="W1518">
        <v>0</v>
      </c>
    </row>
    <row r="1519" spans="1:23" hidden="1" x14ac:dyDescent="0.25">
      <c r="A1519" s="2">
        <v>45912.590138888889</v>
      </c>
      <c r="B1519">
        <v>294</v>
      </c>
      <c r="C1519" t="s">
        <v>1111</v>
      </c>
      <c r="D1519" s="3">
        <v>45912</v>
      </c>
      <c r="E1519" s="3">
        <v>46264</v>
      </c>
      <c r="F1519" t="s">
        <v>418</v>
      </c>
      <c r="G1519" t="s">
        <v>1494</v>
      </c>
      <c r="H1519" t="s">
        <v>22</v>
      </c>
      <c r="I1519" t="s">
        <v>44</v>
      </c>
      <c r="J1519" t="s">
        <v>1491</v>
      </c>
      <c r="K1519" t="s">
        <v>31</v>
      </c>
      <c r="L1519" s="4">
        <v>400</v>
      </c>
      <c r="M1519" t="s">
        <v>1114</v>
      </c>
      <c r="N1519" t="s">
        <v>46</v>
      </c>
      <c r="O1519" s="4">
        <v>8</v>
      </c>
      <c r="P1519">
        <v>0</v>
      </c>
      <c r="Q1519" s="4">
        <v>8</v>
      </c>
      <c r="R1519" s="12">
        <f t="shared" si="23"/>
        <v>3200</v>
      </c>
      <c r="T1519" t="s">
        <v>71</v>
      </c>
      <c r="U1519" t="s">
        <v>1113</v>
      </c>
      <c r="V1519" s="4">
        <v>400</v>
      </c>
      <c r="W1519">
        <v>0</v>
      </c>
    </row>
    <row r="1520" spans="1:23" hidden="1" x14ac:dyDescent="0.25">
      <c r="A1520" s="2">
        <v>45912.590138888889</v>
      </c>
      <c r="B1520">
        <v>294</v>
      </c>
      <c r="C1520" t="s">
        <v>1111</v>
      </c>
      <c r="D1520" s="3">
        <v>45912</v>
      </c>
      <c r="E1520" s="3">
        <v>46264</v>
      </c>
      <c r="F1520" t="s">
        <v>418</v>
      </c>
      <c r="H1520" t="s">
        <v>22</v>
      </c>
      <c r="I1520" t="s">
        <v>72</v>
      </c>
      <c r="J1520" t="s">
        <v>1490</v>
      </c>
      <c r="K1520" t="s">
        <v>24</v>
      </c>
      <c r="L1520" s="4">
        <v>950</v>
      </c>
      <c r="M1520" t="s">
        <v>1114</v>
      </c>
      <c r="N1520" t="s">
        <v>46</v>
      </c>
      <c r="O1520" s="4">
        <v>4</v>
      </c>
      <c r="P1520">
        <v>0</v>
      </c>
      <c r="Q1520" s="4">
        <v>4</v>
      </c>
      <c r="R1520" s="12">
        <f t="shared" si="23"/>
        <v>3800</v>
      </c>
      <c r="T1520" t="s">
        <v>71</v>
      </c>
      <c r="U1520" t="s">
        <v>1113</v>
      </c>
      <c r="V1520" s="4">
        <v>950</v>
      </c>
      <c r="W1520">
        <v>0</v>
      </c>
    </row>
    <row r="1521" spans="1:23" hidden="1" x14ac:dyDescent="0.25">
      <c r="A1521" s="2">
        <v>45912.590138888889</v>
      </c>
      <c r="B1521">
        <v>294</v>
      </c>
      <c r="C1521" t="s">
        <v>1111</v>
      </c>
      <c r="D1521" s="3">
        <v>45912</v>
      </c>
      <c r="E1521" s="3">
        <v>46264</v>
      </c>
      <c r="F1521" t="s">
        <v>418</v>
      </c>
      <c r="G1521" t="s">
        <v>1494</v>
      </c>
      <c r="H1521" t="s">
        <v>22</v>
      </c>
      <c r="I1521" t="s">
        <v>38</v>
      </c>
      <c r="J1521" t="s">
        <v>1491</v>
      </c>
      <c r="K1521" t="s">
        <v>24</v>
      </c>
      <c r="L1521" s="4">
        <v>54</v>
      </c>
      <c r="M1521" t="s">
        <v>1114</v>
      </c>
      <c r="N1521" t="s">
        <v>46</v>
      </c>
      <c r="O1521" s="4">
        <v>42</v>
      </c>
      <c r="P1521">
        <v>0</v>
      </c>
      <c r="Q1521" s="4">
        <v>42</v>
      </c>
      <c r="R1521" s="12">
        <f t="shared" si="23"/>
        <v>2268</v>
      </c>
      <c r="T1521" t="s">
        <v>71</v>
      </c>
      <c r="U1521" t="s">
        <v>1113</v>
      </c>
      <c r="V1521" s="4">
        <v>54</v>
      </c>
      <c r="W1521">
        <v>0</v>
      </c>
    </row>
    <row r="1522" spans="1:23" hidden="1" x14ac:dyDescent="0.25">
      <c r="A1522" s="2">
        <v>45912.590138888889</v>
      </c>
      <c r="B1522">
        <v>294</v>
      </c>
      <c r="C1522" t="s">
        <v>1111</v>
      </c>
      <c r="D1522" s="3">
        <v>45912</v>
      </c>
      <c r="E1522" s="3">
        <v>46264</v>
      </c>
      <c r="F1522" t="s">
        <v>418</v>
      </c>
      <c r="G1522" t="s">
        <v>1494</v>
      </c>
      <c r="H1522" t="s">
        <v>22</v>
      </c>
      <c r="I1522" t="s">
        <v>41</v>
      </c>
      <c r="J1522" t="s">
        <v>1491</v>
      </c>
      <c r="K1522" t="s">
        <v>24</v>
      </c>
      <c r="L1522" s="4">
        <v>345</v>
      </c>
      <c r="M1522" t="s">
        <v>1114</v>
      </c>
      <c r="N1522" t="s">
        <v>46</v>
      </c>
      <c r="O1522" s="4">
        <v>4</v>
      </c>
      <c r="P1522">
        <v>0</v>
      </c>
      <c r="Q1522" s="4">
        <v>4</v>
      </c>
      <c r="R1522" s="12">
        <f t="shared" si="23"/>
        <v>1380</v>
      </c>
      <c r="T1522" t="s">
        <v>71</v>
      </c>
      <c r="U1522" t="s">
        <v>1113</v>
      </c>
      <c r="V1522" s="4">
        <v>345</v>
      </c>
      <c r="W1522">
        <v>0</v>
      </c>
    </row>
    <row r="1523" spans="1:23" hidden="1" x14ac:dyDescent="0.25">
      <c r="A1523" s="2">
        <v>45912.590138888889</v>
      </c>
      <c r="B1523">
        <v>294</v>
      </c>
      <c r="C1523" t="s">
        <v>1111</v>
      </c>
      <c r="D1523" s="3">
        <v>45912</v>
      </c>
      <c r="E1523" s="3">
        <v>46264</v>
      </c>
      <c r="F1523" t="s">
        <v>418</v>
      </c>
      <c r="G1523" t="s">
        <v>1494</v>
      </c>
      <c r="H1523" t="s">
        <v>22</v>
      </c>
      <c r="I1523" t="s">
        <v>40</v>
      </c>
      <c r="J1523" t="s">
        <v>1491</v>
      </c>
      <c r="K1523" t="s">
        <v>24</v>
      </c>
      <c r="L1523" s="4">
        <v>345</v>
      </c>
      <c r="M1523" t="s">
        <v>1114</v>
      </c>
      <c r="N1523" t="s">
        <v>46</v>
      </c>
      <c r="O1523" s="4">
        <v>4</v>
      </c>
      <c r="P1523">
        <v>0</v>
      </c>
      <c r="Q1523" s="4">
        <v>4</v>
      </c>
      <c r="R1523" s="12">
        <f t="shared" si="23"/>
        <v>1380</v>
      </c>
      <c r="T1523" t="s">
        <v>71</v>
      </c>
      <c r="U1523" t="s">
        <v>1113</v>
      </c>
      <c r="V1523" s="4">
        <v>345</v>
      </c>
      <c r="W1523">
        <v>0</v>
      </c>
    </row>
    <row r="1524" spans="1:23" hidden="1" x14ac:dyDescent="0.25">
      <c r="A1524" s="2">
        <v>45912.599050925928</v>
      </c>
      <c r="B1524">
        <v>295</v>
      </c>
      <c r="C1524" t="s">
        <v>1111</v>
      </c>
      <c r="D1524" s="3">
        <v>45912</v>
      </c>
      <c r="E1524" s="3">
        <v>46142</v>
      </c>
      <c r="F1524" t="s">
        <v>418</v>
      </c>
      <c r="H1524" t="s">
        <v>22</v>
      </c>
      <c r="I1524" t="s">
        <v>177</v>
      </c>
      <c r="J1524" t="s">
        <v>1490</v>
      </c>
      <c r="K1524" t="s">
        <v>24</v>
      </c>
      <c r="L1524" s="4">
        <v>19.5</v>
      </c>
      <c r="M1524" t="s">
        <v>1115</v>
      </c>
      <c r="N1524" t="s">
        <v>26</v>
      </c>
      <c r="O1524" s="4">
        <v>40</v>
      </c>
      <c r="P1524">
        <v>0</v>
      </c>
      <c r="Q1524" s="4">
        <v>40</v>
      </c>
      <c r="R1524" s="12">
        <f t="shared" si="23"/>
        <v>780</v>
      </c>
      <c r="T1524" t="s">
        <v>71</v>
      </c>
      <c r="U1524" t="s">
        <v>1113</v>
      </c>
      <c r="V1524" s="4">
        <v>19.5</v>
      </c>
      <c r="W1524">
        <v>0</v>
      </c>
    </row>
    <row r="1525" spans="1:23" hidden="1" x14ac:dyDescent="0.25">
      <c r="A1525" s="2">
        <v>45912.599050925928</v>
      </c>
      <c r="B1525">
        <v>295</v>
      </c>
      <c r="C1525" t="s">
        <v>1111</v>
      </c>
      <c r="D1525" s="3">
        <v>45912</v>
      </c>
      <c r="E1525" s="3">
        <v>46142</v>
      </c>
      <c r="F1525" t="s">
        <v>418</v>
      </c>
      <c r="H1525" t="s">
        <v>22</v>
      </c>
      <c r="I1525" t="s">
        <v>34</v>
      </c>
      <c r="J1525" t="s">
        <v>1490</v>
      </c>
      <c r="K1525" t="s">
        <v>31</v>
      </c>
      <c r="L1525" s="4">
        <v>25</v>
      </c>
      <c r="M1525" t="s">
        <v>1115</v>
      </c>
      <c r="N1525" t="s">
        <v>26</v>
      </c>
      <c r="O1525" s="4">
        <v>200</v>
      </c>
      <c r="P1525">
        <v>0</v>
      </c>
      <c r="Q1525" s="4">
        <v>200</v>
      </c>
      <c r="R1525" s="12">
        <f t="shared" si="23"/>
        <v>5000</v>
      </c>
      <c r="T1525" t="s">
        <v>71</v>
      </c>
      <c r="U1525" t="s">
        <v>1113</v>
      </c>
      <c r="V1525" s="4">
        <v>25</v>
      </c>
      <c r="W1525">
        <v>0</v>
      </c>
    </row>
    <row r="1526" spans="1:23" hidden="1" x14ac:dyDescent="0.25">
      <c r="A1526" s="2">
        <v>45912.599050925928</v>
      </c>
      <c r="B1526">
        <v>295</v>
      </c>
      <c r="C1526" t="s">
        <v>1111</v>
      </c>
      <c r="D1526" s="3">
        <v>45912</v>
      </c>
      <c r="E1526" s="3">
        <v>46142</v>
      </c>
      <c r="F1526" t="s">
        <v>418</v>
      </c>
      <c r="H1526" t="s">
        <v>22</v>
      </c>
      <c r="I1526" t="s">
        <v>32</v>
      </c>
      <c r="J1526" t="s">
        <v>1490</v>
      </c>
      <c r="K1526" t="s">
        <v>24</v>
      </c>
      <c r="L1526" s="4">
        <v>24</v>
      </c>
      <c r="M1526" t="s">
        <v>1115</v>
      </c>
      <c r="N1526" t="s">
        <v>26</v>
      </c>
      <c r="O1526" s="4">
        <v>120</v>
      </c>
      <c r="P1526">
        <v>0</v>
      </c>
      <c r="Q1526" s="4">
        <v>120</v>
      </c>
      <c r="R1526" s="12">
        <f t="shared" si="23"/>
        <v>2880</v>
      </c>
      <c r="T1526" t="s">
        <v>71</v>
      </c>
      <c r="U1526" t="s">
        <v>1113</v>
      </c>
      <c r="V1526" s="4">
        <v>24</v>
      </c>
      <c r="W1526">
        <v>0</v>
      </c>
    </row>
    <row r="1527" spans="1:23" hidden="1" x14ac:dyDescent="0.25">
      <c r="A1527" s="2">
        <v>45912.599050925928</v>
      </c>
      <c r="B1527">
        <v>295</v>
      </c>
      <c r="C1527" t="s">
        <v>1111</v>
      </c>
      <c r="D1527" s="3">
        <v>45912</v>
      </c>
      <c r="E1527" s="3">
        <v>46142</v>
      </c>
      <c r="F1527" t="s">
        <v>418</v>
      </c>
      <c r="H1527" t="s">
        <v>22</v>
      </c>
      <c r="I1527" t="s">
        <v>192</v>
      </c>
      <c r="J1527" t="s">
        <v>1490</v>
      </c>
      <c r="K1527" t="s">
        <v>24</v>
      </c>
      <c r="L1527" s="4">
        <v>17.5</v>
      </c>
      <c r="M1527" t="s">
        <v>1115</v>
      </c>
      <c r="N1527" t="s">
        <v>26</v>
      </c>
      <c r="O1527" s="4">
        <v>300</v>
      </c>
      <c r="P1527">
        <v>0</v>
      </c>
      <c r="Q1527" s="4">
        <v>300</v>
      </c>
      <c r="R1527" s="12">
        <f t="shared" si="23"/>
        <v>5250</v>
      </c>
      <c r="T1527" t="s">
        <v>71</v>
      </c>
      <c r="U1527" t="s">
        <v>1113</v>
      </c>
      <c r="V1527" s="4">
        <v>17.5</v>
      </c>
      <c r="W1527">
        <v>0</v>
      </c>
    </row>
    <row r="1528" spans="1:23" hidden="1" x14ac:dyDescent="0.25">
      <c r="A1528" s="2">
        <v>45912.599050925928</v>
      </c>
      <c r="B1528">
        <v>295</v>
      </c>
      <c r="C1528" t="s">
        <v>1111</v>
      </c>
      <c r="D1528" s="3">
        <v>45912</v>
      </c>
      <c r="E1528" s="3">
        <v>46142</v>
      </c>
      <c r="F1528" t="s">
        <v>418</v>
      </c>
      <c r="H1528" t="s">
        <v>22</v>
      </c>
      <c r="I1528" t="s">
        <v>23</v>
      </c>
      <c r="J1528" t="s">
        <v>1490</v>
      </c>
      <c r="K1528" t="s">
        <v>24</v>
      </c>
      <c r="L1528" s="4">
        <v>14</v>
      </c>
      <c r="M1528" t="s">
        <v>1115</v>
      </c>
      <c r="N1528" t="s">
        <v>26</v>
      </c>
      <c r="O1528" s="4">
        <v>160</v>
      </c>
      <c r="P1528">
        <v>0</v>
      </c>
      <c r="Q1528" s="4">
        <v>160</v>
      </c>
      <c r="R1528" s="12">
        <f t="shared" si="23"/>
        <v>2240</v>
      </c>
      <c r="T1528" t="s">
        <v>71</v>
      </c>
      <c r="U1528" t="s">
        <v>1113</v>
      </c>
      <c r="V1528" s="4">
        <v>14</v>
      </c>
      <c r="W1528">
        <v>0</v>
      </c>
    </row>
    <row r="1529" spans="1:23" hidden="1" x14ac:dyDescent="0.25">
      <c r="A1529" s="2">
        <v>45912.599050925928</v>
      </c>
      <c r="B1529">
        <v>295</v>
      </c>
      <c r="C1529" t="s">
        <v>1111</v>
      </c>
      <c r="D1529" s="3">
        <v>45912</v>
      </c>
      <c r="E1529" s="3">
        <v>46142</v>
      </c>
      <c r="F1529" t="s">
        <v>418</v>
      </c>
      <c r="H1529" t="s">
        <v>22</v>
      </c>
      <c r="I1529" t="s">
        <v>30</v>
      </c>
      <c r="J1529" t="s">
        <v>1490</v>
      </c>
      <c r="K1529" t="s">
        <v>31</v>
      </c>
      <c r="L1529" s="4">
        <v>22.5</v>
      </c>
      <c r="M1529" t="s">
        <v>1115</v>
      </c>
      <c r="N1529" t="s">
        <v>26</v>
      </c>
      <c r="O1529" s="4">
        <v>240</v>
      </c>
      <c r="P1529">
        <v>0</v>
      </c>
      <c r="Q1529" s="4">
        <v>240</v>
      </c>
      <c r="R1529" s="12">
        <f t="shared" si="23"/>
        <v>5400</v>
      </c>
      <c r="T1529" t="s">
        <v>71</v>
      </c>
      <c r="U1529" t="s">
        <v>1113</v>
      </c>
      <c r="V1529" s="4">
        <v>22.5</v>
      </c>
      <c r="W1529">
        <v>0</v>
      </c>
    </row>
    <row r="1530" spans="1:23" hidden="1" x14ac:dyDescent="0.25">
      <c r="A1530" s="2">
        <v>45912.599050925928</v>
      </c>
      <c r="B1530">
        <v>295</v>
      </c>
      <c r="C1530" t="s">
        <v>1111</v>
      </c>
      <c r="D1530" s="3">
        <v>45912</v>
      </c>
      <c r="E1530" s="3">
        <v>46142</v>
      </c>
      <c r="F1530" t="s">
        <v>418</v>
      </c>
      <c r="H1530" t="s">
        <v>22</v>
      </c>
      <c r="I1530" t="s">
        <v>37</v>
      </c>
      <c r="J1530" t="s">
        <v>1490</v>
      </c>
      <c r="K1530" t="s">
        <v>31</v>
      </c>
      <c r="L1530" s="4">
        <v>80</v>
      </c>
      <c r="M1530" t="s">
        <v>1115</v>
      </c>
      <c r="N1530" t="s">
        <v>26</v>
      </c>
      <c r="O1530" s="4">
        <v>30</v>
      </c>
      <c r="P1530">
        <v>0</v>
      </c>
      <c r="Q1530" s="4">
        <v>30</v>
      </c>
      <c r="R1530" s="12">
        <f t="shared" si="23"/>
        <v>2400</v>
      </c>
      <c r="T1530" t="s">
        <v>71</v>
      </c>
      <c r="U1530" t="s">
        <v>1113</v>
      </c>
      <c r="V1530" s="4">
        <v>80</v>
      </c>
      <c r="W1530">
        <v>0</v>
      </c>
    </row>
    <row r="1531" spans="1:23" hidden="1" x14ac:dyDescent="0.25">
      <c r="A1531" s="2">
        <v>45912.599050925928</v>
      </c>
      <c r="B1531">
        <v>295</v>
      </c>
      <c r="C1531" t="s">
        <v>1111</v>
      </c>
      <c r="D1531" s="3">
        <v>45912</v>
      </c>
      <c r="E1531" s="3">
        <v>46142</v>
      </c>
      <c r="F1531" t="s">
        <v>418</v>
      </c>
      <c r="H1531" t="s">
        <v>22</v>
      </c>
      <c r="I1531" t="s">
        <v>29</v>
      </c>
      <c r="J1531" t="s">
        <v>1490</v>
      </c>
      <c r="K1531" t="s">
        <v>24</v>
      </c>
      <c r="L1531" s="4">
        <v>157</v>
      </c>
      <c r="M1531" t="s">
        <v>1115</v>
      </c>
      <c r="N1531" t="s">
        <v>26</v>
      </c>
      <c r="O1531" s="4">
        <v>60</v>
      </c>
      <c r="P1531">
        <v>0</v>
      </c>
      <c r="Q1531" s="4">
        <v>60</v>
      </c>
      <c r="R1531" s="12">
        <f t="shared" si="23"/>
        <v>9420</v>
      </c>
      <c r="T1531" t="s">
        <v>71</v>
      </c>
      <c r="U1531" t="s">
        <v>1113</v>
      </c>
      <c r="V1531" s="4">
        <v>157</v>
      </c>
      <c r="W1531">
        <v>0</v>
      </c>
    </row>
    <row r="1532" spans="1:23" hidden="1" x14ac:dyDescent="0.25">
      <c r="A1532" s="2">
        <v>45912.60292824074</v>
      </c>
      <c r="B1532">
        <v>296</v>
      </c>
      <c r="C1532" t="s">
        <v>1111</v>
      </c>
      <c r="D1532" s="3">
        <v>45912</v>
      </c>
      <c r="E1532" s="3">
        <v>46264</v>
      </c>
      <c r="F1532" t="s">
        <v>418</v>
      </c>
      <c r="H1532" t="s">
        <v>22</v>
      </c>
      <c r="I1532" t="s">
        <v>29</v>
      </c>
      <c r="J1532" t="s">
        <v>1490</v>
      </c>
      <c r="K1532" t="s">
        <v>24</v>
      </c>
      <c r="L1532" s="4">
        <v>160</v>
      </c>
      <c r="M1532" t="s">
        <v>1116</v>
      </c>
      <c r="N1532" t="s">
        <v>46</v>
      </c>
      <c r="O1532" s="4">
        <v>40</v>
      </c>
      <c r="P1532">
        <v>0</v>
      </c>
      <c r="Q1532" s="4">
        <v>40</v>
      </c>
      <c r="R1532" s="12">
        <f t="shared" si="23"/>
        <v>6400</v>
      </c>
      <c r="T1532" t="s">
        <v>71</v>
      </c>
      <c r="U1532" t="s">
        <v>1113</v>
      </c>
      <c r="V1532" s="4">
        <v>160</v>
      </c>
      <c r="W1532">
        <v>0</v>
      </c>
    </row>
    <row r="1533" spans="1:23" hidden="1" x14ac:dyDescent="0.25">
      <c r="A1533" s="2">
        <v>45912.60292824074</v>
      </c>
      <c r="B1533">
        <v>296</v>
      </c>
      <c r="C1533" t="s">
        <v>1111</v>
      </c>
      <c r="D1533" s="3">
        <v>45912</v>
      </c>
      <c r="E1533" s="3">
        <v>46264</v>
      </c>
      <c r="F1533" t="s">
        <v>418</v>
      </c>
      <c r="H1533" t="s">
        <v>22</v>
      </c>
      <c r="I1533" t="s">
        <v>30</v>
      </c>
      <c r="J1533" t="s">
        <v>1490</v>
      </c>
      <c r="K1533" t="s">
        <v>31</v>
      </c>
      <c r="L1533" s="4">
        <v>22.5</v>
      </c>
      <c r="M1533" t="s">
        <v>1116</v>
      </c>
      <c r="N1533" t="s">
        <v>46</v>
      </c>
      <c r="O1533" s="4">
        <v>400</v>
      </c>
      <c r="P1533">
        <v>0</v>
      </c>
      <c r="Q1533" s="4">
        <v>400</v>
      </c>
      <c r="R1533" s="12">
        <f t="shared" si="23"/>
        <v>9000</v>
      </c>
      <c r="T1533" t="s">
        <v>71</v>
      </c>
      <c r="U1533" t="s">
        <v>1113</v>
      </c>
      <c r="V1533" s="4">
        <v>22.5</v>
      </c>
      <c r="W1533">
        <v>0</v>
      </c>
    </row>
    <row r="1534" spans="1:23" hidden="1" x14ac:dyDescent="0.25">
      <c r="A1534" s="2">
        <v>45912.60292824074</v>
      </c>
      <c r="B1534">
        <v>296</v>
      </c>
      <c r="C1534" t="s">
        <v>1111</v>
      </c>
      <c r="D1534" s="3">
        <v>45912</v>
      </c>
      <c r="E1534" s="3">
        <v>46264</v>
      </c>
      <c r="F1534" t="s">
        <v>418</v>
      </c>
      <c r="H1534" t="s">
        <v>22</v>
      </c>
      <c r="I1534" t="s">
        <v>519</v>
      </c>
      <c r="J1534" t="s">
        <v>1490</v>
      </c>
      <c r="K1534" t="s">
        <v>31</v>
      </c>
      <c r="L1534" s="4">
        <v>28</v>
      </c>
      <c r="M1534" t="s">
        <v>1116</v>
      </c>
      <c r="N1534" t="s">
        <v>46</v>
      </c>
      <c r="O1534" s="4">
        <v>200</v>
      </c>
      <c r="P1534">
        <v>0</v>
      </c>
      <c r="Q1534" s="4">
        <v>200</v>
      </c>
      <c r="R1534" s="12">
        <f t="shared" si="23"/>
        <v>5600</v>
      </c>
      <c r="T1534" t="s">
        <v>71</v>
      </c>
      <c r="U1534" t="s">
        <v>1113</v>
      </c>
      <c r="V1534" s="4">
        <v>28</v>
      </c>
      <c r="W1534">
        <v>0</v>
      </c>
    </row>
    <row r="1535" spans="1:23" hidden="1" x14ac:dyDescent="0.25">
      <c r="A1535" s="2">
        <v>45912.60292824074</v>
      </c>
      <c r="B1535">
        <v>296</v>
      </c>
      <c r="C1535" t="s">
        <v>1111</v>
      </c>
      <c r="D1535" s="3">
        <v>45912</v>
      </c>
      <c r="E1535" s="3">
        <v>46264</v>
      </c>
      <c r="F1535" t="s">
        <v>418</v>
      </c>
      <c r="H1535" t="s">
        <v>22</v>
      </c>
      <c r="I1535" t="s">
        <v>192</v>
      </c>
      <c r="J1535" t="s">
        <v>1490</v>
      </c>
      <c r="K1535" t="s">
        <v>24</v>
      </c>
      <c r="L1535" s="4">
        <v>17.5</v>
      </c>
      <c r="M1535" t="s">
        <v>1116</v>
      </c>
      <c r="N1535" t="s">
        <v>46</v>
      </c>
      <c r="O1535" s="4">
        <v>200</v>
      </c>
      <c r="P1535">
        <v>0</v>
      </c>
      <c r="Q1535" s="4">
        <v>200</v>
      </c>
      <c r="R1535" s="12">
        <f t="shared" si="23"/>
        <v>3500</v>
      </c>
      <c r="T1535" t="s">
        <v>71</v>
      </c>
      <c r="U1535" t="s">
        <v>1113</v>
      </c>
      <c r="V1535" s="4">
        <v>17.5</v>
      </c>
      <c r="W1535">
        <v>0</v>
      </c>
    </row>
    <row r="1536" spans="1:23" hidden="1" x14ac:dyDescent="0.25">
      <c r="A1536" s="2">
        <v>45948.48878472222</v>
      </c>
      <c r="B1536">
        <v>366</v>
      </c>
      <c r="C1536" t="s">
        <v>1111</v>
      </c>
      <c r="D1536" s="3">
        <v>45948</v>
      </c>
      <c r="E1536" s="3">
        <v>46142</v>
      </c>
      <c r="F1536" t="s">
        <v>418</v>
      </c>
      <c r="G1536" t="s">
        <v>1494</v>
      </c>
      <c r="H1536" t="s">
        <v>22</v>
      </c>
      <c r="I1536" t="s">
        <v>41</v>
      </c>
      <c r="J1536" t="s">
        <v>1491</v>
      </c>
      <c r="K1536" t="s">
        <v>24</v>
      </c>
      <c r="L1536" s="4">
        <v>300</v>
      </c>
      <c r="M1536" t="s">
        <v>1117</v>
      </c>
      <c r="N1536" t="s">
        <v>26</v>
      </c>
      <c r="O1536" s="4">
        <v>50</v>
      </c>
      <c r="P1536">
        <v>0</v>
      </c>
      <c r="Q1536" s="4">
        <v>50</v>
      </c>
      <c r="R1536" s="12">
        <f t="shared" si="23"/>
        <v>15000</v>
      </c>
      <c r="T1536" t="s">
        <v>71</v>
      </c>
      <c r="U1536" t="s">
        <v>1113</v>
      </c>
      <c r="V1536" s="4">
        <v>300</v>
      </c>
      <c r="W1536">
        <v>0</v>
      </c>
    </row>
    <row r="1537" spans="1:23" hidden="1" x14ac:dyDescent="0.25">
      <c r="A1537" s="2">
        <v>45954.385925925926</v>
      </c>
      <c r="B1537">
        <v>381</v>
      </c>
      <c r="C1537" t="s">
        <v>1111</v>
      </c>
      <c r="D1537" s="3">
        <v>45954</v>
      </c>
      <c r="E1537" s="3">
        <v>46142</v>
      </c>
      <c r="F1537" t="s">
        <v>418</v>
      </c>
      <c r="H1537" t="s">
        <v>22</v>
      </c>
      <c r="I1537" t="s">
        <v>36</v>
      </c>
      <c r="J1537" t="s">
        <v>1490</v>
      </c>
      <c r="K1537" t="s">
        <v>24</v>
      </c>
      <c r="L1537" s="4">
        <v>67</v>
      </c>
      <c r="M1537" t="s">
        <v>1118</v>
      </c>
      <c r="N1537" t="s">
        <v>26</v>
      </c>
      <c r="O1537" s="4">
        <v>140</v>
      </c>
      <c r="P1537">
        <v>0</v>
      </c>
      <c r="Q1537" s="4">
        <v>140</v>
      </c>
      <c r="R1537" s="12">
        <f t="shared" si="23"/>
        <v>9380</v>
      </c>
      <c r="T1537" t="s">
        <v>71</v>
      </c>
      <c r="U1537" t="s">
        <v>1113</v>
      </c>
      <c r="V1537" s="4">
        <v>67</v>
      </c>
      <c r="W1537">
        <v>0</v>
      </c>
    </row>
    <row r="1538" spans="1:23" hidden="1" x14ac:dyDescent="0.25">
      <c r="A1538" s="2">
        <v>45954.385925925926</v>
      </c>
      <c r="B1538">
        <v>381</v>
      </c>
      <c r="C1538" t="s">
        <v>1111</v>
      </c>
      <c r="D1538" s="3">
        <v>45954</v>
      </c>
      <c r="E1538" s="3">
        <v>46142</v>
      </c>
      <c r="F1538" t="s">
        <v>418</v>
      </c>
      <c r="H1538" t="s">
        <v>22</v>
      </c>
      <c r="I1538" t="s">
        <v>35</v>
      </c>
      <c r="J1538" t="s">
        <v>1490</v>
      </c>
      <c r="K1538" t="s">
        <v>24</v>
      </c>
      <c r="L1538" s="4">
        <v>67</v>
      </c>
      <c r="M1538" t="s">
        <v>1118</v>
      </c>
      <c r="N1538" t="s">
        <v>26</v>
      </c>
      <c r="O1538" s="4">
        <v>40</v>
      </c>
      <c r="P1538">
        <v>0</v>
      </c>
      <c r="Q1538" s="4">
        <v>40</v>
      </c>
      <c r="R1538" s="12">
        <f t="shared" si="23"/>
        <v>2680</v>
      </c>
      <c r="T1538" t="s">
        <v>71</v>
      </c>
      <c r="U1538" t="s">
        <v>1113</v>
      </c>
      <c r="V1538" s="4">
        <v>67</v>
      </c>
      <c r="W1538">
        <v>0</v>
      </c>
    </row>
    <row r="1539" spans="1:23" hidden="1" x14ac:dyDescent="0.25">
      <c r="A1539" s="2">
        <v>45974.30395833333</v>
      </c>
      <c r="B1539">
        <v>410</v>
      </c>
      <c r="C1539" t="s">
        <v>1111</v>
      </c>
      <c r="D1539" s="3">
        <v>45974</v>
      </c>
      <c r="E1539" s="3">
        <v>46142</v>
      </c>
      <c r="F1539" t="s">
        <v>418</v>
      </c>
      <c r="H1539" t="s">
        <v>22</v>
      </c>
      <c r="I1539" t="s">
        <v>35</v>
      </c>
      <c r="J1539" t="s">
        <v>1490</v>
      </c>
      <c r="K1539" t="s">
        <v>24</v>
      </c>
      <c r="L1539" s="4">
        <v>67</v>
      </c>
      <c r="M1539" t="s">
        <v>1119</v>
      </c>
      <c r="N1539" t="s">
        <v>26</v>
      </c>
      <c r="O1539" s="4">
        <v>100</v>
      </c>
      <c r="P1539">
        <v>0</v>
      </c>
      <c r="Q1539" s="4">
        <v>100</v>
      </c>
      <c r="R1539" s="12">
        <f t="shared" ref="R1539:R1602" si="24">Q1539*L1539</f>
        <v>6700</v>
      </c>
      <c r="T1539" t="s">
        <v>71</v>
      </c>
      <c r="U1539" t="s">
        <v>1113</v>
      </c>
      <c r="V1539" s="4">
        <v>67</v>
      </c>
      <c r="W1539">
        <v>0</v>
      </c>
    </row>
    <row r="1540" spans="1:23" hidden="1" x14ac:dyDescent="0.25">
      <c r="A1540" s="2">
        <v>45917.456458333334</v>
      </c>
      <c r="B1540">
        <v>4046</v>
      </c>
      <c r="C1540" t="s">
        <v>1120</v>
      </c>
      <c r="D1540" s="3">
        <v>45917</v>
      </c>
      <c r="E1540" s="3">
        <v>45991</v>
      </c>
      <c r="F1540" t="s">
        <v>79</v>
      </c>
      <c r="G1540" t="s">
        <v>1493</v>
      </c>
      <c r="H1540" t="s">
        <v>22</v>
      </c>
      <c r="I1540" t="s">
        <v>63</v>
      </c>
      <c r="J1540" t="s">
        <v>1491</v>
      </c>
      <c r="K1540" t="s">
        <v>31</v>
      </c>
      <c r="L1540" s="4">
        <v>170</v>
      </c>
      <c r="M1540" t="s">
        <v>1121</v>
      </c>
      <c r="N1540" t="s">
        <v>26</v>
      </c>
      <c r="O1540" s="4">
        <v>60</v>
      </c>
      <c r="P1540">
        <v>0</v>
      </c>
      <c r="Q1540" s="4">
        <v>60</v>
      </c>
      <c r="R1540" s="12">
        <f t="shared" si="24"/>
        <v>10200</v>
      </c>
      <c r="T1540" t="s">
        <v>371</v>
      </c>
      <c r="U1540" t="s">
        <v>1122</v>
      </c>
      <c r="V1540" s="4">
        <v>170</v>
      </c>
      <c r="W1540">
        <v>0</v>
      </c>
    </row>
    <row r="1541" spans="1:23" hidden="1" x14ac:dyDescent="0.25">
      <c r="A1541" s="2">
        <v>45917.457280092596</v>
      </c>
      <c r="B1541">
        <v>4047</v>
      </c>
      <c r="C1541" t="s">
        <v>1120</v>
      </c>
      <c r="D1541" s="3">
        <v>45917</v>
      </c>
      <c r="E1541" s="3">
        <v>45991</v>
      </c>
      <c r="F1541" t="s">
        <v>79</v>
      </c>
      <c r="G1541" t="s">
        <v>1493</v>
      </c>
      <c r="H1541" t="s">
        <v>22</v>
      </c>
      <c r="I1541" t="s">
        <v>63</v>
      </c>
      <c r="J1541" t="s">
        <v>1491</v>
      </c>
      <c r="K1541" t="s">
        <v>31</v>
      </c>
      <c r="L1541" s="4">
        <v>170</v>
      </c>
      <c r="M1541" t="s">
        <v>1123</v>
      </c>
      <c r="N1541" t="s">
        <v>26</v>
      </c>
      <c r="O1541" s="4">
        <v>120</v>
      </c>
      <c r="P1541">
        <v>0</v>
      </c>
      <c r="Q1541" s="4">
        <v>120</v>
      </c>
      <c r="R1541" s="12">
        <f t="shared" si="24"/>
        <v>20400</v>
      </c>
      <c r="T1541" t="s">
        <v>532</v>
      </c>
      <c r="U1541" t="s">
        <v>1122</v>
      </c>
      <c r="V1541" s="4">
        <v>170</v>
      </c>
      <c r="W1541">
        <v>0</v>
      </c>
    </row>
    <row r="1542" spans="1:23" hidden="1" x14ac:dyDescent="0.25">
      <c r="A1542" s="2">
        <v>45948.469560185185</v>
      </c>
      <c r="B1542">
        <v>4178</v>
      </c>
      <c r="C1542" t="s">
        <v>1120</v>
      </c>
      <c r="D1542" s="3">
        <v>45948</v>
      </c>
      <c r="E1542" s="3">
        <v>45991</v>
      </c>
      <c r="F1542" t="s">
        <v>112</v>
      </c>
      <c r="G1542" t="s">
        <v>1493</v>
      </c>
      <c r="H1542" t="s">
        <v>22</v>
      </c>
      <c r="I1542" t="s">
        <v>63</v>
      </c>
      <c r="J1542" t="s">
        <v>1491</v>
      </c>
      <c r="K1542" t="s">
        <v>31</v>
      </c>
      <c r="L1542" s="4">
        <v>170</v>
      </c>
      <c r="M1542" t="s">
        <v>1124</v>
      </c>
      <c r="N1542" t="s">
        <v>26</v>
      </c>
      <c r="O1542" s="4">
        <v>15</v>
      </c>
      <c r="P1542">
        <v>0</v>
      </c>
      <c r="Q1542" s="4">
        <v>15</v>
      </c>
      <c r="R1542" s="12">
        <f t="shared" si="24"/>
        <v>2550</v>
      </c>
      <c r="T1542" t="s">
        <v>371</v>
      </c>
      <c r="U1542" t="s">
        <v>1122</v>
      </c>
      <c r="V1542" s="4">
        <v>170</v>
      </c>
      <c r="W1542">
        <v>0</v>
      </c>
    </row>
    <row r="1543" spans="1:23" hidden="1" x14ac:dyDescent="0.25">
      <c r="A1543" s="2">
        <v>45791.393437500003</v>
      </c>
      <c r="B1543">
        <v>219</v>
      </c>
      <c r="C1543" t="s">
        <v>1125</v>
      </c>
      <c r="D1543" s="3">
        <v>45791</v>
      </c>
      <c r="E1543" s="3">
        <v>46172</v>
      </c>
      <c r="F1543" t="s">
        <v>418</v>
      </c>
      <c r="H1543" t="s">
        <v>22</v>
      </c>
      <c r="I1543" t="s">
        <v>190</v>
      </c>
      <c r="J1543" t="s">
        <v>1490</v>
      </c>
      <c r="K1543" t="s">
        <v>31</v>
      </c>
      <c r="L1543" s="4">
        <v>110</v>
      </c>
      <c r="N1543" t="s">
        <v>26</v>
      </c>
      <c r="O1543" s="4">
        <v>1000</v>
      </c>
      <c r="P1543">
        <v>0</v>
      </c>
      <c r="Q1543" s="4">
        <v>1000</v>
      </c>
      <c r="R1543" s="12">
        <f t="shared" si="24"/>
        <v>110000</v>
      </c>
      <c r="T1543" t="s">
        <v>1126</v>
      </c>
      <c r="U1543" t="s">
        <v>1127</v>
      </c>
      <c r="V1543" s="4">
        <v>110</v>
      </c>
      <c r="W1543">
        <v>0</v>
      </c>
    </row>
    <row r="1544" spans="1:23" hidden="1" x14ac:dyDescent="0.25">
      <c r="A1544" s="2">
        <v>45791.393437500003</v>
      </c>
      <c r="B1544">
        <v>219</v>
      </c>
      <c r="C1544" t="s">
        <v>1125</v>
      </c>
      <c r="D1544" s="3">
        <v>45791</v>
      </c>
      <c r="E1544" s="3">
        <v>46172</v>
      </c>
      <c r="F1544" t="s">
        <v>418</v>
      </c>
      <c r="H1544" t="s">
        <v>22</v>
      </c>
      <c r="I1544" t="s">
        <v>1128</v>
      </c>
      <c r="K1544" t="s">
        <v>24</v>
      </c>
      <c r="L1544" s="4">
        <v>166.65</v>
      </c>
      <c r="N1544" t="s">
        <v>26</v>
      </c>
      <c r="O1544" s="4">
        <v>1002</v>
      </c>
      <c r="P1544">
        <v>0</v>
      </c>
      <c r="Q1544" s="4">
        <v>1002</v>
      </c>
      <c r="R1544" s="12">
        <f t="shared" si="24"/>
        <v>166983.30000000002</v>
      </c>
      <c r="T1544" t="s">
        <v>1126</v>
      </c>
      <c r="U1544" t="s">
        <v>1127</v>
      </c>
      <c r="V1544" s="4">
        <v>166.65</v>
      </c>
      <c r="W1544">
        <v>0</v>
      </c>
    </row>
    <row r="1545" spans="1:23" hidden="1" x14ac:dyDescent="0.25">
      <c r="A1545" s="2">
        <v>45791.397569444445</v>
      </c>
      <c r="B1545">
        <v>220</v>
      </c>
      <c r="C1545" t="s">
        <v>1125</v>
      </c>
      <c r="D1545" s="3">
        <v>45791</v>
      </c>
      <c r="E1545" s="3">
        <v>46295</v>
      </c>
      <c r="F1545" t="s">
        <v>418</v>
      </c>
      <c r="G1545" t="s">
        <v>1494</v>
      </c>
      <c r="H1545" t="s">
        <v>22</v>
      </c>
      <c r="I1545" t="s">
        <v>38</v>
      </c>
      <c r="J1545" t="s">
        <v>1491</v>
      </c>
      <c r="K1545" t="s">
        <v>24</v>
      </c>
      <c r="L1545" s="4">
        <v>46.5</v>
      </c>
      <c r="M1545" t="s">
        <v>1129</v>
      </c>
      <c r="N1545" t="s">
        <v>46</v>
      </c>
      <c r="O1545" s="4">
        <v>750</v>
      </c>
      <c r="P1545">
        <v>0</v>
      </c>
      <c r="Q1545" s="4">
        <v>750</v>
      </c>
      <c r="R1545" s="12">
        <f t="shared" si="24"/>
        <v>34875</v>
      </c>
      <c r="T1545" t="s">
        <v>1126</v>
      </c>
      <c r="U1545" t="s">
        <v>1127</v>
      </c>
      <c r="V1545" s="4">
        <v>46.5</v>
      </c>
      <c r="W1545">
        <v>0</v>
      </c>
    </row>
    <row r="1546" spans="1:23" hidden="1" x14ac:dyDescent="0.25">
      <c r="A1546" s="2">
        <v>45791.397569444445</v>
      </c>
      <c r="B1546">
        <v>220</v>
      </c>
      <c r="C1546" t="s">
        <v>1125</v>
      </c>
      <c r="D1546" s="3">
        <v>45791</v>
      </c>
      <c r="E1546" s="3">
        <v>46295</v>
      </c>
      <c r="F1546" t="s">
        <v>418</v>
      </c>
      <c r="H1546" t="s">
        <v>22</v>
      </c>
      <c r="I1546" t="s">
        <v>1130</v>
      </c>
      <c r="K1546" t="s">
        <v>31</v>
      </c>
      <c r="L1546" s="4">
        <v>75</v>
      </c>
      <c r="M1546" t="s">
        <v>1129</v>
      </c>
      <c r="N1546" t="s">
        <v>46</v>
      </c>
      <c r="O1546" s="4">
        <v>750</v>
      </c>
      <c r="P1546">
        <v>0</v>
      </c>
      <c r="Q1546" s="4">
        <v>750</v>
      </c>
      <c r="R1546" s="12">
        <f t="shared" si="24"/>
        <v>56250</v>
      </c>
      <c r="T1546" t="s">
        <v>1126</v>
      </c>
      <c r="U1546" t="s">
        <v>1127</v>
      </c>
      <c r="V1546" s="4">
        <v>75</v>
      </c>
      <c r="W1546">
        <v>0</v>
      </c>
    </row>
    <row r="1547" spans="1:23" hidden="1" x14ac:dyDescent="0.25">
      <c r="A1547" s="2">
        <v>45833.654085648152</v>
      </c>
      <c r="B1547">
        <v>240</v>
      </c>
      <c r="C1547" t="s">
        <v>1125</v>
      </c>
      <c r="D1547" s="3">
        <v>45833</v>
      </c>
      <c r="E1547" s="3">
        <v>46157</v>
      </c>
      <c r="F1547" t="s">
        <v>418</v>
      </c>
      <c r="H1547" t="s">
        <v>22</v>
      </c>
      <c r="I1547" t="s">
        <v>35</v>
      </c>
      <c r="J1547" t="s">
        <v>1490</v>
      </c>
      <c r="K1547" t="s">
        <v>24</v>
      </c>
      <c r="L1547" s="4">
        <v>67</v>
      </c>
      <c r="M1547" t="s">
        <v>1131</v>
      </c>
      <c r="N1547" t="s">
        <v>26</v>
      </c>
      <c r="O1547" s="4">
        <v>680</v>
      </c>
      <c r="P1547">
        <v>0</v>
      </c>
      <c r="Q1547" s="4">
        <v>680</v>
      </c>
      <c r="R1547" s="12">
        <f t="shared" si="24"/>
        <v>45560</v>
      </c>
      <c r="T1547" t="s">
        <v>1126</v>
      </c>
      <c r="U1547" t="s">
        <v>1127</v>
      </c>
      <c r="V1547" s="4">
        <v>67</v>
      </c>
      <c r="W1547">
        <v>0</v>
      </c>
    </row>
    <row r="1548" spans="1:23" hidden="1" x14ac:dyDescent="0.25">
      <c r="A1548" s="2">
        <v>45833.654085648152</v>
      </c>
      <c r="B1548">
        <v>240</v>
      </c>
      <c r="C1548" t="s">
        <v>1125</v>
      </c>
      <c r="D1548" s="3">
        <v>45833</v>
      </c>
      <c r="E1548" s="3">
        <v>46157</v>
      </c>
      <c r="F1548" t="s">
        <v>418</v>
      </c>
      <c r="H1548" t="s">
        <v>22</v>
      </c>
      <c r="I1548" t="s">
        <v>42</v>
      </c>
      <c r="J1548" t="s">
        <v>1490</v>
      </c>
      <c r="K1548" t="s">
        <v>24</v>
      </c>
      <c r="L1548" s="4">
        <v>210</v>
      </c>
      <c r="M1548" t="s">
        <v>1131</v>
      </c>
      <c r="N1548" t="s">
        <v>26</v>
      </c>
      <c r="O1548" s="4">
        <v>500</v>
      </c>
      <c r="P1548">
        <v>0</v>
      </c>
      <c r="Q1548" s="4">
        <v>500</v>
      </c>
      <c r="R1548" s="12">
        <f t="shared" si="24"/>
        <v>105000</v>
      </c>
      <c r="T1548" t="s">
        <v>1126</v>
      </c>
      <c r="U1548" t="s">
        <v>1127</v>
      </c>
      <c r="V1548" s="4">
        <v>210</v>
      </c>
      <c r="W1548">
        <v>0</v>
      </c>
    </row>
    <row r="1549" spans="1:23" hidden="1" x14ac:dyDescent="0.25">
      <c r="A1549" s="2">
        <v>45833.654085648152</v>
      </c>
      <c r="B1549">
        <v>240</v>
      </c>
      <c r="C1549" t="s">
        <v>1125</v>
      </c>
      <c r="D1549" s="3">
        <v>45833</v>
      </c>
      <c r="E1549" s="3">
        <v>46157</v>
      </c>
      <c r="F1549" t="s">
        <v>418</v>
      </c>
      <c r="G1549" t="s">
        <v>1494</v>
      </c>
      <c r="H1549" t="s">
        <v>22</v>
      </c>
      <c r="I1549" t="s">
        <v>44</v>
      </c>
      <c r="J1549" t="s">
        <v>1491</v>
      </c>
      <c r="K1549" t="s">
        <v>31</v>
      </c>
      <c r="L1549" s="4">
        <v>360</v>
      </c>
      <c r="M1549" t="s">
        <v>1131</v>
      </c>
      <c r="N1549" t="s">
        <v>26</v>
      </c>
      <c r="O1549" s="4">
        <v>250</v>
      </c>
      <c r="P1549">
        <v>0</v>
      </c>
      <c r="Q1549" s="4">
        <v>250</v>
      </c>
      <c r="R1549" s="12">
        <f t="shared" si="24"/>
        <v>90000</v>
      </c>
      <c r="T1549" t="s">
        <v>1126</v>
      </c>
      <c r="U1549" t="s">
        <v>1127</v>
      </c>
      <c r="V1549" s="4">
        <v>360</v>
      </c>
      <c r="W1549">
        <v>0</v>
      </c>
    </row>
    <row r="1550" spans="1:23" hidden="1" x14ac:dyDescent="0.25">
      <c r="A1550" s="2">
        <v>45833.654085648152</v>
      </c>
      <c r="B1550">
        <v>240</v>
      </c>
      <c r="C1550" t="s">
        <v>1125</v>
      </c>
      <c r="D1550" s="3">
        <v>45833</v>
      </c>
      <c r="E1550" s="3">
        <v>46157</v>
      </c>
      <c r="F1550" t="s">
        <v>418</v>
      </c>
      <c r="G1550" t="s">
        <v>1494</v>
      </c>
      <c r="H1550" t="s">
        <v>22</v>
      </c>
      <c r="I1550" t="s">
        <v>38</v>
      </c>
      <c r="J1550" t="s">
        <v>1491</v>
      </c>
      <c r="K1550" t="s">
        <v>24</v>
      </c>
      <c r="L1550" s="4">
        <v>46.5</v>
      </c>
      <c r="M1550" t="s">
        <v>1131</v>
      </c>
      <c r="N1550" t="s">
        <v>26</v>
      </c>
      <c r="O1550" s="4">
        <v>504</v>
      </c>
      <c r="P1550">
        <v>0</v>
      </c>
      <c r="Q1550" s="4">
        <v>504</v>
      </c>
      <c r="R1550" s="12">
        <f t="shared" si="24"/>
        <v>23436</v>
      </c>
      <c r="T1550" t="s">
        <v>1126</v>
      </c>
      <c r="U1550" t="s">
        <v>1127</v>
      </c>
      <c r="V1550" s="4">
        <v>46.5</v>
      </c>
      <c r="W1550">
        <v>0</v>
      </c>
    </row>
    <row r="1551" spans="1:23" hidden="1" x14ac:dyDescent="0.25">
      <c r="A1551" s="2">
        <v>45833.654085648152</v>
      </c>
      <c r="B1551">
        <v>240</v>
      </c>
      <c r="C1551" t="s">
        <v>1125</v>
      </c>
      <c r="D1551" s="3">
        <v>45833</v>
      </c>
      <c r="E1551" s="3">
        <v>46157</v>
      </c>
      <c r="F1551" t="s">
        <v>418</v>
      </c>
      <c r="H1551" t="s">
        <v>22</v>
      </c>
      <c r="I1551" t="s">
        <v>36</v>
      </c>
      <c r="J1551" t="s">
        <v>1490</v>
      </c>
      <c r="K1551" t="s">
        <v>24</v>
      </c>
      <c r="L1551" s="4">
        <v>67</v>
      </c>
      <c r="M1551" t="s">
        <v>1131</v>
      </c>
      <c r="N1551" t="s">
        <v>26</v>
      </c>
      <c r="O1551" s="4">
        <v>560</v>
      </c>
      <c r="P1551">
        <v>0</v>
      </c>
      <c r="Q1551" s="4">
        <v>560</v>
      </c>
      <c r="R1551" s="12">
        <f t="shared" si="24"/>
        <v>37520</v>
      </c>
      <c r="T1551" t="s">
        <v>1126</v>
      </c>
      <c r="U1551" t="s">
        <v>1127</v>
      </c>
      <c r="V1551" s="4">
        <v>67</v>
      </c>
      <c r="W1551">
        <v>0</v>
      </c>
    </row>
    <row r="1552" spans="1:23" hidden="1" x14ac:dyDescent="0.25">
      <c r="A1552" s="2">
        <v>45833.654085648152</v>
      </c>
      <c r="B1552">
        <v>240</v>
      </c>
      <c r="C1552" t="s">
        <v>1125</v>
      </c>
      <c r="D1552" s="3">
        <v>45833</v>
      </c>
      <c r="E1552" s="3">
        <v>46157</v>
      </c>
      <c r="F1552" t="s">
        <v>418</v>
      </c>
      <c r="G1552" t="s">
        <v>1494</v>
      </c>
      <c r="H1552" t="s">
        <v>22</v>
      </c>
      <c r="I1552" t="s">
        <v>40</v>
      </c>
      <c r="J1552" t="s">
        <v>1491</v>
      </c>
      <c r="K1552" t="s">
        <v>24</v>
      </c>
      <c r="L1552" s="4">
        <v>300</v>
      </c>
      <c r="M1552" t="s">
        <v>1131</v>
      </c>
      <c r="N1552" t="s">
        <v>26</v>
      </c>
      <c r="O1552" s="4">
        <v>250</v>
      </c>
      <c r="P1552">
        <v>0</v>
      </c>
      <c r="Q1552" s="4">
        <v>250</v>
      </c>
      <c r="R1552" s="12">
        <f t="shared" si="24"/>
        <v>75000</v>
      </c>
      <c r="T1552" t="s">
        <v>1126</v>
      </c>
      <c r="U1552" t="s">
        <v>1127</v>
      </c>
      <c r="V1552" s="4">
        <v>300</v>
      </c>
      <c r="W1552">
        <v>0</v>
      </c>
    </row>
    <row r="1553" spans="1:23" hidden="1" x14ac:dyDescent="0.25">
      <c r="A1553" s="2">
        <v>45833.654085648152</v>
      </c>
      <c r="B1553">
        <v>240</v>
      </c>
      <c r="C1553" t="s">
        <v>1125</v>
      </c>
      <c r="D1553" s="3">
        <v>45833</v>
      </c>
      <c r="E1553" s="3">
        <v>46157</v>
      </c>
      <c r="F1553" t="s">
        <v>418</v>
      </c>
      <c r="G1553" t="s">
        <v>1494</v>
      </c>
      <c r="H1553" t="s">
        <v>22</v>
      </c>
      <c r="I1553" t="s">
        <v>41</v>
      </c>
      <c r="J1553" t="s">
        <v>1491</v>
      </c>
      <c r="K1553" t="s">
        <v>24</v>
      </c>
      <c r="L1553" s="4">
        <v>300</v>
      </c>
      <c r="M1553" t="s">
        <v>1131</v>
      </c>
      <c r="N1553" t="s">
        <v>26</v>
      </c>
      <c r="O1553" s="4">
        <v>250</v>
      </c>
      <c r="P1553">
        <v>0</v>
      </c>
      <c r="Q1553" s="4">
        <v>250</v>
      </c>
      <c r="R1553" s="12">
        <f t="shared" si="24"/>
        <v>75000</v>
      </c>
      <c r="T1553" t="s">
        <v>1126</v>
      </c>
      <c r="U1553" t="s">
        <v>1127</v>
      </c>
      <c r="V1553" s="4">
        <v>300</v>
      </c>
      <c r="W1553">
        <v>0</v>
      </c>
    </row>
    <row r="1554" spans="1:23" hidden="1" x14ac:dyDescent="0.25">
      <c r="A1554" s="2">
        <v>45833.654085648152</v>
      </c>
      <c r="B1554">
        <v>240</v>
      </c>
      <c r="C1554" t="s">
        <v>1125</v>
      </c>
      <c r="D1554" s="3">
        <v>45833</v>
      </c>
      <c r="E1554" s="3">
        <v>46157</v>
      </c>
      <c r="F1554" t="s">
        <v>418</v>
      </c>
      <c r="G1554" t="s">
        <v>1494</v>
      </c>
      <c r="H1554" t="s">
        <v>22</v>
      </c>
      <c r="I1554" t="s">
        <v>43</v>
      </c>
      <c r="J1554" t="s">
        <v>1491</v>
      </c>
      <c r="K1554" t="s">
        <v>24</v>
      </c>
      <c r="L1554" s="4">
        <v>42.25</v>
      </c>
      <c r="M1554" t="s">
        <v>1131</v>
      </c>
      <c r="N1554" t="s">
        <v>26</v>
      </c>
      <c r="O1554" s="4">
        <v>2976</v>
      </c>
      <c r="P1554">
        <v>0</v>
      </c>
      <c r="Q1554" s="4">
        <v>2976</v>
      </c>
      <c r="R1554" s="12">
        <f t="shared" si="24"/>
        <v>125736</v>
      </c>
      <c r="T1554" t="s">
        <v>1126</v>
      </c>
      <c r="U1554" t="s">
        <v>1127</v>
      </c>
      <c r="V1554" s="4">
        <v>42.25</v>
      </c>
      <c r="W1554">
        <v>0</v>
      </c>
    </row>
    <row r="1555" spans="1:23" hidden="1" x14ac:dyDescent="0.25">
      <c r="A1555" s="2">
        <v>45833.654085648152</v>
      </c>
      <c r="B1555">
        <v>240</v>
      </c>
      <c r="C1555" t="s">
        <v>1125</v>
      </c>
      <c r="D1555" s="3">
        <v>45833</v>
      </c>
      <c r="E1555" s="3">
        <v>46157</v>
      </c>
      <c r="F1555" t="s">
        <v>418</v>
      </c>
      <c r="H1555" t="s">
        <v>22</v>
      </c>
      <c r="I1555" t="s">
        <v>335</v>
      </c>
      <c r="K1555" t="s">
        <v>24</v>
      </c>
      <c r="L1555" s="4">
        <v>12.8</v>
      </c>
      <c r="M1555" t="s">
        <v>1131</v>
      </c>
      <c r="N1555" t="s">
        <v>26</v>
      </c>
      <c r="O1555" s="4">
        <v>2000</v>
      </c>
      <c r="P1555">
        <v>0</v>
      </c>
      <c r="Q1555" s="4">
        <v>2000</v>
      </c>
      <c r="R1555" s="12">
        <f t="shared" si="24"/>
        <v>25600</v>
      </c>
      <c r="T1555" t="s">
        <v>1126</v>
      </c>
      <c r="U1555" t="s">
        <v>1127</v>
      </c>
      <c r="V1555" s="4">
        <v>12.8</v>
      </c>
      <c r="W1555">
        <v>0</v>
      </c>
    </row>
    <row r="1556" spans="1:23" hidden="1" x14ac:dyDescent="0.25">
      <c r="A1556" s="2">
        <v>45853.675983796296</v>
      </c>
      <c r="B1556">
        <v>249</v>
      </c>
      <c r="C1556" t="s">
        <v>1125</v>
      </c>
      <c r="D1556" s="3">
        <v>45853</v>
      </c>
      <c r="E1556" s="3">
        <v>46295</v>
      </c>
      <c r="F1556" t="s">
        <v>418</v>
      </c>
      <c r="H1556" t="s">
        <v>22</v>
      </c>
      <c r="I1556" t="s">
        <v>335</v>
      </c>
      <c r="K1556" t="s">
        <v>24</v>
      </c>
      <c r="L1556" s="4">
        <v>12.8</v>
      </c>
      <c r="M1556" t="s">
        <v>1132</v>
      </c>
      <c r="N1556" t="s">
        <v>46</v>
      </c>
      <c r="O1556" s="4">
        <v>900</v>
      </c>
      <c r="P1556">
        <v>0</v>
      </c>
      <c r="Q1556" s="4">
        <v>900</v>
      </c>
      <c r="R1556" s="12">
        <f t="shared" si="24"/>
        <v>11520</v>
      </c>
      <c r="T1556" t="s">
        <v>1126</v>
      </c>
      <c r="U1556" t="s">
        <v>1127</v>
      </c>
      <c r="V1556" s="4">
        <v>12.8</v>
      </c>
      <c r="W1556">
        <v>0</v>
      </c>
    </row>
    <row r="1557" spans="1:23" hidden="1" x14ac:dyDescent="0.25">
      <c r="A1557" s="2">
        <v>45853.675983796296</v>
      </c>
      <c r="B1557">
        <v>249</v>
      </c>
      <c r="C1557" t="s">
        <v>1125</v>
      </c>
      <c r="D1557" s="3">
        <v>45853</v>
      </c>
      <c r="E1557" s="3">
        <v>46295</v>
      </c>
      <c r="F1557" t="s">
        <v>418</v>
      </c>
      <c r="G1557" t="s">
        <v>1494</v>
      </c>
      <c r="H1557" t="s">
        <v>22</v>
      </c>
      <c r="I1557" t="s">
        <v>44</v>
      </c>
      <c r="J1557" t="s">
        <v>1491</v>
      </c>
      <c r="K1557" t="s">
        <v>31</v>
      </c>
      <c r="L1557" s="4">
        <v>360</v>
      </c>
      <c r="M1557" t="s">
        <v>1132</v>
      </c>
      <c r="N1557" t="s">
        <v>46</v>
      </c>
      <c r="O1557" s="4">
        <v>120</v>
      </c>
      <c r="P1557">
        <v>0</v>
      </c>
      <c r="Q1557" s="4">
        <v>120</v>
      </c>
      <c r="R1557" s="12">
        <f t="shared" si="24"/>
        <v>43200</v>
      </c>
      <c r="T1557" t="s">
        <v>1126</v>
      </c>
      <c r="U1557" t="s">
        <v>1127</v>
      </c>
      <c r="V1557" s="4">
        <v>360</v>
      </c>
      <c r="W1557">
        <v>0</v>
      </c>
    </row>
    <row r="1558" spans="1:23" hidden="1" x14ac:dyDescent="0.25">
      <c r="A1558" s="2">
        <v>45853.675983796296</v>
      </c>
      <c r="B1558">
        <v>249</v>
      </c>
      <c r="C1558" t="s">
        <v>1125</v>
      </c>
      <c r="D1558" s="3">
        <v>45853</v>
      </c>
      <c r="E1558" s="3">
        <v>46295</v>
      </c>
      <c r="F1558" t="s">
        <v>418</v>
      </c>
      <c r="H1558" t="s">
        <v>22</v>
      </c>
      <c r="I1558" t="s">
        <v>42</v>
      </c>
      <c r="J1558" t="s">
        <v>1490</v>
      </c>
      <c r="K1558" t="s">
        <v>24</v>
      </c>
      <c r="L1558" s="4">
        <v>210</v>
      </c>
      <c r="M1558" t="s">
        <v>1132</v>
      </c>
      <c r="N1558" t="s">
        <v>46</v>
      </c>
      <c r="O1558" s="4">
        <v>230</v>
      </c>
      <c r="P1558">
        <v>0</v>
      </c>
      <c r="Q1558" s="4">
        <v>230</v>
      </c>
      <c r="R1558" s="12">
        <f t="shared" si="24"/>
        <v>48300</v>
      </c>
      <c r="T1558" t="s">
        <v>1126</v>
      </c>
      <c r="U1558" t="s">
        <v>1127</v>
      </c>
      <c r="V1558" s="4">
        <v>210</v>
      </c>
      <c r="W1558">
        <v>0</v>
      </c>
    </row>
    <row r="1559" spans="1:23" hidden="1" x14ac:dyDescent="0.25">
      <c r="A1559" s="2">
        <v>45853.675983796296</v>
      </c>
      <c r="B1559">
        <v>249</v>
      </c>
      <c r="C1559" t="s">
        <v>1125</v>
      </c>
      <c r="D1559" s="3">
        <v>45853</v>
      </c>
      <c r="E1559" s="3">
        <v>46295</v>
      </c>
      <c r="F1559" t="s">
        <v>418</v>
      </c>
      <c r="G1559" t="s">
        <v>1494</v>
      </c>
      <c r="H1559" t="s">
        <v>22</v>
      </c>
      <c r="I1559" t="s">
        <v>41</v>
      </c>
      <c r="J1559" t="s">
        <v>1491</v>
      </c>
      <c r="K1559" t="s">
        <v>24</v>
      </c>
      <c r="L1559" s="4">
        <v>300</v>
      </c>
      <c r="M1559" t="s">
        <v>1132</v>
      </c>
      <c r="N1559" t="s">
        <v>46</v>
      </c>
      <c r="O1559" s="4">
        <v>120</v>
      </c>
      <c r="P1559">
        <v>0</v>
      </c>
      <c r="Q1559" s="4">
        <v>120</v>
      </c>
      <c r="R1559" s="12">
        <f t="shared" si="24"/>
        <v>36000</v>
      </c>
      <c r="T1559" t="s">
        <v>1126</v>
      </c>
      <c r="U1559" t="s">
        <v>1127</v>
      </c>
      <c r="V1559" s="4">
        <v>300</v>
      </c>
      <c r="W1559">
        <v>0</v>
      </c>
    </row>
    <row r="1560" spans="1:23" hidden="1" x14ac:dyDescent="0.25">
      <c r="A1560" s="2">
        <v>45853.675983796296</v>
      </c>
      <c r="B1560">
        <v>249</v>
      </c>
      <c r="C1560" t="s">
        <v>1125</v>
      </c>
      <c r="D1560" s="3">
        <v>45853</v>
      </c>
      <c r="E1560" s="3">
        <v>46295</v>
      </c>
      <c r="F1560" t="s">
        <v>418</v>
      </c>
      <c r="G1560" t="s">
        <v>1494</v>
      </c>
      <c r="H1560" t="s">
        <v>22</v>
      </c>
      <c r="I1560" t="s">
        <v>40</v>
      </c>
      <c r="J1560" t="s">
        <v>1491</v>
      </c>
      <c r="K1560" t="s">
        <v>24</v>
      </c>
      <c r="L1560" s="4">
        <v>300</v>
      </c>
      <c r="M1560" t="s">
        <v>1132</v>
      </c>
      <c r="N1560" t="s">
        <v>46</v>
      </c>
      <c r="O1560" s="4">
        <v>120</v>
      </c>
      <c r="P1560">
        <v>0</v>
      </c>
      <c r="Q1560" s="4">
        <v>120</v>
      </c>
      <c r="R1560" s="12">
        <f t="shared" si="24"/>
        <v>36000</v>
      </c>
      <c r="T1560" t="s">
        <v>1126</v>
      </c>
      <c r="U1560" t="s">
        <v>1127</v>
      </c>
      <c r="V1560" s="4">
        <v>300</v>
      </c>
      <c r="W1560">
        <v>0</v>
      </c>
    </row>
    <row r="1561" spans="1:23" hidden="1" x14ac:dyDescent="0.25">
      <c r="A1561" s="2">
        <v>45853.675983796296</v>
      </c>
      <c r="B1561">
        <v>249</v>
      </c>
      <c r="C1561" t="s">
        <v>1125</v>
      </c>
      <c r="D1561" s="3">
        <v>45853</v>
      </c>
      <c r="E1561" s="3">
        <v>46295</v>
      </c>
      <c r="F1561" t="s">
        <v>418</v>
      </c>
      <c r="G1561" t="s">
        <v>1494</v>
      </c>
      <c r="H1561" t="s">
        <v>22</v>
      </c>
      <c r="I1561" t="s">
        <v>38</v>
      </c>
      <c r="J1561" t="s">
        <v>1491</v>
      </c>
      <c r="K1561" t="s">
        <v>24</v>
      </c>
      <c r="L1561" s="4">
        <v>46.5</v>
      </c>
      <c r="M1561" t="s">
        <v>1132</v>
      </c>
      <c r="N1561" t="s">
        <v>46</v>
      </c>
      <c r="O1561" s="4">
        <v>240</v>
      </c>
      <c r="P1561">
        <v>0</v>
      </c>
      <c r="Q1561" s="4">
        <v>240</v>
      </c>
      <c r="R1561" s="12">
        <f t="shared" si="24"/>
        <v>11160</v>
      </c>
      <c r="T1561" t="s">
        <v>1126</v>
      </c>
      <c r="U1561" t="s">
        <v>1127</v>
      </c>
      <c r="V1561" s="4">
        <v>46.5</v>
      </c>
      <c r="W1561">
        <v>0</v>
      </c>
    </row>
    <row r="1562" spans="1:23" hidden="1" x14ac:dyDescent="0.25">
      <c r="A1562" s="2">
        <v>45905.608344907407</v>
      </c>
      <c r="B1562">
        <v>286</v>
      </c>
      <c r="C1562" t="s">
        <v>1125</v>
      </c>
      <c r="D1562" s="3">
        <v>45905</v>
      </c>
      <c r="E1562" s="3">
        <v>46142</v>
      </c>
      <c r="F1562" t="s">
        <v>418</v>
      </c>
      <c r="H1562" t="s">
        <v>22</v>
      </c>
      <c r="I1562" t="s">
        <v>1133</v>
      </c>
      <c r="K1562" t="s">
        <v>546</v>
      </c>
      <c r="L1562" s="4">
        <v>610</v>
      </c>
      <c r="M1562" t="s">
        <v>1134</v>
      </c>
      <c r="N1562" t="s">
        <v>46</v>
      </c>
      <c r="O1562" s="4">
        <v>150</v>
      </c>
      <c r="P1562">
        <v>0</v>
      </c>
      <c r="Q1562" s="4">
        <v>150</v>
      </c>
      <c r="R1562" s="12">
        <f t="shared" si="24"/>
        <v>91500</v>
      </c>
      <c r="T1562" t="s">
        <v>1126</v>
      </c>
      <c r="U1562" t="s">
        <v>1127</v>
      </c>
      <c r="V1562" s="4">
        <v>610</v>
      </c>
      <c r="W1562">
        <v>0</v>
      </c>
    </row>
    <row r="1563" spans="1:23" hidden="1" x14ac:dyDescent="0.25">
      <c r="A1563" s="2">
        <v>45958.453206018516</v>
      </c>
      <c r="B1563">
        <v>391</v>
      </c>
      <c r="C1563" t="s">
        <v>1125</v>
      </c>
      <c r="D1563" s="3">
        <v>45958</v>
      </c>
      <c r="E1563" s="3">
        <v>46295</v>
      </c>
      <c r="F1563" t="s">
        <v>418</v>
      </c>
      <c r="H1563" t="s">
        <v>22</v>
      </c>
      <c r="I1563" t="s">
        <v>35</v>
      </c>
      <c r="J1563" t="s">
        <v>1490</v>
      </c>
      <c r="K1563" t="s">
        <v>24</v>
      </c>
      <c r="L1563" s="4">
        <v>65</v>
      </c>
      <c r="M1563" t="s">
        <v>1135</v>
      </c>
      <c r="N1563" t="s">
        <v>46</v>
      </c>
      <c r="O1563" s="4">
        <v>120</v>
      </c>
      <c r="P1563">
        <v>0</v>
      </c>
      <c r="Q1563" s="4">
        <v>120</v>
      </c>
      <c r="R1563" s="12">
        <f t="shared" si="24"/>
        <v>7800</v>
      </c>
      <c r="T1563" t="s">
        <v>1126</v>
      </c>
      <c r="U1563" t="s">
        <v>1127</v>
      </c>
      <c r="V1563" s="4">
        <v>65</v>
      </c>
      <c r="W1563">
        <v>0</v>
      </c>
    </row>
    <row r="1564" spans="1:23" hidden="1" x14ac:dyDescent="0.25">
      <c r="A1564" s="2">
        <v>45958.453206018516</v>
      </c>
      <c r="B1564">
        <v>391</v>
      </c>
      <c r="C1564" t="s">
        <v>1125</v>
      </c>
      <c r="D1564" s="3">
        <v>45958</v>
      </c>
      <c r="E1564" s="3">
        <v>46295</v>
      </c>
      <c r="F1564" t="s">
        <v>418</v>
      </c>
      <c r="H1564" t="s">
        <v>22</v>
      </c>
      <c r="I1564" t="s">
        <v>36</v>
      </c>
      <c r="J1564" t="s">
        <v>1490</v>
      </c>
      <c r="K1564" t="s">
        <v>24</v>
      </c>
      <c r="L1564" s="4">
        <v>65</v>
      </c>
      <c r="M1564" t="s">
        <v>1135</v>
      </c>
      <c r="N1564" t="s">
        <v>46</v>
      </c>
      <c r="O1564" s="4">
        <v>180</v>
      </c>
      <c r="P1564">
        <v>0</v>
      </c>
      <c r="Q1564" s="4">
        <v>180</v>
      </c>
      <c r="R1564" s="12">
        <f t="shared" si="24"/>
        <v>11700</v>
      </c>
      <c r="T1564" t="s">
        <v>1126</v>
      </c>
      <c r="U1564" t="s">
        <v>1127</v>
      </c>
      <c r="V1564" s="4">
        <v>65</v>
      </c>
      <c r="W1564">
        <v>0</v>
      </c>
    </row>
    <row r="1565" spans="1:23" hidden="1" x14ac:dyDescent="0.25">
      <c r="A1565" s="2">
        <v>45964.385428240741</v>
      </c>
      <c r="B1565">
        <v>395</v>
      </c>
      <c r="C1565" t="s">
        <v>1125</v>
      </c>
      <c r="D1565" s="3">
        <v>45964</v>
      </c>
      <c r="E1565" s="3">
        <v>46157</v>
      </c>
      <c r="F1565" t="s">
        <v>418</v>
      </c>
      <c r="H1565" t="s">
        <v>22</v>
      </c>
      <c r="I1565" t="s">
        <v>804</v>
      </c>
      <c r="K1565" t="s">
        <v>24</v>
      </c>
      <c r="L1565" s="4">
        <v>29.166699999999999</v>
      </c>
      <c r="M1565" t="s">
        <v>1136</v>
      </c>
      <c r="N1565" t="s">
        <v>26</v>
      </c>
      <c r="O1565" s="4">
        <v>360</v>
      </c>
      <c r="P1565">
        <v>0</v>
      </c>
      <c r="Q1565" s="4">
        <v>360</v>
      </c>
      <c r="R1565" s="12">
        <f t="shared" si="24"/>
        <v>10500.011999999999</v>
      </c>
      <c r="T1565" t="s">
        <v>1126</v>
      </c>
      <c r="U1565" t="s">
        <v>1127</v>
      </c>
      <c r="V1565" s="4">
        <v>29.166699999999999</v>
      </c>
      <c r="W1565">
        <v>0</v>
      </c>
    </row>
    <row r="1566" spans="1:23" hidden="1" x14ac:dyDescent="0.25">
      <c r="A1566" s="2">
        <v>45971.423761574071</v>
      </c>
      <c r="B1566">
        <v>406</v>
      </c>
      <c r="C1566" t="s">
        <v>1125</v>
      </c>
      <c r="D1566" s="3">
        <v>45971</v>
      </c>
      <c r="E1566" s="3">
        <v>46157</v>
      </c>
      <c r="F1566" t="s">
        <v>418</v>
      </c>
      <c r="H1566" t="s">
        <v>22</v>
      </c>
      <c r="I1566" t="s">
        <v>192</v>
      </c>
      <c r="J1566" t="s">
        <v>1490</v>
      </c>
      <c r="K1566" t="s">
        <v>24</v>
      </c>
      <c r="L1566" s="4">
        <v>14.5</v>
      </c>
      <c r="M1566" t="s">
        <v>1137</v>
      </c>
      <c r="N1566" t="s">
        <v>26</v>
      </c>
      <c r="O1566" s="4">
        <v>5300</v>
      </c>
      <c r="P1566">
        <v>0</v>
      </c>
      <c r="Q1566" s="4">
        <v>5300</v>
      </c>
      <c r="R1566" s="12">
        <f t="shared" si="24"/>
        <v>76850</v>
      </c>
      <c r="T1566" t="s">
        <v>1126</v>
      </c>
      <c r="U1566" t="s">
        <v>1127</v>
      </c>
      <c r="V1566" s="4">
        <v>14.5</v>
      </c>
      <c r="W1566">
        <v>0</v>
      </c>
    </row>
    <row r="1567" spans="1:23" hidden="1" x14ac:dyDescent="0.25">
      <c r="A1567" s="2">
        <v>45971.423761574071</v>
      </c>
      <c r="B1567">
        <v>406</v>
      </c>
      <c r="C1567" t="s">
        <v>1125</v>
      </c>
      <c r="D1567" s="3">
        <v>45971</v>
      </c>
      <c r="E1567" s="3">
        <v>46157</v>
      </c>
      <c r="F1567" t="s">
        <v>418</v>
      </c>
      <c r="H1567" t="s">
        <v>22</v>
      </c>
      <c r="I1567" t="s">
        <v>131</v>
      </c>
      <c r="J1567" t="s">
        <v>1490</v>
      </c>
      <c r="K1567" t="s">
        <v>24</v>
      </c>
      <c r="L1567" s="4">
        <v>175</v>
      </c>
      <c r="M1567" t="s">
        <v>1137</v>
      </c>
      <c r="N1567" t="s">
        <v>26</v>
      </c>
      <c r="O1567" s="4">
        <v>12</v>
      </c>
      <c r="P1567">
        <v>0</v>
      </c>
      <c r="Q1567" s="4">
        <v>12</v>
      </c>
      <c r="R1567" s="12">
        <f t="shared" si="24"/>
        <v>2100</v>
      </c>
      <c r="T1567" t="s">
        <v>1126</v>
      </c>
      <c r="U1567" t="s">
        <v>1127</v>
      </c>
      <c r="V1567" s="4">
        <v>175</v>
      </c>
      <c r="W1567">
        <v>0</v>
      </c>
    </row>
    <row r="1568" spans="1:23" hidden="1" x14ac:dyDescent="0.25">
      <c r="A1568" s="2">
        <v>45971.423761574071</v>
      </c>
      <c r="B1568">
        <v>406</v>
      </c>
      <c r="C1568" t="s">
        <v>1125</v>
      </c>
      <c r="D1568" s="3">
        <v>45971</v>
      </c>
      <c r="E1568" s="3">
        <v>46157</v>
      </c>
      <c r="F1568" t="s">
        <v>418</v>
      </c>
      <c r="H1568" t="s">
        <v>22</v>
      </c>
      <c r="I1568" t="s">
        <v>177</v>
      </c>
      <c r="J1568" t="s">
        <v>1490</v>
      </c>
      <c r="K1568" t="s">
        <v>24</v>
      </c>
      <c r="L1568" s="4">
        <v>18.600000000000001</v>
      </c>
      <c r="M1568" t="s">
        <v>1137</v>
      </c>
      <c r="N1568" t="s">
        <v>26</v>
      </c>
      <c r="O1568" s="4">
        <v>400</v>
      </c>
      <c r="P1568">
        <v>0</v>
      </c>
      <c r="Q1568" s="4">
        <v>400</v>
      </c>
      <c r="R1568" s="12">
        <f t="shared" si="24"/>
        <v>7440.0000000000009</v>
      </c>
      <c r="T1568" t="s">
        <v>1126</v>
      </c>
      <c r="U1568" t="s">
        <v>1127</v>
      </c>
      <c r="V1568" s="4">
        <v>18.600000000000001</v>
      </c>
      <c r="W1568">
        <v>0</v>
      </c>
    </row>
    <row r="1569" spans="1:23" hidden="1" x14ac:dyDescent="0.25">
      <c r="A1569" s="2">
        <v>45987.675682870373</v>
      </c>
      <c r="B1569">
        <v>428</v>
      </c>
      <c r="C1569" t="s">
        <v>1125</v>
      </c>
      <c r="D1569" s="3">
        <v>45987</v>
      </c>
      <c r="E1569" s="3">
        <v>46157</v>
      </c>
      <c r="F1569" t="s">
        <v>418</v>
      </c>
      <c r="H1569" t="s">
        <v>22</v>
      </c>
      <c r="I1569" t="s">
        <v>1128</v>
      </c>
      <c r="K1569" t="s">
        <v>24</v>
      </c>
      <c r="L1569" s="4">
        <v>166.65</v>
      </c>
      <c r="M1569" t="s">
        <v>1129</v>
      </c>
      <c r="N1569" t="s">
        <v>26</v>
      </c>
      <c r="O1569" s="4">
        <v>900</v>
      </c>
      <c r="P1569">
        <v>0</v>
      </c>
      <c r="Q1569" s="4">
        <v>900</v>
      </c>
      <c r="R1569" s="12">
        <f t="shared" si="24"/>
        <v>149985</v>
      </c>
      <c r="T1569" t="s">
        <v>1126</v>
      </c>
      <c r="U1569" t="s">
        <v>1127</v>
      </c>
      <c r="V1569" s="4">
        <v>166.65</v>
      </c>
      <c r="W1569">
        <v>0</v>
      </c>
    </row>
    <row r="1570" spans="1:23" hidden="1" x14ac:dyDescent="0.25">
      <c r="A1570" s="2">
        <v>46043.573449074072</v>
      </c>
      <c r="B1570">
        <v>511</v>
      </c>
      <c r="C1570" t="s">
        <v>1125</v>
      </c>
      <c r="D1570" s="3">
        <v>46043</v>
      </c>
      <c r="E1570" s="3">
        <v>46295</v>
      </c>
      <c r="F1570" t="s">
        <v>418</v>
      </c>
      <c r="H1570" t="s">
        <v>22</v>
      </c>
      <c r="I1570" t="s">
        <v>36</v>
      </c>
      <c r="J1570" t="s">
        <v>1490</v>
      </c>
      <c r="K1570" t="s">
        <v>24</v>
      </c>
      <c r="L1570" s="4">
        <v>65</v>
      </c>
      <c r="M1570" t="s">
        <v>1138</v>
      </c>
      <c r="N1570" t="s">
        <v>46</v>
      </c>
      <c r="O1570" s="4">
        <v>95</v>
      </c>
      <c r="P1570">
        <v>0</v>
      </c>
      <c r="Q1570" s="4">
        <v>95</v>
      </c>
      <c r="R1570" s="12">
        <f t="shared" si="24"/>
        <v>6175</v>
      </c>
      <c r="T1570" t="s">
        <v>1126</v>
      </c>
      <c r="U1570" t="s">
        <v>1127</v>
      </c>
      <c r="V1570" s="4">
        <v>65</v>
      </c>
      <c r="W1570">
        <v>0</v>
      </c>
    </row>
    <row r="1571" spans="1:23" hidden="1" x14ac:dyDescent="0.25">
      <c r="A1571" s="2">
        <v>46043.573449074072</v>
      </c>
      <c r="B1571">
        <v>511</v>
      </c>
      <c r="C1571" t="s">
        <v>1125</v>
      </c>
      <c r="D1571" s="3">
        <v>46043</v>
      </c>
      <c r="E1571" s="3">
        <v>46295</v>
      </c>
      <c r="F1571" t="s">
        <v>418</v>
      </c>
      <c r="G1571" t="s">
        <v>1494</v>
      </c>
      <c r="H1571" t="s">
        <v>22</v>
      </c>
      <c r="I1571" t="s">
        <v>44</v>
      </c>
      <c r="J1571" t="s">
        <v>1491</v>
      </c>
      <c r="K1571" t="s">
        <v>31</v>
      </c>
      <c r="L1571" s="4">
        <v>360</v>
      </c>
      <c r="M1571" t="s">
        <v>1138</v>
      </c>
      <c r="N1571" t="s">
        <v>46</v>
      </c>
      <c r="O1571" s="4">
        <v>77</v>
      </c>
      <c r="P1571">
        <v>0</v>
      </c>
      <c r="Q1571" s="4">
        <v>77</v>
      </c>
      <c r="R1571" s="12">
        <f t="shared" si="24"/>
        <v>27720</v>
      </c>
      <c r="T1571" t="s">
        <v>1126</v>
      </c>
      <c r="U1571" t="s">
        <v>1127</v>
      </c>
      <c r="V1571" s="4">
        <v>360</v>
      </c>
      <c r="W1571">
        <v>0</v>
      </c>
    </row>
    <row r="1572" spans="1:23" hidden="1" x14ac:dyDescent="0.25">
      <c r="A1572" s="2">
        <v>46043.573449074072</v>
      </c>
      <c r="B1572">
        <v>511</v>
      </c>
      <c r="C1572" t="s">
        <v>1125</v>
      </c>
      <c r="D1572" s="3">
        <v>46043</v>
      </c>
      <c r="E1572" s="3">
        <v>46295</v>
      </c>
      <c r="F1572" t="s">
        <v>418</v>
      </c>
      <c r="H1572" t="s">
        <v>22</v>
      </c>
      <c r="I1572" t="s">
        <v>335</v>
      </c>
      <c r="K1572" t="s">
        <v>24</v>
      </c>
      <c r="L1572" s="4">
        <v>12.8</v>
      </c>
      <c r="M1572" t="s">
        <v>1138</v>
      </c>
      <c r="N1572" t="s">
        <v>46</v>
      </c>
      <c r="O1572" s="4">
        <v>625</v>
      </c>
      <c r="P1572">
        <v>0</v>
      </c>
      <c r="Q1572" s="4">
        <v>625</v>
      </c>
      <c r="R1572" s="12">
        <f t="shared" si="24"/>
        <v>8000</v>
      </c>
      <c r="T1572" t="s">
        <v>1126</v>
      </c>
      <c r="U1572" t="s">
        <v>1127</v>
      </c>
      <c r="V1572" s="4">
        <v>12.8</v>
      </c>
      <c r="W1572">
        <v>0</v>
      </c>
    </row>
    <row r="1573" spans="1:23" hidden="1" x14ac:dyDescent="0.25">
      <c r="A1573" s="2">
        <v>46043.573449074072</v>
      </c>
      <c r="B1573">
        <v>511</v>
      </c>
      <c r="C1573" t="s">
        <v>1125</v>
      </c>
      <c r="D1573" s="3">
        <v>46043</v>
      </c>
      <c r="E1573" s="3">
        <v>46295</v>
      </c>
      <c r="F1573" t="s">
        <v>418</v>
      </c>
      <c r="G1573" t="s">
        <v>1494</v>
      </c>
      <c r="H1573" t="s">
        <v>22</v>
      </c>
      <c r="I1573" t="s">
        <v>41</v>
      </c>
      <c r="J1573" t="s">
        <v>1491</v>
      </c>
      <c r="K1573" t="s">
        <v>24</v>
      </c>
      <c r="L1573" s="4">
        <v>300</v>
      </c>
      <c r="M1573" t="s">
        <v>1138</v>
      </c>
      <c r="N1573" t="s">
        <v>46</v>
      </c>
      <c r="O1573" s="4">
        <v>59</v>
      </c>
      <c r="P1573">
        <v>0</v>
      </c>
      <c r="Q1573" s="4">
        <v>59</v>
      </c>
      <c r="R1573" s="12">
        <f t="shared" si="24"/>
        <v>17700</v>
      </c>
      <c r="T1573" t="s">
        <v>1126</v>
      </c>
      <c r="U1573" t="s">
        <v>1127</v>
      </c>
      <c r="V1573" s="4">
        <v>300</v>
      </c>
      <c r="W1573">
        <v>0</v>
      </c>
    </row>
    <row r="1574" spans="1:23" hidden="1" x14ac:dyDescent="0.25">
      <c r="A1574" s="2">
        <v>46062.409143518518</v>
      </c>
      <c r="B1574">
        <v>534</v>
      </c>
      <c r="C1574" t="s">
        <v>1125</v>
      </c>
      <c r="D1574" s="3">
        <v>46062</v>
      </c>
      <c r="E1574" s="3">
        <v>46295</v>
      </c>
      <c r="F1574" t="s">
        <v>418</v>
      </c>
      <c r="H1574" t="s">
        <v>22</v>
      </c>
      <c r="I1574" t="s">
        <v>335</v>
      </c>
      <c r="K1574" t="s">
        <v>24</v>
      </c>
      <c r="L1574" s="4">
        <v>12.8</v>
      </c>
      <c r="M1574" t="s">
        <v>1139</v>
      </c>
      <c r="N1574" t="s">
        <v>46</v>
      </c>
      <c r="O1574" s="4">
        <v>800</v>
      </c>
      <c r="P1574">
        <v>0</v>
      </c>
      <c r="Q1574" s="4">
        <v>800</v>
      </c>
      <c r="R1574" s="12">
        <f t="shared" si="24"/>
        <v>10240</v>
      </c>
      <c r="T1574" t="s">
        <v>1126</v>
      </c>
      <c r="U1574" t="s">
        <v>1127</v>
      </c>
      <c r="V1574" s="4">
        <v>12.8</v>
      </c>
      <c r="W1574">
        <v>0</v>
      </c>
    </row>
    <row r="1575" spans="1:23" hidden="1" x14ac:dyDescent="0.25">
      <c r="A1575" s="2">
        <v>46062.409143518518</v>
      </c>
      <c r="B1575">
        <v>534</v>
      </c>
      <c r="C1575" t="s">
        <v>1125</v>
      </c>
      <c r="D1575" s="3">
        <v>46062</v>
      </c>
      <c r="E1575" s="3">
        <v>46295</v>
      </c>
      <c r="F1575" t="s">
        <v>418</v>
      </c>
      <c r="H1575" t="s">
        <v>22</v>
      </c>
      <c r="I1575" t="s">
        <v>35</v>
      </c>
      <c r="J1575" t="s">
        <v>1490</v>
      </c>
      <c r="K1575" t="s">
        <v>24</v>
      </c>
      <c r="L1575" s="4">
        <v>65</v>
      </c>
      <c r="M1575" t="s">
        <v>1139</v>
      </c>
      <c r="N1575" t="s">
        <v>46</v>
      </c>
      <c r="O1575" s="4">
        <v>100</v>
      </c>
      <c r="P1575">
        <v>0</v>
      </c>
      <c r="Q1575" s="4">
        <v>100</v>
      </c>
      <c r="R1575" s="12">
        <f t="shared" si="24"/>
        <v>6500</v>
      </c>
      <c r="T1575" t="s">
        <v>1126</v>
      </c>
      <c r="U1575" t="s">
        <v>1127</v>
      </c>
      <c r="V1575" s="4">
        <v>65</v>
      </c>
      <c r="W1575">
        <v>0</v>
      </c>
    </row>
    <row r="1576" spans="1:23" hidden="1" x14ac:dyDescent="0.25">
      <c r="A1576" s="2">
        <v>46062.409143518518</v>
      </c>
      <c r="B1576">
        <v>534</v>
      </c>
      <c r="C1576" t="s">
        <v>1125</v>
      </c>
      <c r="D1576" s="3">
        <v>46062</v>
      </c>
      <c r="E1576" s="3">
        <v>46295</v>
      </c>
      <c r="F1576" t="s">
        <v>418</v>
      </c>
      <c r="H1576" t="s">
        <v>22</v>
      </c>
      <c r="I1576" t="s">
        <v>36</v>
      </c>
      <c r="J1576" t="s">
        <v>1490</v>
      </c>
      <c r="K1576" t="s">
        <v>24</v>
      </c>
      <c r="L1576" s="4">
        <v>65</v>
      </c>
      <c r="M1576" t="s">
        <v>1139</v>
      </c>
      <c r="N1576" t="s">
        <v>46</v>
      </c>
      <c r="O1576" s="4">
        <v>240</v>
      </c>
      <c r="P1576">
        <v>0</v>
      </c>
      <c r="Q1576" s="4">
        <v>240</v>
      </c>
      <c r="R1576" s="12">
        <f t="shared" si="24"/>
        <v>15600</v>
      </c>
      <c r="T1576" t="s">
        <v>1126</v>
      </c>
      <c r="U1576" t="s">
        <v>1127</v>
      </c>
      <c r="V1576" s="4">
        <v>65</v>
      </c>
      <c r="W1576">
        <v>0</v>
      </c>
    </row>
    <row r="1577" spans="1:23" hidden="1" x14ac:dyDescent="0.25">
      <c r="A1577" s="2">
        <v>45896.368275462963</v>
      </c>
      <c r="B1577">
        <v>4001</v>
      </c>
      <c r="C1577" t="s">
        <v>1140</v>
      </c>
      <c r="D1577" s="3">
        <v>45895</v>
      </c>
      <c r="E1577" s="3">
        <v>46111</v>
      </c>
      <c r="F1577" t="s">
        <v>112</v>
      </c>
      <c r="G1577" t="s">
        <v>1493</v>
      </c>
      <c r="H1577" t="s">
        <v>22</v>
      </c>
      <c r="I1577" t="s">
        <v>38</v>
      </c>
      <c r="J1577" t="s">
        <v>1491</v>
      </c>
      <c r="K1577" t="s">
        <v>24</v>
      </c>
      <c r="L1577" s="4">
        <v>48</v>
      </c>
      <c r="M1577" t="s">
        <v>1141</v>
      </c>
      <c r="N1577" t="s">
        <v>26</v>
      </c>
      <c r="O1577" s="4">
        <v>351</v>
      </c>
      <c r="P1577">
        <v>0</v>
      </c>
      <c r="Q1577" s="4">
        <v>351</v>
      </c>
      <c r="R1577" s="12">
        <f t="shared" si="24"/>
        <v>16848</v>
      </c>
      <c r="T1577" t="s">
        <v>117</v>
      </c>
      <c r="U1577" t="s">
        <v>1142</v>
      </c>
      <c r="V1577" s="4">
        <v>48</v>
      </c>
      <c r="W1577">
        <v>0</v>
      </c>
    </row>
    <row r="1578" spans="1:23" hidden="1" x14ac:dyDescent="0.25">
      <c r="A1578" s="2">
        <v>45896.368275462963</v>
      </c>
      <c r="B1578">
        <v>4001</v>
      </c>
      <c r="C1578" t="s">
        <v>1140</v>
      </c>
      <c r="D1578" s="3">
        <v>45895</v>
      </c>
      <c r="E1578" s="3">
        <v>46111</v>
      </c>
      <c r="F1578" t="s">
        <v>112</v>
      </c>
      <c r="G1578" t="s">
        <v>1493</v>
      </c>
      <c r="H1578" t="s">
        <v>22</v>
      </c>
      <c r="I1578" t="s">
        <v>41</v>
      </c>
      <c r="J1578" t="s">
        <v>1491</v>
      </c>
      <c r="K1578" t="s">
        <v>24</v>
      </c>
      <c r="L1578" s="4">
        <v>365</v>
      </c>
      <c r="M1578" t="s">
        <v>1141</v>
      </c>
      <c r="N1578" t="s">
        <v>26</v>
      </c>
      <c r="O1578" s="4">
        <v>25</v>
      </c>
      <c r="P1578">
        <v>0</v>
      </c>
      <c r="Q1578" s="4">
        <v>25</v>
      </c>
      <c r="R1578" s="12">
        <f t="shared" si="24"/>
        <v>9125</v>
      </c>
      <c r="T1578" t="s">
        <v>117</v>
      </c>
      <c r="U1578" t="s">
        <v>1142</v>
      </c>
      <c r="V1578" s="4">
        <v>365</v>
      </c>
      <c r="W1578">
        <v>0</v>
      </c>
    </row>
    <row r="1579" spans="1:23" hidden="1" x14ac:dyDescent="0.25">
      <c r="A1579" s="2">
        <v>45896.368275462963</v>
      </c>
      <c r="B1579">
        <v>4001</v>
      </c>
      <c r="C1579" t="s">
        <v>1140</v>
      </c>
      <c r="D1579" s="3">
        <v>45895</v>
      </c>
      <c r="E1579" s="3">
        <v>46111</v>
      </c>
      <c r="F1579" t="s">
        <v>112</v>
      </c>
      <c r="G1579" t="s">
        <v>1493</v>
      </c>
      <c r="H1579" t="s">
        <v>22</v>
      </c>
      <c r="I1579" t="s">
        <v>40</v>
      </c>
      <c r="J1579" t="s">
        <v>1491</v>
      </c>
      <c r="K1579" t="s">
        <v>24</v>
      </c>
      <c r="L1579" s="4">
        <v>355</v>
      </c>
      <c r="M1579" t="s">
        <v>1141</v>
      </c>
      <c r="N1579" t="s">
        <v>26</v>
      </c>
      <c r="O1579" s="4">
        <v>25</v>
      </c>
      <c r="P1579">
        <v>0</v>
      </c>
      <c r="Q1579" s="4">
        <v>25</v>
      </c>
      <c r="R1579" s="12">
        <f t="shared" si="24"/>
        <v>8875</v>
      </c>
      <c r="T1579" t="s">
        <v>117</v>
      </c>
      <c r="U1579" t="s">
        <v>1142</v>
      </c>
      <c r="V1579" s="4">
        <v>355</v>
      </c>
      <c r="W1579">
        <v>0</v>
      </c>
    </row>
    <row r="1580" spans="1:23" hidden="1" x14ac:dyDescent="0.25">
      <c r="A1580" s="2">
        <v>45896.368275462963</v>
      </c>
      <c r="B1580">
        <v>4001</v>
      </c>
      <c r="C1580" t="s">
        <v>1140</v>
      </c>
      <c r="D1580" s="3">
        <v>45895</v>
      </c>
      <c r="E1580" s="3">
        <v>46111</v>
      </c>
      <c r="F1580" t="s">
        <v>112</v>
      </c>
      <c r="G1580" t="s">
        <v>1493</v>
      </c>
      <c r="H1580" t="s">
        <v>22</v>
      </c>
      <c r="I1580" t="s">
        <v>43</v>
      </c>
      <c r="J1580" t="s">
        <v>1491</v>
      </c>
      <c r="K1580" t="s">
        <v>24</v>
      </c>
      <c r="L1580" s="4">
        <v>48</v>
      </c>
      <c r="M1580" t="s">
        <v>1141</v>
      </c>
      <c r="N1580" t="s">
        <v>26</v>
      </c>
      <c r="O1580" s="4">
        <v>702</v>
      </c>
      <c r="P1580">
        <v>0</v>
      </c>
      <c r="Q1580" s="4">
        <v>702</v>
      </c>
      <c r="R1580" s="12">
        <f t="shared" si="24"/>
        <v>33696</v>
      </c>
      <c r="T1580" t="s">
        <v>117</v>
      </c>
      <c r="U1580" t="s">
        <v>1142</v>
      </c>
      <c r="V1580" s="4">
        <v>48</v>
      </c>
      <c r="W1580">
        <v>0</v>
      </c>
    </row>
    <row r="1581" spans="1:23" hidden="1" x14ac:dyDescent="0.25">
      <c r="A1581" s="2">
        <v>45896.368275462963</v>
      </c>
      <c r="B1581">
        <v>4001</v>
      </c>
      <c r="C1581" t="s">
        <v>1140</v>
      </c>
      <c r="D1581" s="3">
        <v>45895</v>
      </c>
      <c r="E1581" s="3">
        <v>46111</v>
      </c>
      <c r="F1581" t="s">
        <v>112</v>
      </c>
      <c r="H1581" t="s">
        <v>22</v>
      </c>
      <c r="I1581" t="s">
        <v>42</v>
      </c>
      <c r="J1581" t="s">
        <v>1490</v>
      </c>
      <c r="K1581" t="s">
        <v>24</v>
      </c>
      <c r="L1581" s="4">
        <v>245</v>
      </c>
      <c r="M1581" t="s">
        <v>1141</v>
      </c>
      <c r="N1581" t="s">
        <v>26</v>
      </c>
      <c r="O1581" s="4">
        <v>50</v>
      </c>
      <c r="P1581">
        <v>0</v>
      </c>
      <c r="Q1581" s="4">
        <v>50</v>
      </c>
      <c r="R1581" s="12">
        <f t="shared" si="24"/>
        <v>12250</v>
      </c>
      <c r="T1581" t="s">
        <v>117</v>
      </c>
      <c r="U1581" t="s">
        <v>1142</v>
      </c>
      <c r="V1581" s="4">
        <v>245</v>
      </c>
      <c r="W1581">
        <v>0</v>
      </c>
    </row>
    <row r="1582" spans="1:23" hidden="1" x14ac:dyDescent="0.25">
      <c r="A1582" s="2">
        <v>45896.368275462963</v>
      </c>
      <c r="B1582">
        <v>4001</v>
      </c>
      <c r="C1582" t="s">
        <v>1140</v>
      </c>
      <c r="D1582" s="3">
        <v>45895</v>
      </c>
      <c r="E1582" s="3">
        <v>46111</v>
      </c>
      <c r="F1582" t="s">
        <v>112</v>
      </c>
      <c r="G1582" t="s">
        <v>1493</v>
      </c>
      <c r="H1582" t="s">
        <v>22</v>
      </c>
      <c r="I1582" t="s">
        <v>63</v>
      </c>
      <c r="J1582" t="s">
        <v>1491</v>
      </c>
      <c r="K1582" t="s">
        <v>31</v>
      </c>
      <c r="L1582" s="4">
        <v>190</v>
      </c>
      <c r="M1582" t="s">
        <v>1141</v>
      </c>
      <c r="N1582" t="s">
        <v>26</v>
      </c>
      <c r="O1582" s="4">
        <v>350</v>
      </c>
      <c r="P1582">
        <v>0</v>
      </c>
      <c r="Q1582" s="4">
        <v>350</v>
      </c>
      <c r="R1582" s="12">
        <f t="shared" si="24"/>
        <v>66500</v>
      </c>
      <c r="T1582" t="s">
        <v>117</v>
      </c>
      <c r="U1582" t="s">
        <v>1142</v>
      </c>
      <c r="V1582" s="4">
        <v>190</v>
      </c>
      <c r="W1582">
        <v>0</v>
      </c>
    </row>
    <row r="1583" spans="1:23" hidden="1" x14ac:dyDescent="0.25">
      <c r="A1583" s="2">
        <v>45942.371886574074</v>
      </c>
      <c r="B1583">
        <v>4150</v>
      </c>
      <c r="C1583" t="s">
        <v>1140</v>
      </c>
      <c r="D1583" s="3">
        <v>45942</v>
      </c>
      <c r="E1583" s="3">
        <v>46111</v>
      </c>
      <c r="F1583" t="s">
        <v>112</v>
      </c>
      <c r="G1583" t="s">
        <v>1493</v>
      </c>
      <c r="H1583" t="s">
        <v>22</v>
      </c>
      <c r="I1583" t="s">
        <v>38</v>
      </c>
      <c r="J1583" t="s">
        <v>1491</v>
      </c>
      <c r="K1583" t="s">
        <v>24</v>
      </c>
      <c r="L1583" s="4">
        <v>48</v>
      </c>
      <c r="M1583" t="s">
        <v>1143</v>
      </c>
      <c r="N1583" t="s">
        <v>26</v>
      </c>
      <c r="O1583" s="4">
        <v>33</v>
      </c>
      <c r="P1583">
        <v>0</v>
      </c>
      <c r="Q1583" s="4">
        <v>33</v>
      </c>
      <c r="R1583" s="12">
        <f t="shared" si="24"/>
        <v>1584</v>
      </c>
      <c r="T1583" t="s">
        <v>117</v>
      </c>
      <c r="U1583" t="s">
        <v>1142</v>
      </c>
      <c r="V1583" s="4">
        <v>48</v>
      </c>
      <c r="W1583">
        <v>0</v>
      </c>
    </row>
    <row r="1584" spans="1:23" hidden="1" x14ac:dyDescent="0.25">
      <c r="A1584" s="2">
        <v>45761.35769675926</v>
      </c>
      <c r="B1584">
        <v>177</v>
      </c>
      <c r="C1584" t="s">
        <v>1144</v>
      </c>
      <c r="D1584" s="3">
        <v>45761</v>
      </c>
      <c r="E1584" s="3">
        <v>46111</v>
      </c>
      <c r="F1584" t="s">
        <v>66</v>
      </c>
      <c r="G1584" t="s">
        <v>1494</v>
      </c>
      <c r="H1584" t="s">
        <v>22</v>
      </c>
      <c r="I1584" t="s">
        <v>40</v>
      </c>
      <c r="J1584" t="s">
        <v>1491</v>
      </c>
      <c r="K1584" t="s">
        <v>24</v>
      </c>
      <c r="L1584" s="4">
        <v>324</v>
      </c>
      <c r="M1584" t="s">
        <v>1145</v>
      </c>
      <c r="N1584" t="s">
        <v>26</v>
      </c>
      <c r="O1584" s="4">
        <v>78</v>
      </c>
      <c r="P1584">
        <v>0</v>
      </c>
      <c r="Q1584" s="4">
        <v>78</v>
      </c>
      <c r="R1584" s="12">
        <f t="shared" si="24"/>
        <v>25272</v>
      </c>
      <c r="T1584" t="s">
        <v>263</v>
      </c>
      <c r="U1584" t="s">
        <v>1146</v>
      </c>
      <c r="V1584" s="4">
        <v>324</v>
      </c>
      <c r="W1584">
        <v>0</v>
      </c>
    </row>
    <row r="1585" spans="1:23" hidden="1" x14ac:dyDescent="0.25">
      <c r="A1585" s="2">
        <v>45761.35769675926</v>
      </c>
      <c r="B1585">
        <v>177</v>
      </c>
      <c r="C1585" t="s">
        <v>1144</v>
      </c>
      <c r="D1585" s="3">
        <v>45761</v>
      </c>
      <c r="E1585" s="3">
        <v>46111</v>
      </c>
      <c r="F1585" t="s">
        <v>66</v>
      </c>
      <c r="G1585" t="s">
        <v>1494</v>
      </c>
      <c r="H1585" t="s">
        <v>22</v>
      </c>
      <c r="I1585" t="s">
        <v>43</v>
      </c>
      <c r="J1585" t="s">
        <v>1491</v>
      </c>
      <c r="K1585" t="s">
        <v>24</v>
      </c>
      <c r="L1585" s="4">
        <v>43.6</v>
      </c>
      <c r="M1585" t="s">
        <v>1145</v>
      </c>
      <c r="N1585" t="s">
        <v>26</v>
      </c>
      <c r="O1585" s="4">
        <v>156</v>
      </c>
      <c r="P1585">
        <v>0</v>
      </c>
      <c r="Q1585" s="4">
        <v>156</v>
      </c>
      <c r="R1585" s="12">
        <f t="shared" si="24"/>
        <v>6801.6</v>
      </c>
      <c r="T1585" t="s">
        <v>263</v>
      </c>
      <c r="U1585" t="s">
        <v>1146</v>
      </c>
      <c r="V1585" s="4">
        <v>43.6</v>
      </c>
      <c r="W1585">
        <v>0</v>
      </c>
    </row>
    <row r="1586" spans="1:23" hidden="1" x14ac:dyDescent="0.25">
      <c r="A1586" s="2">
        <v>45761.35769675926</v>
      </c>
      <c r="B1586">
        <v>177</v>
      </c>
      <c r="C1586" t="s">
        <v>1144</v>
      </c>
      <c r="D1586" s="3">
        <v>45761</v>
      </c>
      <c r="E1586" s="3">
        <v>46111</v>
      </c>
      <c r="F1586" t="s">
        <v>66</v>
      </c>
      <c r="G1586" t="s">
        <v>1494</v>
      </c>
      <c r="H1586" t="s">
        <v>22</v>
      </c>
      <c r="I1586" t="s">
        <v>41</v>
      </c>
      <c r="J1586" t="s">
        <v>1491</v>
      </c>
      <c r="K1586" t="s">
        <v>24</v>
      </c>
      <c r="L1586" s="4">
        <v>344</v>
      </c>
      <c r="M1586" t="s">
        <v>1145</v>
      </c>
      <c r="N1586" t="s">
        <v>26</v>
      </c>
      <c r="O1586" s="4">
        <v>78</v>
      </c>
      <c r="P1586">
        <v>0</v>
      </c>
      <c r="Q1586" s="4">
        <v>78</v>
      </c>
      <c r="R1586" s="12">
        <f t="shared" si="24"/>
        <v>26832</v>
      </c>
      <c r="T1586" t="s">
        <v>263</v>
      </c>
      <c r="U1586" t="s">
        <v>1146</v>
      </c>
      <c r="V1586" s="4">
        <v>344</v>
      </c>
      <c r="W1586">
        <v>0</v>
      </c>
    </row>
    <row r="1587" spans="1:23" hidden="1" x14ac:dyDescent="0.25">
      <c r="A1587" s="2">
        <v>45761.35769675926</v>
      </c>
      <c r="B1587">
        <v>177</v>
      </c>
      <c r="C1587" t="s">
        <v>1144</v>
      </c>
      <c r="D1587" s="3">
        <v>45761</v>
      </c>
      <c r="E1587" s="3">
        <v>46111</v>
      </c>
      <c r="F1587" t="s">
        <v>66</v>
      </c>
      <c r="H1587" t="s">
        <v>22</v>
      </c>
      <c r="I1587" t="s">
        <v>42</v>
      </c>
      <c r="J1587" t="s">
        <v>1490</v>
      </c>
      <c r="K1587" t="s">
        <v>24</v>
      </c>
      <c r="L1587" s="4">
        <v>182</v>
      </c>
      <c r="M1587" t="s">
        <v>1145</v>
      </c>
      <c r="N1587" t="s">
        <v>26</v>
      </c>
      <c r="O1587" s="4">
        <v>155</v>
      </c>
      <c r="P1587">
        <v>0</v>
      </c>
      <c r="Q1587" s="4">
        <v>155</v>
      </c>
      <c r="R1587" s="12">
        <f t="shared" si="24"/>
        <v>28210</v>
      </c>
      <c r="T1587" t="s">
        <v>263</v>
      </c>
      <c r="U1587" t="s">
        <v>1146</v>
      </c>
      <c r="V1587" s="4">
        <v>182</v>
      </c>
      <c r="W1587">
        <v>0</v>
      </c>
    </row>
    <row r="1588" spans="1:23" hidden="1" x14ac:dyDescent="0.25">
      <c r="A1588" s="2">
        <v>45761.35769675926</v>
      </c>
      <c r="B1588">
        <v>177</v>
      </c>
      <c r="C1588" t="s">
        <v>1144</v>
      </c>
      <c r="D1588" s="3">
        <v>45761</v>
      </c>
      <c r="E1588" s="3">
        <v>46111</v>
      </c>
      <c r="F1588" t="s">
        <v>66</v>
      </c>
      <c r="G1588" t="s">
        <v>1494</v>
      </c>
      <c r="H1588" t="s">
        <v>22</v>
      </c>
      <c r="I1588" t="s">
        <v>63</v>
      </c>
      <c r="J1588" t="s">
        <v>1491</v>
      </c>
      <c r="K1588" t="s">
        <v>31</v>
      </c>
      <c r="L1588" s="4">
        <v>195.8</v>
      </c>
      <c r="M1588" t="s">
        <v>1145</v>
      </c>
      <c r="N1588" t="s">
        <v>26</v>
      </c>
      <c r="O1588" s="4">
        <v>156</v>
      </c>
      <c r="P1588">
        <v>0</v>
      </c>
      <c r="Q1588" s="4">
        <v>156</v>
      </c>
      <c r="R1588" s="12">
        <f t="shared" si="24"/>
        <v>30544.800000000003</v>
      </c>
      <c r="T1588" t="s">
        <v>263</v>
      </c>
      <c r="U1588" t="s">
        <v>1146</v>
      </c>
      <c r="V1588" s="4">
        <v>195.8</v>
      </c>
      <c r="W1588">
        <v>0</v>
      </c>
    </row>
    <row r="1589" spans="1:23" hidden="1" x14ac:dyDescent="0.25">
      <c r="A1589" s="2">
        <v>45761.35769675926</v>
      </c>
      <c r="B1589">
        <v>177</v>
      </c>
      <c r="C1589" t="s">
        <v>1144</v>
      </c>
      <c r="D1589" s="3">
        <v>45761</v>
      </c>
      <c r="E1589" s="3">
        <v>46111</v>
      </c>
      <c r="F1589" t="s">
        <v>66</v>
      </c>
      <c r="G1589" t="s">
        <v>1494</v>
      </c>
      <c r="H1589" t="s">
        <v>22</v>
      </c>
      <c r="I1589" t="s">
        <v>38</v>
      </c>
      <c r="J1589" t="s">
        <v>1491</v>
      </c>
      <c r="K1589" t="s">
        <v>24</v>
      </c>
      <c r="L1589" s="4">
        <v>44.6</v>
      </c>
      <c r="M1589" t="s">
        <v>1145</v>
      </c>
      <c r="N1589" t="s">
        <v>26</v>
      </c>
      <c r="O1589" s="4">
        <v>156</v>
      </c>
      <c r="P1589">
        <v>0</v>
      </c>
      <c r="Q1589" s="4">
        <v>156</v>
      </c>
      <c r="R1589" s="12">
        <f t="shared" si="24"/>
        <v>6957.6</v>
      </c>
      <c r="T1589" t="s">
        <v>263</v>
      </c>
      <c r="U1589" t="s">
        <v>1146</v>
      </c>
      <c r="V1589" s="4">
        <v>44.6</v>
      </c>
      <c r="W1589">
        <v>0</v>
      </c>
    </row>
    <row r="1590" spans="1:23" hidden="1" x14ac:dyDescent="0.25">
      <c r="A1590" s="2">
        <v>45944.38685185185</v>
      </c>
      <c r="B1590">
        <v>348</v>
      </c>
      <c r="C1590" t="s">
        <v>1144</v>
      </c>
      <c r="D1590" s="3">
        <v>45944</v>
      </c>
      <c r="E1590" s="3">
        <v>46295</v>
      </c>
      <c r="F1590" t="s">
        <v>66</v>
      </c>
      <c r="G1590" t="s">
        <v>1494</v>
      </c>
      <c r="H1590" t="s">
        <v>22</v>
      </c>
      <c r="I1590" t="s">
        <v>41</v>
      </c>
      <c r="J1590" t="s">
        <v>1491</v>
      </c>
      <c r="K1590" t="s">
        <v>24</v>
      </c>
      <c r="L1590" s="4">
        <v>320</v>
      </c>
      <c r="M1590" t="s">
        <v>1147</v>
      </c>
      <c r="N1590" t="s">
        <v>46</v>
      </c>
      <c r="O1590" s="4">
        <v>30</v>
      </c>
      <c r="P1590">
        <v>0</v>
      </c>
      <c r="Q1590" s="4">
        <v>30</v>
      </c>
      <c r="R1590" s="12">
        <f t="shared" si="24"/>
        <v>9600</v>
      </c>
      <c r="T1590" t="s">
        <v>263</v>
      </c>
      <c r="U1590" t="s">
        <v>1146</v>
      </c>
      <c r="V1590" s="4">
        <v>320</v>
      </c>
      <c r="W1590">
        <v>0</v>
      </c>
    </row>
    <row r="1591" spans="1:23" hidden="1" x14ac:dyDescent="0.25">
      <c r="A1591" s="2">
        <v>45944.38685185185</v>
      </c>
      <c r="B1591">
        <v>348</v>
      </c>
      <c r="C1591" t="s">
        <v>1144</v>
      </c>
      <c r="D1591" s="3">
        <v>45944</v>
      </c>
      <c r="E1591" s="3">
        <v>46295</v>
      </c>
      <c r="F1591" t="s">
        <v>66</v>
      </c>
      <c r="H1591" t="s">
        <v>22</v>
      </c>
      <c r="I1591" t="s">
        <v>42</v>
      </c>
      <c r="J1591" t="s">
        <v>1490</v>
      </c>
      <c r="K1591" t="s">
        <v>24</v>
      </c>
      <c r="L1591" s="4">
        <v>170</v>
      </c>
      <c r="M1591" t="s">
        <v>1147</v>
      </c>
      <c r="N1591" t="s">
        <v>46</v>
      </c>
      <c r="O1591" s="4">
        <v>150</v>
      </c>
      <c r="P1591">
        <v>0</v>
      </c>
      <c r="Q1591" s="4">
        <v>150</v>
      </c>
      <c r="R1591" s="12">
        <f t="shared" si="24"/>
        <v>25500</v>
      </c>
      <c r="T1591" t="s">
        <v>263</v>
      </c>
      <c r="U1591" t="s">
        <v>1146</v>
      </c>
      <c r="V1591" s="4">
        <v>170</v>
      </c>
      <c r="W1591">
        <v>0</v>
      </c>
    </row>
    <row r="1592" spans="1:23" hidden="1" x14ac:dyDescent="0.25">
      <c r="A1592" s="2">
        <v>45944.38685185185</v>
      </c>
      <c r="B1592">
        <v>348</v>
      </c>
      <c r="C1592" t="s">
        <v>1144</v>
      </c>
      <c r="D1592" s="3">
        <v>45944</v>
      </c>
      <c r="E1592" s="3">
        <v>46295</v>
      </c>
      <c r="F1592" t="s">
        <v>66</v>
      </c>
      <c r="G1592" t="s">
        <v>1494</v>
      </c>
      <c r="H1592" t="s">
        <v>22</v>
      </c>
      <c r="I1592" t="s">
        <v>63</v>
      </c>
      <c r="J1592" t="s">
        <v>1491</v>
      </c>
      <c r="K1592" t="s">
        <v>31</v>
      </c>
      <c r="L1592" s="4">
        <v>180</v>
      </c>
      <c r="M1592" t="s">
        <v>1147</v>
      </c>
      <c r="N1592" t="s">
        <v>46</v>
      </c>
      <c r="O1592" s="4">
        <v>120</v>
      </c>
      <c r="P1592">
        <v>0</v>
      </c>
      <c r="Q1592" s="4">
        <v>120</v>
      </c>
      <c r="R1592" s="12">
        <f t="shared" si="24"/>
        <v>21600</v>
      </c>
      <c r="T1592" t="s">
        <v>263</v>
      </c>
      <c r="U1592" t="s">
        <v>1146</v>
      </c>
      <c r="V1592" s="4">
        <v>180</v>
      </c>
      <c r="W1592">
        <v>0</v>
      </c>
    </row>
    <row r="1593" spans="1:23" hidden="1" x14ac:dyDescent="0.25">
      <c r="A1593" s="2">
        <v>45944.38685185185</v>
      </c>
      <c r="B1593">
        <v>348</v>
      </c>
      <c r="C1593" t="s">
        <v>1144</v>
      </c>
      <c r="D1593" s="3">
        <v>45944</v>
      </c>
      <c r="E1593" s="3">
        <v>46295</v>
      </c>
      <c r="F1593" t="s">
        <v>66</v>
      </c>
      <c r="G1593" t="s">
        <v>1494</v>
      </c>
      <c r="H1593" t="s">
        <v>22</v>
      </c>
      <c r="I1593" t="s">
        <v>38</v>
      </c>
      <c r="J1593" t="s">
        <v>1491</v>
      </c>
      <c r="K1593" t="s">
        <v>24</v>
      </c>
      <c r="L1593" s="4">
        <v>40</v>
      </c>
      <c r="M1593" t="s">
        <v>1147</v>
      </c>
      <c r="N1593" t="s">
        <v>46</v>
      </c>
      <c r="O1593" s="4">
        <v>150</v>
      </c>
      <c r="P1593">
        <v>0</v>
      </c>
      <c r="Q1593" s="4">
        <v>150</v>
      </c>
      <c r="R1593" s="12">
        <f t="shared" si="24"/>
        <v>6000</v>
      </c>
      <c r="T1593" t="s">
        <v>263</v>
      </c>
      <c r="U1593" t="s">
        <v>1146</v>
      </c>
      <c r="V1593" s="4">
        <v>40</v>
      </c>
      <c r="W1593">
        <v>0</v>
      </c>
    </row>
    <row r="1594" spans="1:23" hidden="1" x14ac:dyDescent="0.25">
      <c r="A1594" s="2">
        <v>45944.38685185185</v>
      </c>
      <c r="B1594">
        <v>348</v>
      </c>
      <c r="C1594" t="s">
        <v>1144</v>
      </c>
      <c r="D1594" s="3">
        <v>45944</v>
      </c>
      <c r="E1594" s="3">
        <v>46295</v>
      </c>
      <c r="F1594" t="s">
        <v>66</v>
      </c>
      <c r="G1594" t="s">
        <v>1494</v>
      </c>
      <c r="H1594" t="s">
        <v>22</v>
      </c>
      <c r="I1594" t="s">
        <v>40</v>
      </c>
      <c r="J1594" t="s">
        <v>1491</v>
      </c>
      <c r="K1594" t="s">
        <v>24</v>
      </c>
      <c r="L1594" s="4">
        <v>310</v>
      </c>
      <c r="M1594" t="s">
        <v>1147</v>
      </c>
      <c r="N1594" t="s">
        <v>46</v>
      </c>
      <c r="O1594" s="4">
        <v>30</v>
      </c>
      <c r="P1594">
        <v>0</v>
      </c>
      <c r="Q1594" s="4">
        <v>30</v>
      </c>
      <c r="R1594" s="12">
        <f t="shared" si="24"/>
        <v>9300</v>
      </c>
      <c r="T1594" t="s">
        <v>263</v>
      </c>
      <c r="U1594" t="s">
        <v>1146</v>
      </c>
      <c r="V1594" s="4">
        <v>310</v>
      </c>
      <c r="W1594">
        <v>0</v>
      </c>
    </row>
    <row r="1595" spans="1:23" hidden="1" x14ac:dyDescent="0.25">
      <c r="A1595" s="2">
        <v>45948.395833333336</v>
      </c>
      <c r="B1595">
        <v>365</v>
      </c>
      <c r="C1595" t="s">
        <v>1144</v>
      </c>
      <c r="D1595" s="3">
        <v>45948</v>
      </c>
      <c r="E1595" s="3">
        <v>46111</v>
      </c>
      <c r="F1595" t="s">
        <v>66</v>
      </c>
      <c r="G1595" t="s">
        <v>1494</v>
      </c>
      <c r="H1595" t="s">
        <v>22</v>
      </c>
      <c r="I1595" t="s">
        <v>43</v>
      </c>
      <c r="J1595" t="s">
        <v>1491</v>
      </c>
      <c r="K1595" t="s">
        <v>24</v>
      </c>
      <c r="L1595" s="4">
        <v>40</v>
      </c>
      <c r="M1595" t="s">
        <v>1148</v>
      </c>
      <c r="N1595" t="s">
        <v>26</v>
      </c>
      <c r="O1595" s="4">
        <v>21</v>
      </c>
      <c r="P1595">
        <v>0</v>
      </c>
      <c r="Q1595" s="4">
        <v>21</v>
      </c>
      <c r="R1595" s="12">
        <f t="shared" si="24"/>
        <v>840</v>
      </c>
      <c r="T1595" t="s">
        <v>263</v>
      </c>
      <c r="U1595" t="s">
        <v>1146</v>
      </c>
      <c r="V1595" s="4">
        <v>40</v>
      </c>
      <c r="W1595">
        <v>0</v>
      </c>
    </row>
    <row r="1596" spans="1:23" hidden="1" x14ac:dyDescent="0.25">
      <c r="A1596" s="2">
        <v>45948.395833333336</v>
      </c>
      <c r="B1596">
        <v>365</v>
      </c>
      <c r="C1596" t="s">
        <v>1144</v>
      </c>
      <c r="D1596" s="3">
        <v>45948</v>
      </c>
      <c r="E1596" s="3">
        <v>46111</v>
      </c>
      <c r="F1596" t="s">
        <v>66</v>
      </c>
      <c r="G1596" t="s">
        <v>1494</v>
      </c>
      <c r="H1596" t="s">
        <v>22</v>
      </c>
      <c r="I1596" t="s">
        <v>41</v>
      </c>
      <c r="J1596" t="s">
        <v>1491</v>
      </c>
      <c r="K1596" t="s">
        <v>24</v>
      </c>
      <c r="L1596" s="4">
        <v>344</v>
      </c>
      <c r="M1596" t="s">
        <v>1148</v>
      </c>
      <c r="N1596" t="s">
        <v>26</v>
      </c>
      <c r="O1596" s="4">
        <v>6</v>
      </c>
      <c r="P1596">
        <v>0</v>
      </c>
      <c r="Q1596" s="4">
        <v>6</v>
      </c>
      <c r="R1596" s="12">
        <f t="shared" si="24"/>
        <v>2064</v>
      </c>
      <c r="T1596" t="s">
        <v>263</v>
      </c>
      <c r="U1596" t="s">
        <v>1146</v>
      </c>
      <c r="V1596" s="4">
        <v>344</v>
      </c>
      <c r="W1596">
        <v>0</v>
      </c>
    </row>
    <row r="1597" spans="1:23" hidden="1" x14ac:dyDescent="0.25">
      <c r="A1597" s="2">
        <v>45948.395833333336</v>
      </c>
      <c r="B1597">
        <v>365</v>
      </c>
      <c r="C1597" t="s">
        <v>1144</v>
      </c>
      <c r="D1597" s="3">
        <v>45948</v>
      </c>
      <c r="E1597" s="3">
        <v>46111</v>
      </c>
      <c r="F1597" t="s">
        <v>66</v>
      </c>
      <c r="G1597" t="s">
        <v>1494</v>
      </c>
      <c r="H1597" t="s">
        <v>22</v>
      </c>
      <c r="I1597" t="s">
        <v>40</v>
      </c>
      <c r="J1597" t="s">
        <v>1491</v>
      </c>
      <c r="K1597" t="s">
        <v>24</v>
      </c>
      <c r="L1597" s="4">
        <v>324</v>
      </c>
      <c r="M1597" t="s">
        <v>1148</v>
      </c>
      <c r="N1597" t="s">
        <v>26</v>
      </c>
      <c r="O1597" s="4">
        <v>6</v>
      </c>
      <c r="P1597">
        <v>0</v>
      </c>
      <c r="Q1597" s="4">
        <v>6</v>
      </c>
      <c r="R1597" s="12">
        <f t="shared" si="24"/>
        <v>1944</v>
      </c>
      <c r="T1597" t="s">
        <v>263</v>
      </c>
      <c r="U1597" t="s">
        <v>1146</v>
      </c>
      <c r="V1597" s="4">
        <v>324</v>
      </c>
      <c r="W1597">
        <v>0</v>
      </c>
    </row>
    <row r="1598" spans="1:23" hidden="1" x14ac:dyDescent="0.25">
      <c r="A1598" s="2">
        <v>45948.395833333336</v>
      </c>
      <c r="B1598">
        <v>365</v>
      </c>
      <c r="C1598" t="s">
        <v>1144</v>
      </c>
      <c r="D1598" s="3">
        <v>45948</v>
      </c>
      <c r="E1598" s="3">
        <v>46111</v>
      </c>
      <c r="F1598" t="s">
        <v>66</v>
      </c>
      <c r="G1598" t="s">
        <v>1494</v>
      </c>
      <c r="H1598" t="s">
        <v>22</v>
      </c>
      <c r="I1598" t="s">
        <v>38</v>
      </c>
      <c r="J1598" t="s">
        <v>1491</v>
      </c>
      <c r="K1598" t="s">
        <v>24</v>
      </c>
      <c r="L1598" s="4">
        <v>45.34</v>
      </c>
      <c r="M1598" t="s">
        <v>1148</v>
      </c>
      <c r="N1598" t="s">
        <v>26</v>
      </c>
      <c r="O1598" s="4">
        <v>21</v>
      </c>
      <c r="P1598">
        <v>0</v>
      </c>
      <c r="Q1598" s="4">
        <v>21</v>
      </c>
      <c r="R1598" s="12">
        <f t="shared" si="24"/>
        <v>952.1400000000001</v>
      </c>
      <c r="T1598" t="s">
        <v>263</v>
      </c>
      <c r="U1598" t="s">
        <v>1146</v>
      </c>
      <c r="V1598" s="4">
        <v>45.34</v>
      </c>
      <c r="W1598">
        <v>0</v>
      </c>
    </row>
    <row r="1599" spans="1:23" hidden="1" x14ac:dyDescent="0.25">
      <c r="A1599" s="2">
        <v>46003.534467592595</v>
      </c>
      <c r="B1599">
        <v>454</v>
      </c>
      <c r="C1599" t="s">
        <v>1144</v>
      </c>
      <c r="D1599" s="3">
        <v>46003</v>
      </c>
      <c r="E1599" s="3">
        <v>46006</v>
      </c>
      <c r="F1599" t="s">
        <v>66</v>
      </c>
      <c r="H1599" t="s">
        <v>22</v>
      </c>
      <c r="I1599" t="s">
        <v>268</v>
      </c>
      <c r="K1599" t="s">
        <v>24</v>
      </c>
      <c r="L1599" s="4">
        <v>140</v>
      </c>
      <c r="M1599" t="s">
        <v>1149</v>
      </c>
      <c r="N1599" t="s">
        <v>26</v>
      </c>
      <c r="O1599" s="4">
        <v>40</v>
      </c>
      <c r="P1599">
        <v>0</v>
      </c>
      <c r="Q1599" s="4">
        <v>40</v>
      </c>
      <c r="R1599" s="12">
        <f t="shared" si="24"/>
        <v>5600</v>
      </c>
      <c r="T1599" t="s">
        <v>263</v>
      </c>
      <c r="U1599" t="s">
        <v>1146</v>
      </c>
      <c r="V1599" s="4">
        <v>140</v>
      </c>
      <c r="W1599">
        <v>0</v>
      </c>
    </row>
    <row r="1600" spans="1:23" hidden="1" x14ac:dyDescent="0.25">
      <c r="A1600" s="2">
        <v>46055.74046296296</v>
      </c>
      <c r="B1600">
        <v>523</v>
      </c>
      <c r="C1600" t="s">
        <v>1144</v>
      </c>
      <c r="D1600" s="3">
        <v>46055</v>
      </c>
      <c r="E1600" s="3">
        <v>46264</v>
      </c>
      <c r="F1600" t="s">
        <v>66</v>
      </c>
      <c r="H1600" t="s">
        <v>22</v>
      </c>
      <c r="I1600" t="s">
        <v>35</v>
      </c>
      <c r="J1600" t="s">
        <v>1490</v>
      </c>
      <c r="K1600" t="s">
        <v>24</v>
      </c>
      <c r="L1600" s="4">
        <v>64</v>
      </c>
      <c r="M1600" t="s">
        <v>1150</v>
      </c>
      <c r="N1600" t="s">
        <v>46</v>
      </c>
      <c r="O1600" s="4">
        <v>200</v>
      </c>
      <c r="P1600">
        <v>0</v>
      </c>
      <c r="Q1600" s="4">
        <v>200</v>
      </c>
      <c r="R1600" s="12">
        <f t="shared" si="24"/>
        <v>12800</v>
      </c>
      <c r="T1600" t="s">
        <v>263</v>
      </c>
      <c r="U1600" t="s">
        <v>1146</v>
      </c>
      <c r="V1600" s="4">
        <v>64</v>
      </c>
      <c r="W1600">
        <v>0</v>
      </c>
    </row>
    <row r="1601" spans="1:23" hidden="1" x14ac:dyDescent="0.25">
      <c r="A1601" s="2">
        <v>46072.386423611111</v>
      </c>
      <c r="B1601">
        <v>4582</v>
      </c>
      <c r="C1601" t="s">
        <v>1151</v>
      </c>
      <c r="D1601" s="3">
        <v>46072</v>
      </c>
      <c r="E1601" s="3">
        <v>46264</v>
      </c>
      <c r="F1601" t="s">
        <v>79</v>
      </c>
      <c r="H1601" t="s">
        <v>22</v>
      </c>
      <c r="I1601" t="s">
        <v>30</v>
      </c>
      <c r="J1601" t="s">
        <v>1490</v>
      </c>
      <c r="K1601" t="s">
        <v>31</v>
      </c>
      <c r="L1601" s="4">
        <v>20</v>
      </c>
      <c r="M1601" t="s">
        <v>1152</v>
      </c>
      <c r="N1601" t="s">
        <v>46</v>
      </c>
      <c r="O1601" s="4">
        <v>150</v>
      </c>
      <c r="P1601">
        <v>0</v>
      </c>
      <c r="Q1601" s="4">
        <v>150</v>
      </c>
      <c r="R1601" s="12">
        <f t="shared" si="24"/>
        <v>3000</v>
      </c>
      <c r="T1601" t="s">
        <v>405</v>
      </c>
      <c r="U1601" t="s">
        <v>1153</v>
      </c>
      <c r="V1601" s="4">
        <v>20</v>
      </c>
      <c r="W1601">
        <v>0</v>
      </c>
    </row>
    <row r="1602" spans="1:23" hidden="1" x14ac:dyDescent="0.25">
      <c r="A1602" s="2">
        <v>46072.386423611111</v>
      </c>
      <c r="B1602">
        <v>4582</v>
      </c>
      <c r="C1602" t="s">
        <v>1151</v>
      </c>
      <c r="D1602" s="3">
        <v>46072</v>
      </c>
      <c r="E1602" s="3">
        <v>46264</v>
      </c>
      <c r="F1602" t="s">
        <v>79</v>
      </c>
      <c r="H1602" t="s">
        <v>22</v>
      </c>
      <c r="I1602" t="s">
        <v>181</v>
      </c>
      <c r="J1602" t="s">
        <v>1490</v>
      </c>
      <c r="K1602" t="s">
        <v>24</v>
      </c>
      <c r="L1602" s="4">
        <v>90</v>
      </c>
      <c r="M1602" t="s">
        <v>1152</v>
      </c>
      <c r="N1602" t="s">
        <v>46</v>
      </c>
      <c r="O1602" s="4">
        <v>20</v>
      </c>
      <c r="P1602">
        <v>0</v>
      </c>
      <c r="Q1602" s="4">
        <v>20</v>
      </c>
      <c r="R1602" s="12">
        <f t="shared" si="24"/>
        <v>1800</v>
      </c>
      <c r="T1602" t="s">
        <v>405</v>
      </c>
      <c r="U1602" t="s">
        <v>1153</v>
      </c>
      <c r="V1602" s="4">
        <v>90</v>
      </c>
      <c r="W1602">
        <v>0</v>
      </c>
    </row>
    <row r="1603" spans="1:23" hidden="1" x14ac:dyDescent="0.25">
      <c r="A1603" s="2">
        <v>46072.386423611111</v>
      </c>
      <c r="B1603">
        <v>4582</v>
      </c>
      <c r="C1603" t="s">
        <v>1151</v>
      </c>
      <c r="D1603" s="3">
        <v>46072</v>
      </c>
      <c r="E1603" s="3">
        <v>46264</v>
      </c>
      <c r="F1603" t="s">
        <v>79</v>
      </c>
      <c r="H1603" t="s">
        <v>22</v>
      </c>
      <c r="I1603" t="s">
        <v>35</v>
      </c>
      <c r="J1603" t="s">
        <v>1490</v>
      </c>
      <c r="K1603" t="s">
        <v>24</v>
      </c>
      <c r="L1603" s="4">
        <v>68</v>
      </c>
      <c r="M1603" t="s">
        <v>1152</v>
      </c>
      <c r="N1603" t="s">
        <v>46</v>
      </c>
      <c r="O1603" s="4">
        <v>10</v>
      </c>
      <c r="P1603">
        <v>0</v>
      </c>
      <c r="Q1603" s="4">
        <v>10</v>
      </c>
      <c r="R1603" s="12">
        <f t="shared" ref="R1603:R1666" si="25">Q1603*L1603</f>
        <v>680</v>
      </c>
      <c r="T1603" t="s">
        <v>405</v>
      </c>
      <c r="U1603" t="s">
        <v>1153</v>
      </c>
      <c r="V1603" s="4">
        <v>68</v>
      </c>
      <c r="W1603">
        <v>0</v>
      </c>
    </row>
    <row r="1604" spans="1:23" hidden="1" x14ac:dyDescent="0.25">
      <c r="A1604" s="2">
        <v>46072.386423611111</v>
      </c>
      <c r="B1604">
        <v>4582</v>
      </c>
      <c r="C1604" t="s">
        <v>1151</v>
      </c>
      <c r="D1604" s="3">
        <v>46072</v>
      </c>
      <c r="E1604" s="3">
        <v>46264</v>
      </c>
      <c r="F1604" t="s">
        <v>79</v>
      </c>
      <c r="H1604" t="s">
        <v>22</v>
      </c>
      <c r="I1604" t="s">
        <v>36</v>
      </c>
      <c r="J1604" t="s">
        <v>1490</v>
      </c>
      <c r="K1604" t="s">
        <v>24</v>
      </c>
      <c r="L1604" s="4">
        <v>68</v>
      </c>
      <c r="M1604" t="s">
        <v>1152</v>
      </c>
      <c r="N1604" t="s">
        <v>46</v>
      </c>
      <c r="O1604" s="4">
        <v>10</v>
      </c>
      <c r="P1604">
        <v>0</v>
      </c>
      <c r="Q1604" s="4">
        <v>10</v>
      </c>
      <c r="R1604" s="12">
        <f t="shared" si="25"/>
        <v>680</v>
      </c>
      <c r="T1604" t="s">
        <v>405</v>
      </c>
      <c r="U1604" t="s">
        <v>1153</v>
      </c>
      <c r="V1604" s="4">
        <v>68</v>
      </c>
      <c r="W1604">
        <v>0</v>
      </c>
    </row>
    <row r="1605" spans="1:23" hidden="1" x14ac:dyDescent="0.25">
      <c r="A1605" s="2">
        <v>46072.386423611111</v>
      </c>
      <c r="B1605">
        <v>4582</v>
      </c>
      <c r="C1605" t="s">
        <v>1151</v>
      </c>
      <c r="D1605" s="3">
        <v>46072</v>
      </c>
      <c r="E1605" s="3">
        <v>46264</v>
      </c>
      <c r="F1605" t="s">
        <v>79</v>
      </c>
      <c r="H1605" t="s">
        <v>22</v>
      </c>
      <c r="I1605" t="s">
        <v>33</v>
      </c>
      <c r="J1605" t="s">
        <v>1490</v>
      </c>
      <c r="K1605" t="s">
        <v>31</v>
      </c>
      <c r="L1605" s="4">
        <v>22</v>
      </c>
      <c r="M1605" t="s">
        <v>1152</v>
      </c>
      <c r="N1605" t="s">
        <v>46</v>
      </c>
      <c r="O1605" s="4">
        <v>50</v>
      </c>
      <c r="P1605">
        <v>0</v>
      </c>
      <c r="Q1605" s="4">
        <v>50</v>
      </c>
      <c r="R1605" s="12">
        <f t="shared" si="25"/>
        <v>1100</v>
      </c>
      <c r="T1605" t="s">
        <v>405</v>
      </c>
      <c r="U1605" t="s">
        <v>1153</v>
      </c>
      <c r="V1605" s="4">
        <v>22</v>
      </c>
      <c r="W1605">
        <v>0</v>
      </c>
    </row>
    <row r="1606" spans="1:23" hidden="1" x14ac:dyDescent="0.25">
      <c r="A1606" s="2">
        <v>46072.386423611111</v>
      </c>
      <c r="B1606">
        <v>4582</v>
      </c>
      <c r="C1606" t="s">
        <v>1151</v>
      </c>
      <c r="D1606" s="3">
        <v>46072</v>
      </c>
      <c r="E1606" s="3">
        <v>46264</v>
      </c>
      <c r="F1606" t="s">
        <v>79</v>
      </c>
      <c r="H1606" t="s">
        <v>22</v>
      </c>
      <c r="I1606" t="s">
        <v>29</v>
      </c>
      <c r="J1606" t="s">
        <v>1490</v>
      </c>
      <c r="K1606" t="s">
        <v>24</v>
      </c>
      <c r="L1606" s="4">
        <v>150</v>
      </c>
      <c r="M1606" t="s">
        <v>1152</v>
      </c>
      <c r="N1606" t="s">
        <v>46</v>
      </c>
      <c r="O1606" s="4">
        <v>20</v>
      </c>
      <c r="P1606">
        <v>0</v>
      </c>
      <c r="Q1606" s="4">
        <v>20</v>
      </c>
      <c r="R1606" s="12">
        <f t="shared" si="25"/>
        <v>3000</v>
      </c>
      <c r="T1606" t="s">
        <v>405</v>
      </c>
      <c r="U1606" t="s">
        <v>1153</v>
      </c>
      <c r="V1606" s="4">
        <v>150</v>
      </c>
      <c r="W1606">
        <v>0</v>
      </c>
    </row>
    <row r="1607" spans="1:23" hidden="1" x14ac:dyDescent="0.25">
      <c r="A1607" s="2">
        <v>46072.386423611111</v>
      </c>
      <c r="B1607">
        <v>4582</v>
      </c>
      <c r="C1607" t="s">
        <v>1151</v>
      </c>
      <c r="D1607" s="3">
        <v>46072</v>
      </c>
      <c r="E1607" s="3">
        <v>46264</v>
      </c>
      <c r="F1607" t="s">
        <v>79</v>
      </c>
      <c r="H1607" t="s">
        <v>22</v>
      </c>
      <c r="I1607" t="s">
        <v>192</v>
      </c>
      <c r="J1607" t="s">
        <v>1490</v>
      </c>
      <c r="K1607" t="s">
        <v>24</v>
      </c>
      <c r="L1607" s="4">
        <v>17</v>
      </c>
      <c r="M1607" t="s">
        <v>1152</v>
      </c>
      <c r="N1607" t="s">
        <v>46</v>
      </c>
      <c r="O1607" s="4">
        <v>160</v>
      </c>
      <c r="P1607">
        <v>0</v>
      </c>
      <c r="Q1607" s="4">
        <v>160</v>
      </c>
      <c r="R1607" s="12">
        <f t="shared" si="25"/>
        <v>2720</v>
      </c>
      <c r="T1607" t="s">
        <v>405</v>
      </c>
      <c r="U1607" t="s">
        <v>1153</v>
      </c>
      <c r="V1607" s="4">
        <v>17</v>
      </c>
      <c r="W1607">
        <v>0</v>
      </c>
    </row>
    <row r="1608" spans="1:23" hidden="1" x14ac:dyDescent="0.25">
      <c r="A1608" s="2">
        <v>46072.386423611111</v>
      </c>
      <c r="B1608">
        <v>4582</v>
      </c>
      <c r="C1608" t="s">
        <v>1151</v>
      </c>
      <c r="D1608" s="3">
        <v>46072</v>
      </c>
      <c r="E1608" s="3">
        <v>46264</v>
      </c>
      <c r="F1608" t="s">
        <v>79</v>
      </c>
      <c r="H1608" t="s">
        <v>22</v>
      </c>
      <c r="I1608" t="s">
        <v>23</v>
      </c>
      <c r="J1608" t="s">
        <v>1490</v>
      </c>
      <c r="K1608" t="s">
        <v>24</v>
      </c>
      <c r="L1608" s="4">
        <v>15</v>
      </c>
      <c r="M1608" t="s">
        <v>1152</v>
      </c>
      <c r="N1608" t="s">
        <v>46</v>
      </c>
      <c r="O1608" s="4">
        <v>80</v>
      </c>
      <c r="P1608">
        <v>0</v>
      </c>
      <c r="Q1608" s="4">
        <v>80</v>
      </c>
      <c r="R1608" s="12">
        <f t="shared" si="25"/>
        <v>1200</v>
      </c>
      <c r="T1608" t="s">
        <v>405</v>
      </c>
      <c r="U1608" t="s">
        <v>1153</v>
      </c>
      <c r="V1608" s="4">
        <v>15</v>
      </c>
      <c r="W1608">
        <v>0</v>
      </c>
    </row>
    <row r="1609" spans="1:23" hidden="1" x14ac:dyDescent="0.25">
      <c r="A1609" s="2">
        <v>46007.613449074073</v>
      </c>
      <c r="B1609">
        <v>4360</v>
      </c>
      <c r="C1609" t="s">
        <v>1154</v>
      </c>
      <c r="D1609" s="3">
        <v>46007</v>
      </c>
      <c r="E1609" s="3">
        <v>46142</v>
      </c>
      <c r="F1609" t="s">
        <v>21</v>
      </c>
      <c r="H1609" t="s">
        <v>22</v>
      </c>
      <c r="I1609" t="s">
        <v>96</v>
      </c>
      <c r="K1609" t="s">
        <v>24</v>
      </c>
      <c r="L1609" s="4">
        <v>65</v>
      </c>
      <c r="M1609" t="s">
        <v>1155</v>
      </c>
      <c r="N1609" t="s">
        <v>26</v>
      </c>
      <c r="O1609" s="4">
        <v>400</v>
      </c>
      <c r="P1609">
        <v>0</v>
      </c>
      <c r="Q1609" s="4">
        <v>400</v>
      </c>
      <c r="R1609" s="12">
        <f t="shared" si="25"/>
        <v>26000</v>
      </c>
      <c r="T1609" t="s">
        <v>151</v>
      </c>
      <c r="U1609" t="s">
        <v>1156</v>
      </c>
      <c r="V1609" s="4">
        <v>65</v>
      </c>
      <c r="W1609">
        <v>0</v>
      </c>
    </row>
    <row r="1610" spans="1:23" hidden="1" x14ac:dyDescent="0.25">
      <c r="A1610" s="2">
        <v>46058.600914351853</v>
      </c>
      <c r="B1610">
        <v>4534</v>
      </c>
      <c r="C1610" t="s">
        <v>1154</v>
      </c>
      <c r="D1610" s="3">
        <v>46058</v>
      </c>
      <c r="E1610" s="3">
        <v>46142</v>
      </c>
      <c r="F1610" t="s">
        <v>21</v>
      </c>
      <c r="H1610" t="s">
        <v>22</v>
      </c>
      <c r="I1610" t="s">
        <v>96</v>
      </c>
      <c r="K1610" t="s">
        <v>24</v>
      </c>
      <c r="L1610" s="4">
        <v>65</v>
      </c>
      <c r="M1610" t="s">
        <v>1157</v>
      </c>
      <c r="N1610" t="s">
        <v>46</v>
      </c>
      <c r="O1610" s="4">
        <v>50</v>
      </c>
      <c r="P1610">
        <v>0</v>
      </c>
      <c r="Q1610" s="4">
        <v>50</v>
      </c>
      <c r="R1610" s="12">
        <f t="shared" si="25"/>
        <v>3250</v>
      </c>
      <c r="T1610" t="s">
        <v>151</v>
      </c>
      <c r="U1610" t="s">
        <v>1156</v>
      </c>
      <c r="V1610" s="4">
        <v>65</v>
      </c>
      <c r="W1610">
        <v>0</v>
      </c>
    </row>
    <row r="1611" spans="1:23" hidden="1" x14ac:dyDescent="0.25">
      <c r="A1611" s="2">
        <v>45933.351261574076</v>
      </c>
      <c r="B1611">
        <v>4122</v>
      </c>
      <c r="C1611" t="s">
        <v>1158</v>
      </c>
      <c r="D1611" s="3">
        <v>45932</v>
      </c>
      <c r="E1611" s="3">
        <v>46142</v>
      </c>
      <c r="F1611" t="s">
        <v>637</v>
      </c>
      <c r="H1611" t="s">
        <v>22</v>
      </c>
      <c r="I1611" t="s">
        <v>35</v>
      </c>
      <c r="J1611" t="s">
        <v>1490</v>
      </c>
      <c r="K1611" t="s">
        <v>24</v>
      </c>
      <c r="L1611" s="4">
        <v>65</v>
      </c>
      <c r="M1611" t="s">
        <v>1159</v>
      </c>
      <c r="N1611" t="s">
        <v>26</v>
      </c>
      <c r="O1611" s="4">
        <v>110</v>
      </c>
      <c r="P1611">
        <v>0</v>
      </c>
      <c r="Q1611" s="4">
        <v>110</v>
      </c>
      <c r="R1611" s="12">
        <f t="shared" si="25"/>
        <v>7150</v>
      </c>
      <c r="T1611" t="s">
        <v>151</v>
      </c>
      <c r="U1611" t="s">
        <v>1160</v>
      </c>
      <c r="V1611" s="4">
        <v>65</v>
      </c>
      <c r="W1611">
        <v>0</v>
      </c>
    </row>
    <row r="1612" spans="1:23" hidden="1" x14ac:dyDescent="0.25">
      <c r="A1612" s="2">
        <v>45933.408159722225</v>
      </c>
      <c r="B1612">
        <v>4124</v>
      </c>
      <c r="C1612" t="s">
        <v>1158</v>
      </c>
      <c r="D1612" s="3">
        <v>45933</v>
      </c>
      <c r="E1612" s="3">
        <v>46142</v>
      </c>
      <c r="F1612" t="s">
        <v>637</v>
      </c>
      <c r="G1612" t="s">
        <v>1493</v>
      </c>
      <c r="H1612" t="s">
        <v>22</v>
      </c>
      <c r="I1612" t="s">
        <v>40</v>
      </c>
      <c r="J1612" t="s">
        <v>1491</v>
      </c>
      <c r="K1612" t="s">
        <v>24</v>
      </c>
      <c r="L1612" s="4">
        <v>290</v>
      </c>
      <c r="M1612" t="s">
        <v>1161</v>
      </c>
      <c r="N1612" t="s">
        <v>26</v>
      </c>
      <c r="O1612" s="4">
        <v>20</v>
      </c>
      <c r="P1612">
        <v>0</v>
      </c>
      <c r="Q1612" s="4">
        <v>20</v>
      </c>
      <c r="R1612" s="12">
        <f t="shared" si="25"/>
        <v>5800</v>
      </c>
      <c r="T1612" t="s">
        <v>151</v>
      </c>
      <c r="U1612" t="s">
        <v>1160</v>
      </c>
      <c r="V1612" s="4">
        <v>290</v>
      </c>
      <c r="W1612">
        <v>0</v>
      </c>
    </row>
    <row r="1613" spans="1:23" hidden="1" x14ac:dyDescent="0.25">
      <c r="A1613" s="2">
        <v>45950.61787037037</v>
      </c>
      <c r="B1613">
        <v>4185</v>
      </c>
      <c r="C1613" t="s">
        <v>1158</v>
      </c>
      <c r="D1613" s="3">
        <v>45950</v>
      </c>
      <c r="E1613" s="3">
        <v>46142</v>
      </c>
      <c r="F1613" t="s">
        <v>637</v>
      </c>
      <c r="H1613" t="s">
        <v>22</v>
      </c>
      <c r="I1613" t="s">
        <v>32</v>
      </c>
      <c r="J1613" t="s">
        <v>1490</v>
      </c>
      <c r="K1613" t="s">
        <v>24</v>
      </c>
      <c r="L1613" s="4">
        <v>25</v>
      </c>
      <c r="M1613" t="s">
        <v>1162</v>
      </c>
      <c r="N1613" t="s">
        <v>26</v>
      </c>
      <c r="O1613" s="4">
        <v>700</v>
      </c>
      <c r="P1613">
        <v>0</v>
      </c>
      <c r="Q1613" s="4">
        <v>700</v>
      </c>
      <c r="R1613" s="12">
        <f t="shared" si="25"/>
        <v>17500</v>
      </c>
      <c r="T1613" t="s">
        <v>151</v>
      </c>
      <c r="U1613" t="s">
        <v>1160</v>
      </c>
      <c r="V1613" s="4">
        <v>25</v>
      </c>
      <c r="W1613">
        <v>0</v>
      </c>
    </row>
    <row r="1614" spans="1:23" hidden="1" x14ac:dyDescent="0.25">
      <c r="A1614" s="2">
        <v>45975.589837962965</v>
      </c>
      <c r="B1614">
        <v>4272</v>
      </c>
      <c r="C1614" t="s">
        <v>1158</v>
      </c>
      <c r="D1614" s="3">
        <v>45975</v>
      </c>
      <c r="E1614" s="3">
        <v>46142</v>
      </c>
      <c r="F1614" t="s">
        <v>637</v>
      </c>
      <c r="H1614" t="s">
        <v>22</v>
      </c>
      <c r="I1614" t="s">
        <v>107</v>
      </c>
      <c r="K1614" t="s">
        <v>31</v>
      </c>
      <c r="L1614" s="4">
        <v>2800</v>
      </c>
      <c r="M1614" t="s">
        <v>1163</v>
      </c>
      <c r="N1614" t="s">
        <v>26</v>
      </c>
      <c r="O1614" s="4">
        <v>5</v>
      </c>
      <c r="P1614">
        <v>0</v>
      </c>
      <c r="Q1614" s="4">
        <v>5</v>
      </c>
      <c r="R1614" s="12">
        <f t="shared" si="25"/>
        <v>14000</v>
      </c>
      <c r="T1614" t="s">
        <v>151</v>
      </c>
      <c r="U1614" t="s">
        <v>1160</v>
      </c>
      <c r="V1614" s="4">
        <v>2800</v>
      </c>
      <c r="W1614">
        <v>0</v>
      </c>
    </row>
    <row r="1615" spans="1:23" hidden="1" x14ac:dyDescent="0.25">
      <c r="A1615" s="2">
        <v>45994.473773148151</v>
      </c>
      <c r="B1615">
        <v>4318</v>
      </c>
      <c r="C1615" t="s">
        <v>1158</v>
      </c>
      <c r="D1615" s="3">
        <v>45993</v>
      </c>
      <c r="E1615" s="3">
        <v>46295</v>
      </c>
      <c r="F1615" t="s">
        <v>637</v>
      </c>
      <c r="G1615" t="s">
        <v>1493</v>
      </c>
      <c r="H1615" t="s">
        <v>22</v>
      </c>
      <c r="I1615" t="s">
        <v>41</v>
      </c>
      <c r="J1615" t="s">
        <v>1491</v>
      </c>
      <c r="K1615" t="s">
        <v>24</v>
      </c>
      <c r="L1615" s="4">
        <v>290</v>
      </c>
      <c r="M1615" t="s">
        <v>1164</v>
      </c>
      <c r="N1615" t="s">
        <v>46</v>
      </c>
      <c r="O1615" s="4">
        <v>38</v>
      </c>
      <c r="P1615">
        <v>0</v>
      </c>
      <c r="Q1615" s="4">
        <v>38</v>
      </c>
      <c r="R1615" s="12">
        <f t="shared" si="25"/>
        <v>11020</v>
      </c>
      <c r="T1615" t="s">
        <v>151</v>
      </c>
      <c r="U1615" t="s">
        <v>1160</v>
      </c>
      <c r="V1615" s="4">
        <v>290</v>
      </c>
      <c r="W1615">
        <v>0</v>
      </c>
    </row>
    <row r="1616" spans="1:23" hidden="1" x14ac:dyDescent="0.25">
      <c r="A1616" s="2">
        <v>45994.473773148151</v>
      </c>
      <c r="B1616">
        <v>4318</v>
      </c>
      <c r="C1616" t="s">
        <v>1158</v>
      </c>
      <c r="D1616" s="3">
        <v>45993</v>
      </c>
      <c r="E1616" s="3">
        <v>46295</v>
      </c>
      <c r="F1616" t="s">
        <v>637</v>
      </c>
      <c r="G1616" t="s">
        <v>1493</v>
      </c>
      <c r="H1616" t="s">
        <v>22</v>
      </c>
      <c r="I1616" t="s">
        <v>38</v>
      </c>
      <c r="J1616" t="s">
        <v>1491</v>
      </c>
      <c r="K1616" t="s">
        <v>24</v>
      </c>
      <c r="L1616" s="4">
        <v>48</v>
      </c>
      <c r="M1616" t="s">
        <v>1164</v>
      </c>
      <c r="N1616" t="s">
        <v>46</v>
      </c>
      <c r="O1616" s="4">
        <v>75</v>
      </c>
      <c r="P1616">
        <v>0</v>
      </c>
      <c r="Q1616" s="4">
        <v>75</v>
      </c>
      <c r="R1616" s="12">
        <f t="shared" si="25"/>
        <v>3600</v>
      </c>
      <c r="T1616" t="s">
        <v>151</v>
      </c>
      <c r="U1616" t="s">
        <v>1160</v>
      </c>
      <c r="V1616" s="4">
        <v>48</v>
      </c>
      <c r="W1616">
        <v>0</v>
      </c>
    </row>
    <row r="1617" spans="1:23" hidden="1" x14ac:dyDescent="0.25">
      <c r="A1617" s="2">
        <v>45994.473773148151</v>
      </c>
      <c r="B1617">
        <v>4318</v>
      </c>
      <c r="C1617" t="s">
        <v>1158</v>
      </c>
      <c r="D1617" s="3">
        <v>45993</v>
      </c>
      <c r="E1617" s="3">
        <v>46295</v>
      </c>
      <c r="F1617" t="s">
        <v>637</v>
      </c>
      <c r="G1617" t="s">
        <v>1493</v>
      </c>
      <c r="H1617" t="s">
        <v>22</v>
      </c>
      <c r="I1617" t="s">
        <v>40</v>
      </c>
      <c r="J1617" t="s">
        <v>1491</v>
      </c>
      <c r="K1617" t="s">
        <v>24</v>
      </c>
      <c r="L1617" s="4">
        <v>290</v>
      </c>
      <c r="M1617" t="s">
        <v>1164</v>
      </c>
      <c r="N1617" t="s">
        <v>46</v>
      </c>
      <c r="O1617" s="4">
        <v>38</v>
      </c>
      <c r="P1617">
        <v>0</v>
      </c>
      <c r="Q1617" s="4">
        <v>38</v>
      </c>
      <c r="R1617" s="12">
        <f t="shared" si="25"/>
        <v>11020</v>
      </c>
      <c r="T1617" t="s">
        <v>151</v>
      </c>
      <c r="U1617" t="s">
        <v>1160</v>
      </c>
      <c r="V1617" s="4">
        <v>290</v>
      </c>
      <c r="W1617">
        <v>0</v>
      </c>
    </row>
    <row r="1618" spans="1:23" hidden="1" x14ac:dyDescent="0.25">
      <c r="A1618" s="2">
        <v>46001.331377314818</v>
      </c>
      <c r="B1618">
        <v>4338</v>
      </c>
      <c r="C1618" t="s">
        <v>1158</v>
      </c>
      <c r="D1618" s="3">
        <v>46001</v>
      </c>
      <c r="E1618" s="3">
        <v>46142</v>
      </c>
      <c r="F1618" t="s">
        <v>637</v>
      </c>
      <c r="G1618" t="s">
        <v>1493</v>
      </c>
      <c r="H1618" t="s">
        <v>22</v>
      </c>
      <c r="I1618" t="s">
        <v>468</v>
      </c>
      <c r="J1618" t="s">
        <v>1491</v>
      </c>
      <c r="K1618" t="s">
        <v>24</v>
      </c>
      <c r="L1618" s="4">
        <v>40</v>
      </c>
      <c r="N1618" t="s">
        <v>26</v>
      </c>
      <c r="O1618" s="4">
        <v>35</v>
      </c>
      <c r="P1618">
        <v>0</v>
      </c>
      <c r="Q1618" s="4">
        <v>35</v>
      </c>
      <c r="R1618" s="12">
        <f t="shared" si="25"/>
        <v>1400</v>
      </c>
      <c r="T1618" t="s">
        <v>151</v>
      </c>
      <c r="U1618" t="s">
        <v>1160</v>
      </c>
      <c r="V1618" s="4">
        <v>40</v>
      </c>
      <c r="W1618">
        <v>0</v>
      </c>
    </row>
    <row r="1619" spans="1:23" hidden="1" x14ac:dyDescent="0.25">
      <c r="A1619" s="2">
        <v>46001.340671296297</v>
      </c>
      <c r="B1619">
        <v>4340</v>
      </c>
      <c r="C1619" t="s">
        <v>1158</v>
      </c>
      <c r="D1619" s="3">
        <v>46001</v>
      </c>
      <c r="E1619" s="3">
        <v>46295</v>
      </c>
      <c r="F1619" t="s">
        <v>637</v>
      </c>
      <c r="H1619" t="s">
        <v>22</v>
      </c>
      <c r="I1619" t="s">
        <v>34</v>
      </c>
      <c r="J1619" t="s">
        <v>1490</v>
      </c>
      <c r="K1619" t="s">
        <v>31</v>
      </c>
      <c r="L1619" s="4">
        <v>25</v>
      </c>
      <c r="M1619" t="s">
        <v>1165</v>
      </c>
      <c r="N1619" t="s">
        <v>46</v>
      </c>
      <c r="O1619" s="4">
        <v>370</v>
      </c>
      <c r="P1619" s="4">
        <v>370</v>
      </c>
      <c r="Q1619">
        <v>0</v>
      </c>
      <c r="R1619" s="12">
        <f t="shared" si="25"/>
        <v>0</v>
      </c>
      <c r="T1619" t="s">
        <v>151</v>
      </c>
      <c r="U1619" t="s">
        <v>1160</v>
      </c>
      <c r="V1619" s="4">
        <v>25</v>
      </c>
      <c r="W1619">
        <v>0</v>
      </c>
    </row>
    <row r="1620" spans="1:23" hidden="1" x14ac:dyDescent="0.25">
      <c r="A1620" s="2">
        <v>46001.340671296297</v>
      </c>
      <c r="B1620">
        <v>4340</v>
      </c>
      <c r="C1620" t="s">
        <v>1158</v>
      </c>
      <c r="D1620" s="3">
        <v>46001</v>
      </c>
      <c r="E1620" s="3">
        <v>46295</v>
      </c>
      <c r="F1620" t="s">
        <v>637</v>
      </c>
      <c r="H1620" t="s">
        <v>22</v>
      </c>
      <c r="I1620" t="s">
        <v>32</v>
      </c>
      <c r="J1620" t="s">
        <v>1490</v>
      </c>
      <c r="K1620" t="s">
        <v>24</v>
      </c>
      <c r="L1620" s="4">
        <v>22.5</v>
      </c>
      <c r="M1620" t="s">
        <v>1165</v>
      </c>
      <c r="N1620" t="s">
        <v>46</v>
      </c>
      <c r="O1620" s="4">
        <v>380</v>
      </c>
      <c r="P1620">
        <v>0</v>
      </c>
      <c r="Q1620" s="4">
        <v>380</v>
      </c>
      <c r="R1620" s="12">
        <f t="shared" si="25"/>
        <v>8550</v>
      </c>
      <c r="T1620" t="s">
        <v>151</v>
      </c>
      <c r="U1620" t="s">
        <v>1160</v>
      </c>
      <c r="V1620" s="4">
        <v>22.5</v>
      </c>
      <c r="W1620">
        <v>0</v>
      </c>
    </row>
    <row r="1621" spans="1:23" hidden="1" x14ac:dyDescent="0.25">
      <c r="A1621" s="2">
        <v>46001.340671296297</v>
      </c>
      <c r="B1621">
        <v>4340</v>
      </c>
      <c r="C1621" t="s">
        <v>1158</v>
      </c>
      <c r="D1621" s="3">
        <v>46001</v>
      </c>
      <c r="E1621" s="3">
        <v>46295</v>
      </c>
      <c r="F1621" t="s">
        <v>637</v>
      </c>
      <c r="H1621" t="s">
        <v>22</v>
      </c>
      <c r="I1621" t="s">
        <v>30</v>
      </c>
      <c r="J1621" t="s">
        <v>1490</v>
      </c>
      <c r="K1621" t="s">
        <v>31</v>
      </c>
      <c r="L1621" s="4">
        <v>24.5</v>
      </c>
      <c r="M1621" t="s">
        <v>1165</v>
      </c>
      <c r="N1621" t="s">
        <v>46</v>
      </c>
      <c r="O1621" s="4">
        <v>740</v>
      </c>
      <c r="P1621">
        <v>0</v>
      </c>
      <c r="Q1621" s="4">
        <v>740</v>
      </c>
      <c r="R1621" s="12">
        <f t="shared" si="25"/>
        <v>18130</v>
      </c>
      <c r="T1621" t="s">
        <v>151</v>
      </c>
      <c r="U1621" t="s">
        <v>1160</v>
      </c>
      <c r="V1621" s="4">
        <v>24.5</v>
      </c>
      <c r="W1621">
        <v>0</v>
      </c>
    </row>
    <row r="1622" spans="1:23" hidden="1" x14ac:dyDescent="0.25">
      <c r="A1622" s="2">
        <v>46049.585625</v>
      </c>
      <c r="B1622">
        <v>4496</v>
      </c>
      <c r="C1622" t="s">
        <v>1158</v>
      </c>
      <c r="D1622" s="3">
        <v>46049</v>
      </c>
      <c r="E1622" s="3">
        <v>46233</v>
      </c>
      <c r="F1622" t="s">
        <v>637</v>
      </c>
      <c r="H1622" t="s">
        <v>22</v>
      </c>
      <c r="I1622" t="s">
        <v>878</v>
      </c>
      <c r="K1622" t="s">
        <v>24</v>
      </c>
      <c r="L1622" s="4">
        <v>52</v>
      </c>
      <c r="M1622" t="s">
        <v>1166</v>
      </c>
      <c r="N1622" t="s">
        <v>46</v>
      </c>
      <c r="O1622" s="4">
        <v>880</v>
      </c>
      <c r="P1622">
        <v>0</v>
      </c>
      <c r="Q1622" s="4">
        <v>880</v>
      </c>
      <c r="R1622" s="12">
        <f t="shared" si="25"/>
        <v>45760</v>
      </c>
      <c r="T1622" t="s">
        <v>151</v>
      </c>
      <c r="U1622" t="s">
        <v>1160</v>
      </c>
      <c r="V1622" s="4">
        <v>52</v>
      </c>
      <c r="W1622">
        <v>0</v>
      </c>
    </row>
    <row r="1623" spans="1:23" hidden="1" x14ac:dyDescent="0.25">
      <c r="A1623" s="2">
        <v>46064.359305555554</v>
      </c>
      <c r="B1623">
        <v>4553</v>
      </c>
      <c r="C1623" t="s">
        <v>1158</v>
      </c>
      <c r="D1623" s="3">
        <v>46062</v>
      </c>
      <c r="E1623" s="3">
        <v>46295</v>
      </c>
      <c r="F1623" t="s">
        <v>637</v>
      </c>
      <c r="H1623" t="s">
        <v>22</v>
      </c>
      <c r="I1623" t="s">
        <v>29</v>
      </c>
      <c r="J1623" t="s">
        <v>1490</v>
      </c>
      <c r="K1623" t="s">
        <v>24</v>
      </c>
      <c r="L1623" s="4">
        <v>150</v>
      </c>
      <c r="M1623" t="s">
        <v>1167</v>
      </c>
      <c r="N1623" t="s">
        <v>46</v>
      </c>
      <c r="O1623" s="4">
        <v>40</v>
      </c>
      <c r="P1623">
        <v>0</v>
      </c>
      <c r="Q1623" s="4">
        <v>40</v>
      </c>
      <c r="R1623" s="12">
        <f t="shared" si="25"/>
        <v>6000</v>
      </c>
      <c r="T1623" t="s">
        <v>151</v>
      </c>
      <c r="U1623" t="s">
        <v>1160</v>
      </c>
      <c r="V1623" s="4">
        <v>150</v>
      </c>
      <c r="W1623">
        <v>0</v>
      </c>
    </row>
    <row r="1624" spans="1:23" hidden="1" x14ac:dyDescent="0.25">
      <c r="A1624" s="2">
        <v>46020.36645833333</v>
      </c>
      <c r="B1624">
        <v>4384</v>
      </c>
      <c r="C1624" t="s">
        <v>1168</v>
      </c>
      <c r="D1624" s="3">
        <v>46018</v>
      </c>
      <c r="E1624" s="3">
        <v>46264</v>
      </c>
      <c r="F1624" t="s">
        <v>98</v>
      </c>
      <c r="H1624" t="s">
        <v>22</v>
      </c>
      <c r="I1624" t="s">
        <v>1169</v>
      </c>
      <c r="K1624" t="s">
        <v>546</v>
      </c>
      <c r="L1624" s="4">
        <v>770</v>
      </c>
      <c r="M1624" t="s">
        <v>1170</v>
      </c>
      <c r="N1624" t="s">
        <v>46</v>
      </c>
      <c r="O1624" s="4">
        <v>100</v>
      </c>
      <c r="P1624">
        <v>0</v>
      </c>
      <c r="Q1624" s="4">
        <v>100</v>
      </c>
      <c r="R1624" s="12">
        <f t="shared" si="25"/>
        <v>77000</v>
      </c>
      <c r="T1624" t="s">
        <v>27</v>
      </c>
      <c r="U1624" t="s">
        <v>1171</v>
      </c>
      <c r="V1624" s="4">
        <v>770</v>
      </c>
      <c r="W1624">
        <v>0</v>
      </c>
    </row>
    <row r="1625" spans="1:23" hidden="1" x14ac:dyDescent="0.25">
      <c r="A1625" s="2">
        <v>46020.36645833333</v>
      </c>
      <c r="B1625">
        <v>4384</v>
      </c>
      <c r="C1625" t="s">
        <v>1168</v>
      </c>
      <c r="D1625" s="3">
        <v>46018</v>
      </c>
      <c r="E1625" s="3">
        <v>46264</v>
      </c>
      <c r="F1625" t="s">
        <v>98</v>
      </c>
      <c r="H1625" t="s">
        <v>22</v>
      </c>
      <c r="I1625" t="s">
        <v>760</v>
      </c>
      <c r="K1625" t="s">
        <v>546</v>
      </c>
      <c r="L1625" s="4">
        <v>780</v>
      </c>
      <c r="M1625" t="s">
        <v>1170</v>
      </c>
      <c r="N1625" t="s">
        <v>46</v>
      </c>
      <c r="O1625" s="4">
        <v>10</v>
      </c>
      <c r="P1625">
        <v>0</v>
      </c>
      <c r="Q1625" s="4">
        <v>10</v>
      </c>
      <c r="R1625" s="12">
        <f t="shared" si="25"/>
        <v>7800</v>
      </c>
      <c r="T1625" t="s">
        <v>27</v>
      </c>
      <c r="U1625" t="s">
        <v>1171</v>
      </c>
      <c r="V1625" s="4">
        <v>780</v>
      </c>
      <c r="W1625">
        <v>0</v>
      </c>
    </row>
    <row r="1626" spans="1:23" hidden="1" x14ac:dyDescent="0.25">
      <c r="A1626" s="2">
        <v>46020.36645833333</v>
      </c>
      <c r="B1626">
        <v>4384</v>
      </c>
      <c r="C1626" t="s">
        <v>1168</v>
      </c>
      <c r="D1626" s="3">
        <v>46018</v>
      </c>
      <c r="E1626" s="3">
        <v>46264</v>
      </c>
      <c r="F1626" t="s">
        <v>98</v>
      </c>
      <c r="H1626" t="s">
        <v>22</v>
      </c>
      <c r="I1626" t="s">
        <v>994</v>
      </c>
      <c r="K1626" t="s">
        <v>546</v>
      </c>
      <c r="L1626" s="4">
        <v>770</v>
      </c>
      <c r="M1626" t="s">
        <v>1170</v>
      </c>
      <c r="N1626" t="s">
        <v>46</v>
      </c>
      <c r="O1626" s="4">
        <v>7</v>
      </c>
      <c r="P1626">
        <v>0</v>
      </c>
      <c r="Q1626" s="4">
        <v>7</v>
      </c>
      <c r="R1626" s="12">
        <f t="shared" si="25"/>
        <v>5390</v>
      </c>
      <c r="T1626" t="s">
        <v>27</v>
      </c>
      <c r="U1626" t="s">
        <v>1171</v>
      </c>
      <c r="V1626" s="4">
        <v>770</v>
      </c>
      <c r="W1626">
        <v>0</v>
      </c>
    </row>
    <row r="1627" spans="1:23" hidden="1" x14ac:dyDescent="0.25">
      <c r="A1627" s="2">
        <v>46080.623923611114</v>
      </c>
      <c r="B1627">
        <v>4615</v>
      </c>
      <c r="C1627" t="s">
        <v>1172</v>
      </c>
      <c r="D1627" s="3">
        <v>46080</v>
      </c>
      <c r="E1627" s="3">
        <v>46081</v>
      </c>
      <c r="F1627" t="s">
        <v>79</v>
      </c>
      <c r="G1627" t="s">
        <v>1493</v>
      </c>
      <c r="H1627" t="s">
        <v>484</v>
      </c>
      <c r="I1627" t="s">
        <v>44</v>
      </c>
      <c r="J1627" t="s">
        <v>1491</v>
      </c>
      <c r="K1627" t="s">
        <v>31</v>
      </c>
      <c r="L1627" s="4">
        <v>346</v>
      </c>
      <c r="M1627" t="s">
        <v>1173</v>
      </c>
      <c r="N1627" t="s">
        <v>46</v>
      </c>
      <c r="O1627" s="4">
        <v>85</v>
      </c>
      <c r="P1627">
        <v>0</v>
      </c>
      <c r="Q1627" s="4">
        <v>85</v>
      </c>
      <c r="R1627" s="12">
        <f t="shared" si="25"/>
        <v>29410</v>
      </c>
      <c r="T1627" t="s">
        <v>1174</v>
      </c>
      <c r="U1627" t="s">
        <v>1175</v>
      </c>
      <c r="V1627" s="4">
        <v>346</v>
      </c>
      <c r="W1627">
        <v>0</v>
      </c>
    </row>
    <row r="1628" spans="1:23" hidden="1" x14ac:dyDescent="0.25">
      <c r="A1628" s="2">
        <v>46080.623923611114</v>
      </c>
      <c r="B1628">
        <v>4615</v>
      </c>
      <c r="C1628" t="s">
        <v>1172</v>
      </c>
      <c r="D1628" s="3">
        <v>46080</v>
      </c>
      <c r="E1628" s="3">
        <v>46081</v>
      </c>
      <c r="F1628" t="s">
        <v>79</v>
      </c>
      <c r="G1628" t="s">
        <v>1493</v>
      </c>
      <c r="H1628" t="s">
        <v>484</v>
      </c>
      <c r="I1628" t="s">
        <v>1176</v>
      </c>
      <c r="J1628" t="s">
        <v>1491</v>
      </c>
      <c r="K1628" t="s">
        <v>24</v>
      </c>
      <c r="L1628" s="4">
        <v>243.4</v>
      </c>
      <c r="M1628" t="s">
        <v>1173</v>
      </c>
      <c r="N1628" t="s">
        <v>46</v>
      </c>
      <c r="O1628" s="4">
        <v>80</v>
      </c>
      <c r="P1628">
        <v>0</v>
      </c>
      <c r="Q1628" s="4">
        <v>80</v>
      </c>
      <c r="R1628" s="12">
        <f t="shared" si="25"/>
        <v>19472</v>
      </c>
      <c r="T1628" t="s">
        <v>1174</v>
      </c>
      <c r="U1628" t="s">
        <v>1175</v>
      </c>
      <c r="V1628" s="4">
        <v>243.4</v>
      </c>
      <c r="W1628">
        <v>0</v>
      </c>
    </row>
    <row r="1629" spans="1:23" hidden="1" x14ac:dyDescent="0.25">
      <c r="A1629" s="2">
        <v>46080.623923611114</v>
      </c>
      <c r="B1629">
        <v>4615</v>
      </c>
      <c r="C1629" t="s">
        <v>1172</v>
      </c>
      <c r="D1629" s="3">
        <v>46080</v>
      </c>
      <c r="E1629" s="3">
        <v>46081</v>
      </c>
      <c r="F1629" t="s">
        <v>79</v>
      </c>
      <c r="G1629" t="s">
        <v>1493</v>
      </c>
      <c r="H1629" t="s">
        <v>484</v>
      </c>
      <c r="I1629" t="s">
        <v>43</v>
      </c>
      <c r="J1629" t="s">
        <v>1491</v>
      </c>
      <c r="K1629" t="s">
        <v>24</v>
      </c>
      <c r="L1629" s="4">
        <v>43.62</v>
      </c>
      <c r="M1629" t="s">
        <v>1173</v>
      </c>
      <c r="N1629" t="s">
        <v>46</v>
      </c>
      <c r="O1629" s="4">
        <v>1896</v>
      </c>
      <c r="P1629">
        <v>0</v>
      </c>
      <c r="Q1629" s="4">
        <v>1896</v>
      </c>
      <c r="R1629" s="12">
        <f t="shared" si="25"/>
        <v>82703.51999999999</v>
      </c>
      <c r="T1629" t="s">
        <v>1174</v>
      </c>
      <c r="U1629" t="s">
        <v>1175</v>
      </c>
      <c r="V1629" s="4">
        <v>43.62</v>
      </c>
      <c r="W1629">
        <v>0</v>
      </c>
    </row>
    <row r="1630" spans="1:23" hidden="1" x14ac:dyDescent="0.25">
      <c r="A1630" s="2">
        <v>46080.623923611114</v>
      </c>
      <c r="B1630">
        <v>4615</v>
      </c>
      <c r="C1630" t="s">
        <v>1172</v>
      </c>
      <c r="D1630" s="3">
        <v>46080</v>
      </c>
      <c r="E1630" s="3">
        <v>46081</v>
      </c>
      <c r="F1630" t="s">
        <v>79</v>
      </c>
      <c r="G1630" t="s">
        <v>1493</v>
      </c>
      <c r="H1630" t="s">
        <v>484</v>
      </c>
      <c r="I1630" t="s">
        <v>38</v>
      </c>
      <c r="J1630" t="s">
        <v>1491</v>
      </c>
      <c r="K1630" t="s">
        <v>24</v>
      </c>
      <c r="L1630" s="4">
        <v>48.7</v>
      </c>
      <c r="M1630" t="s">
        <v>1173</v>
      </c>
      <c r="N1630" t="s">
        <v>46</v>
      </c>
      <c r="O1630" s="4">
        <v>288</v>
      </c>
      <c r="P1630">
        <v>0</v>
      </c>
      <c r="Q1630" s="4">
        <v>288</v>
      </c>
      <c r="R1630" s="12">
        <f t="shared" si="25"/>
        <v>14025.6</v>
      </c>
      <c r="T1630" t="s">
        <v>1174</v>
      </c>
      <c r="U1630" t="s">
        <v>1175</v>
      </c>
      <c r="V1630" s="4">
        <v>48.7</v>
      </c>
      <c r="W1630">
        <v>0</v>
      </c>
    </row>
    <row r="1631" spans="1:23" hidden="1" x14ac:dyDescent="0.25">
      <c r="A1631" s="2">
        <v>46080.623923611114</v>
      </c>
      <c r="B1631">
        <v>4615</v>
      </c>
      <c r="C1631" t="s">
        <v>1172</v>
      </c>
      <c r="D1631" s="3">
        <v>46080</v>
      </c>
      <c r="E1631" s="3">
        <v>46081</v>
      </c>
      <c r="F1631" t="s">
        <v>79</v>
      </c>
      <c r="H1631" t="s">
        <v>484</v>
      </c>
      <c r="I1631" t="s">
        <v>279</v>
      </c>
      <c r="K1631" t="s">
        <v>31</v>
      </c>
      <c r="L1631" s="4">
        <v>127.23</v>
      </c>
      <c r="M1631" t="s">
        <v>1173</v>
      </c>
      <c r="N1631" t="s">
        <v>46</v>
      </c>
      <c r="O1631" s="4">
        <v>550</v>
      </c>
      <c r="P1631">
        <v>0</v>
      </c>
      <c r="Q1631" s="4">
        <v>550</v>
      </c>
      <c r="R1631" s="12">
        <f t="shared" si="25"/>
        <v>69976.5</v>
      </c>
      <c r="T1631" t="s">
        <v>1174</v>
      </c>
      <c r="U1631" t="s">
        <v>1175</v>
      </c>
      <c r="V1631" s="4">
        <v>127.23</v>
      </c>
      <c r="W1631">
        <v>0</v>
      </c>
    </row>
    <row r="1632" spans="1:23" hidden="1" x14ac:dyDescent="0.25">
      <c r="A1632" s="2">
        <v>46080.623923611114</v>
      </c>
      <c r="B1632">
        <v>4615</v>
      </c>
      <c r="C1632" t="s">
        <v>1172</v>
      </c>
      <c r="D1632" s="3">
        <v>46080</v>
      </c>
      <c r="E1632" s="3">
        <v>46081</v>
      </c>
      <c r="F1632" t="s">
        <v>79</v>
      </c>
      <c r="G1632" t="s">
        <v>1493</v>
      </c>
      <c r="H1632" t="s">
        <v>484</v>
      </c>
      <c r="I1632" t="s">
        <v>201</v>
      </c>
      <c r="J1632" t="s">
        <v>1491</v>
      </c>
      <c r="K1632" t="s">
        <v>24</v>
      </c>
      <c r="L1632" s="4">
        <v>46.4</v>
      </c>
      <c r="M1632" t="s">
        <v>1173</v>
      </c>
      <c r="N1632" t="s">
        <v>46</v>
      </c>
      <c r="O1632" s="4">
        <v>140</v>
      </c>
      <c r="P1632">
        <v>0</v>
      </c>
      <c r="Q1632" s="4">
        <v>140</v>
      </c>
      <c r="R1632" s="12">
        <f t="shared" si="25"/>
        <v>6496</v>
      </c>
      <c r="T1632" t="s">
        <v>1174</v>
      </c>
      <c r="U1632" t="s">
        <v>1175</v>
      </c>
      <c r="V1632" s="4">
        <v>46.4</v>
      </c>
      <c r="W1632">
        <v>0</v>
      </c>
    </row>
    <row r="1633" spans="1:23" hidden="1" x14ac:dyDescent="0.25">
      <c r="A1633" s="2">
        <v>46080.623923611114</v>
      </c>
      <c r="B1633">
        <v>4615</v>
      </c>
      <c r="C1633" t="s">
        <v>1172</v>
      </c>
      <c r="D1633" s="3">
        <v>46080</v>
      </c>
      <c r="E1633" s="3">
        <v>46081</v>
      </c>
      <c r="F1633" t="s">
        <v>79</v>
      </c>
      <c r="H1633" t="s">
        <v>484</v>
      </c>
      <c r="I1633" t="s">
        <v>190</v>
      </c>
      <c r="J1633" t="s">
        <v>1490</v>
      </c>
      <c r="K1633" t="s">
        <v>31</v>
      </c>
      <c r="L1633" s="4">
        <v>87.85</v>
      </c>
      <c r="M1633" t="s">
        <v>1173</v>
      </c>
      <c r="N1633" t="s">
        <v>46</v>
      </c>
      <c r="O1633" s="4">
        <v>500</v>
      </c>
      <c r="P1633">
        <v>0</v>
      </c>
      <c r="Q1633" s="4">
        <v>500</v>
      </c>
      <c r="R1633" s="12">
        <f t="shared" si="25"/>
        <v>43925</v>
      </c>
      <c r="T1633" t="s">
        <v>1174</v>
      </c>
      <c r="U1633" t="s">
        <v>1175</v>
      </c>
      <c r="V1633" s="4">
        <v>87.85</v>
      </c>
      <c r="W1633">
        <v>0</v>
      </c>
    </row>
    <row r="1634" spans="1:23" hidden="1" x14ac:dyDescent="0.25">
      <c r="A1634" s="2">
        <v>46080.623923611114</v>
      </c>
      <c r="B1634">
        <v>4615</v>
      </c>
      <c r="C1634" t="s">
        <v>1172</v>
      </c>
      <c r="D1634" s="3">
        <v>46080</v>
      </c>
      <c r="E1634" s="3">
        <v>46081</v>
      </c>
      <c r="F1634" t="s">
        <v>79</v>
      </c>
      <c r="H1634" t="s">
        <v>484</v>
      </c>
      <c r="I1634" t="s">
        <v>335</v>
      </c>
      <c r="K1634" t="s">
        <v>24</v>
      </c>
      <c r="L1634" s="4">
        <v>11</v>
      </c>
      <c r="M1634" t="s">
        <v>1173</v>
      </c>
      <c r="N1634" t="s">
        <v>46</v>
      </c>
      <c r="O1634" s="4">
        <v>500</v>
      </c>
      <c r="P1634">
        <v>0</v>
      </c>
      <c r="Q1634" s="4">
        <v>500</v>
      </c>
      <c r="R1634" s="12">
        <f t="shared" si="25"/>
        <v>5500</v>
      </c>
      <c r="T1634" t="s">
        <v>1174</v>
      </c>
      <c r="U1634" t="s">
        <v>1175</v>
      </c>
      <c r="V1634" s="4">
        <v>11</v>
      </c>
      <c r="W1634">
        <v>0</v>
      </c>
    </row>
    <row r="1635" spans="1:23" hidden="1" x14ac:dyDescent="0.25">
      <c r="A1635" s="2">
        <v>46080.623923611114</v>
      </c>
      <c r="B1635">
        <v>4615</v>
      </c>
      <c r="C1635" t="s">
        <v>1172</v>
      </c>
      <c r="D1635" s="3">
        <v>46080</v>
      </c>
      <c r="E1635" s="3">
        <v>46081</v>
      </c>
      <c r="F1635" t="s">
        <v>79</v>
      </c>
      <c r="G1635" t="s">
        <v>1493</v>
      </c>
      <c r="H1635" t="s">
        <v>484</v>
      </c>
      <c r="I1635" t="s">
        <v>1177</v>
      </c>
      <c r="J1635" t="s">
        <v>1491</v>
      </c>
      <c r="K1635" t="s">
        <v>24</v>
      </c>
      <c r="L1635" s="4">
        <v>243.4</v>
      </c>
      <c r="M1635" t="s">
        <v>1173</v>
      </c>
      <c r="N1635" t="s">
        <v>46</v>
      </c>
      <c r="O1635" s="4">
        <v>80</v>
      </c>
      <c r="P1635">
        <v>0</v>
      </c>
      <c r="Q1635" s="4">
        <v>80</v>
      </c>
      <c r="R1635" s="12">
        <f t="shared" si="25"/>
        <v>19472</v>
      </c>
      <c r="T1635" t="s">
        <v>1174</v>
      </c>
      <c r="U1635" t="s">
        <v>1175</v>
      </c>
      <c r="V1635" s="4">
        <v>243.4</v>
      </c>
      <c r="W1635">
        <v>0</v>
      </c>
    </row>
    <row r="1636" spans="1:23" hidden="1" x14ac:dyDescent="0.25">
      <c r="A1636" s="2">
        <v>45954.643414351849</v>
      </c>
      <c r="B1636">
        <v>4207</v>
      </c>
      <c r="C1636" t="s">
        <v>1178</v>
      </c>
      <c r="D1636" s="3">
        <v>45954</v>
      </c>
      <c r="E1636" s="3">
        <v>45985</v>
      </c>
      <c r="F1636" t="s">
        <v>79</v>
      </c>
      <c r="H1636" t="s">
        <v>22</v>
      </c>
      <c r="I1636" t="s">
        <v>80</v>
      </c>
      <c r="K1636" t="s">
        <v>31</v>
      </c>
      <c r="L1636" s="4">
        <v>45</v>
      </c>
      <c r="M1636" t="s">
        <v>1179</v>
      </c>
      <c r="N1636" t="s">
        <v>26</v>
      </c>
      <c r="O1636" s="4">
        <v>150</v>
      </c>
      <c r="P1636">
        <v>0</v>
      </c>
      <c r="Q1636" s="4">
        <v>150</v>
      </c>
      <c r="R1636" s="12">
        <f t="shared" si="25"/>
        <v>6750</v>
      </c>
      <c r="T1636" t="s">
        <v>1180</v>
      </c>
      <c r="U1636" t="s">
        <v>1181</v>
      </c>
      <c r="V1636" s="4">
        <v>45</v>
      </c>
      <c r="W1636">
        <v>0</v>
      </c>
    </row>
    <row r="1637" spans="1:23" hidden="1" x14ac:dyDescent="0.25">
      <c r="A1637" s="2">
        <v>45761.37809027778</v>
      </c>
      <c r="B1637">
        <v>180</v>
      </c>
      <c r="C1637" t="s">
        <v>1182</v>
      </c>
      <c r="D1637" s="3">
        <v>45761</v>
      </c>
      <c r="E1637" s="3">
        <v>46111</v>
      </c>
      <c r="F1637" t="s">
        <v>66</v>
      </c>
      <c r="H1637" t="s">
        <v>484</v>
      </c>
      <c r="I1637" t="s">
        <v>328</v>
      </c>
      <c r="K1637" t="s">
        <v>24</v>
      </c>
      <c r="L1637" s="4">
        <v>79</v>
      </c>
      <c r="M1637" t="s">
        <v>1183</v>
      </c>
      <c r="N1637" t="s">
        <v>26</v>
      </c>
      <c r="O1637" s="4">
        <v>20</v>
      </c>
      <c r="P1637">
        <v>0</v>
      </c>
      <c r="Q1637" s="4">
        <v>20</v>
      </c>
      <c r="R1637" s="12">
        <f t="shared" si="25"/>
        <v>1580</v>
      </c>
      <c r="T1637" t="s">
        <v>486</v>
      </c>
      <c r="U1637" t="s">
        <v>1184</v>
      </c>
      <c r="V1637" s="4">
        <v>79</v>
      </c>
      <c r="W1637">
        <v>0</v>
      </c>
    </row>
    <row r="1638" spans="1:23" hidden="1" x14ac:dyDescent="0.25">
      <c r="A1638" s="2">
        <v>45761.37809027778</v>
      </c>
      <c r="B1638">
        <v>180</v>
      </c>
      <c r="C1638" t="s">
        <v>1182</v>
      </c>
      <c r="D1638" s="3">
        <v>45761</v>
      </c>
      <c r="E1638" s="3">
        <v>46111</v>
      </c>
      <c r="F1638" t="s">
        <v>66</v>
      </c>
      <c r="G1638" t="s">
        <v>1494</v>
      </c>
      <c r="H1638" t="s">
        <v>484</v>
      </c>
      <c r="I1638" t="s">
        <v>63</v>
      </c>
      <c r="J1638" t="s">
        <v>1491</v>
      </c>
      <c r="K1638" t="s">
        <v>31</v>
      </c>
      <c r="L1638" s="4">
        <v>220</v>
      </c>
      <c r="M1638" t="s">
        <v>1183</v>
      </c>
      <c r="N1638" t="s">
        <v>26</v>
      </c>
      <c r="O1638" s="4">
        <v>30</v>
      </c>
      <c r="P1638">
        <v>0</v>
      </c>
      <c r="Q1638" s="4">
        <v>30</v>
      </c>
      <c r="R1638" s="12">
        <f t="shared" si="25"/>
        <v>6600</v>
      </c>
      <c r="T1638" t="s">
        <v>486</v>
      </c>
      <c r="U1638" t="s">
        <v>1184</v>
      </c>
      <c r="V1638" s="4">
        <v>220</v>
      </c>
      <c r="W1638">
        <v>0</v>
      </c>
    </row>
    <row r="1639" spans="1:23" hidden="1" x14ac:dyDescent="0.25">
      <c r="A1639" s="2">
        <v>46009.91611111111</v>
      </c>
      <c r="B1639">
        <v>4368</v>
      </c>
      <c r="C1639" t="s">
        <v>1185</v>
      </c>
      <c r="D1639" s="3">
        <v>46009</v>
      </c>
      <c r="E1639" s="3">
        <v>46142</v>
      </c>
      <c r="F1639" t="s">
        <v>418</v>
      </c>
      <c r="H1639" t="s">
        <v>22</v>
      </c>
      <c r="I1639" t="s">
        <v>600</v>
      </c>
      <c r="K1639" t="s">
        <v>24</v>
      </c>
      <c r="L1639" s="4">
        <v>87</v>
      </c>
      <c r="M1639" t="s">
        <v>1186</v>
      </c>
      <c r="N1639" t="s">
        <v>26</v>
      </c>
      <c r="O1639" s="4">
        <v>300</v>
      </c>
      <c r="P1639">
        <v>0</v>
      </c>
      <c r="Q1639" s="4">
        <v>300</v>
      </c>
      <c r="R1639" s="12">
        <f t="shared" si="25"/>
        <v>26100</v>
      </c>
      <c r="T1639" t="s">
        <v>55</v>
      </c>
      <c r="U1639" t="s">
        <v>1187</v>
      </c>
      <c r="V1639" s="4">
        <v>87</v>
      </c>
      <c r="W1639">
        <v>0</v>
      </c>
    </row>
    <row r="1640" spans="1:23" hidden="1" x14ac:dyDescent="0.25">
      <c r="A1640" s="2">
        <v>45862.630277777775</v>
      </c>
      <c r="B1640">
        <v>255</v>
      </c>
      <c r="C1640" t="s">
        <v>1185</v>
      </c>
      <c r="D1640" s="3">
        <v>45862</v>
      </c>
      <c r="E1640" s="3">
        <v>46111</v>
      </c>
      <c r="F1640" t="s">
        <v>418</v>
      </c>
      <c r="G1640" t="s">
        <v>1494</v>
      </c>
      <c r="H1640" t="s">
        <v>22</v>
      </c>
      <c r="I1640" t="s">
        <v>201</v>
      </c>
      <c r="J1640" t="s">
        <v>1491</v>
      </c>
      <c r="K1640" t="s">
        <v>24</v>
      </c>
      <c r="L1640" s="4">
        <v>60</v>
      </c>
      <c r="M1640" t="s">
        <v>1188</v>
      </c>
      <c r="N1640" t="s">
        <v>26</v>
      </c>
      <c r="O1640" s="4">
        <v>2020</v>
      </c>
      <c r="P1640">
        <v>0</v>
      </c>
      <c r="Q1640" s="4">
        <v>2020</v>
      </c>
      <c r="R1640" s="12">
        <f t="shared" si="25"/>
        <v>121200</v>
      </c>
      <c r="T1640" t="s">
        <v>55</v>
      </c>
      <c r="U1640" t="s">
        <v>1187</v>
      </c>
      <c r="V1640" s="4">
        <v>60</v>
      </c>
      <c r="W1640">
        <v>0</v>
      </c>
    </row>
    <row r="1641" spans="1:23" hidden="1" x14ac:dyDescent="0.25">
      <c r="A1641" s="2">
        <v>45862.636990740742</v>
      </c>
      <c r="B1641">
        <v>257</v>
      </c>
      <c r="C1641" t="s">
        <v>1185</v>
      </c>
      <c r="D1641" s="3">
        <v>45862</v>
      </c>
      <c r="E1641" s="3">
        <v>46111</v>
      </c>
      <c r="F1641" t="s">
        <v>418</v>
      </c>
      <c r="H1641" t="s">
        <v>22</v>
      </c>
      <c r="I1641" t="s">
        <v>72</v>
      </c>
      <c r="J1641" t="s">
        <v>1490</v>
      </c>
      <c r="K1641" t="s">
        <v>24</v>
      </c>
      <c r="L1641" s="4">
        <v>700</v>
      </c>
      <c r="M1641" t="s">
        <v>1189</v>
      </c>
      <c r="N1641" t="s">
        <v>26</v>
      </c>
      <c r="O1641" s="4">
        <v>200</v>
      </c>
      <c r="P1641">
        <v>0</v>
      </c>
      <c r="Q1641" s="4">
        <v>200</v>
      </c>
      <c r="R1641" s="12">
        <f t="shared" si="25"/>
        <v>140000</v>
      </c>
      <c r="T1641" t="s">
        <v>55</v>
      </c>
      <c r="U1641" t="s">
        <v>1187</v>
      </c>
      <c r="V1641" s="4">
        <v>700</v>
      </c>
      <c r="W1641">
        <v>0</v>
      </c>
    </row>
    <row r="1642" spans="1:23" hidden="1" x14ac:dyDescent="0.25">
      <c r="A1642" s="2">
        <v>45862.638993055552</v>
      </c>
      <c r="B1642">
        <v>258</v>
      </c>
      <c r="C1642" t="s">
        <v>1185</v>
      </c>
      <c r="D1642" s="3">
        <v>45862</v>
      </c>
      <c r="E1642" s="3">
        <v>46233</v>
      </c>
      <c r="F1642" t="s">
        <v>418</v>
      </c>
      <c r="H1642" t="s">
        <v>22</v>
      </c>
      <c r="I1642" t="s">
        <v>72</v>
      </c>
      <c r="J1642" t="s">
        <v>1490</v>
      </c>
      <c r="K1642" t="s">
        <v>24</v>
      </c>
      <c r="L1642" s="4">
        <v>700</v>
      </c>
      <c r="M1642" t="s">
        <v>1190</v>
      </c>
      <c r="N1642" t="s">
        <v>46</v>
      </c>
      <c r="O1642" s="4">
        <v>130</v>
      </c>
      <c r="P1642">
        <v>0</v>
      </c>
      <c r="Q1642" s="4">
        <v>130</v>
      </c>
      <c r="R1642" s="12">
        <f t="shared" si="25"/>
        <v>91000</v>
      </c>
      <c r="T1642" t="s">
        <v>55</v>
      </c>
      <c r="U1642" t="s">
        <v>1187</v>
      </c>
      <c r="V1642" s="4">
        <v>700</v>
      </c>
      <c r="W1642">
        <v>0</v>
      </c>
    </row>
    <row r="1643" spans="1:23" hidden="1" x14ac:dyDescent="0.25">
      <c r="A1643" s="2">
        <v>45866.549814814818</v>
      </c>
      <c r="B1643">
        <v>259</v>
      </c>
      <c r="C1643" t="s">
        <v>1185</v>
      </c>
      <c r="D1643" s="3">
        <v>45866</v>
      </c>
      <c r="E1643" s="3">
        <v>46264</v>
      </c>
      <c r="F1643" t="s">
        <v>418</v>
      </c>
      <c r="G1643" t="s">
        <v>1494</v>
      </c>
      <c r="H1643" t="s">
        <v>22</v>
      </c>
      <c r="I1643" t="s">
        <v>201</v>
      </c>
      <c r="J1643" t="s">
        <v>1491</v>
      </c>
      <c r="K1643" t="s">
        <v>24</v>
      </c>
      <c r="L1643" s="4">
        <v>60</v>
      </c>
      <c r="M1643" t="s">
        <v>1191</v>
      </c>
      <c r="N1643" t="s">
        <v>46</v>
      </c>
      <c r="O1643" s="4">
        <v>1500</v>
      </c>
      <c r="P1643">
        <v>0</v>
      </c>
      <c r="Q1643" s="4">
        <v>1500</v>
      </c>
      <c r="R1643" s="12">
        <f t="shared" si="25"/>
        <v>90000</v>
      </c>
      <c r="T1643" t="s">
        <v>55</v>
      </c>
      <c r="U1643" t="s">
        <v>1187</v>
      </c>
      <c r="V1643" s="4">
        <v>60</v>
      </c>
      <c r="W1643">
        <v>0</v>
      </c>
    </row>
    <row r="1644" spans="1:23" hidden="1" x14ac:dyDescent="0.25">
      <c r="A1644" s="2">
        <v>45888.592511574076</v>
      </c>
      <c r="B1644">
        <v>269</v>
      </c>
      <c r="C1644" t="s">
        <v>1185</v>
      </c>
      <c r="D1644" s="3">
        <v>45888</v>
      </c>
      <c r="E1644" s="3">
        <v>46111</v>
      </c>
      <c r="F1644" t="s">
        <v>324</v>
      </c>
      <c r="H1644" t="s">
        <v>22</v>
      </c>
      <c r="I1644" t="s">
        <v>314</v>
      </c>
      <c r="K1644" t="s">
        <v>31</v>
      </c>
      <c r="L1644" s="4">
        <v>20.65</v>
      </c>
      <c r="M1644" t="s">
        <v>1192</v>
      </c>
      <c r="N1644" t="s">
        <v>26</v>
      </c>
      <c r="O1644" s="4">
        <v>7000</v>
      </c>
      <c r="P1644">
        <v>0</v>
      </c>
      <c r="Q1644" s="4">
        <v>7000</v>
      </c>
      <c r="R1644" s="12">
        <f t="shared" si="25"/>
        <v>144550</v>
      </c>
      <c r="T1644" t="s">
        <v>337</v>
      </c>
      <c r="U1644" t="s">
        <v>1187</v>
      </c>
      <c r="V1644" s="4">
        <v>20.65</v>
      </c>
      <c r="W1644">
        <v>0</v>
      </c>
    </row>
    <row r="1645" spans="1:23" hidden="1" x14ac:dyDescent="0.25">
      <c r="A1645" s="2">
        <v>45888.59412037037</v>
      </c>
      <c r="B1645">
        <v>270</v>
      </c>
      <c r="C1645" t="s">
        <v>1185</v>
      </c>
      <c r="D1645" s="3">
        <v>45888</v>
      </c>
      <c r="E1645" s="3">
        <v>46111</v>
      </c>
      <c r="F1645" t="s">
        <v>324</v>
      </c>
      <c r="H1645" t="s">
        <v>22</v>
      </c>
      <c r="I1645" t="s">
        <v>314</v>
      </c>
      <c r="K1645" t="s">
        <v>31</v>
      </c>
      <c r="L1645" s="4">
        <v>20.65</v>
      </c>
      <c r="M1645" t="s">
        <v>1192</v>
      </c>
      <c r="N1645" t="s">
        <v>26</v>
      </c>
      <c r="O1645" s="4">
        <v>3000</v>
      </c>
      <c r="P1645">
        <v>0</v>
      </c>
      <c r="Q1645" s="4">
        <v>3000</v>
      </c>
      <c r="R1645" s="12">
        <f t="shared" si="25"/>
        <v>61949.999999999993</v>
      </c>
      <c r="T1645" t="s">
        <v>55</v>
      </c>
      <c r="U1645" t="s">
        <v>1187</v>
      </c>
      <c r="V1645" s="4">
        <v>20.65</v>
      </c>
      <c r="W1645">
        <v>0</v>
      </c>
    </row>
    <row r="1646" spans="1:23" hidden="1" x14ac:dyDescent="0.25">
      <c r="A1646" s="2">
        <v>45888.599004629628</v>
      </c>
      <c r="B1646">
        <v>272</v>
      </c>
      <c r="C1646" t="s">
        <v>1185</v>
      </c>
      <c r="D1646" s="3">
        <v>45888</v>
      </c>
      <c r="E1646" s="3">
        <v>46111</v>
      </c>
      <c r="F1646" t="s">
        <v>324</v>
      </c>
      <c r="H1646" t="s">
        <v>22</v>
      </c>
      <c r="I1646" t="s">
        <v>33</v>
      </c>
      <c r="J1646" t="s">
        <v>1490</v>
      </c>
      <c r="K1646" t="s">
        <v>31</v>
      </c>
      <c r="L1646" s="4">
        <v>20.65</v>
      </c>
      <c r="M1646" t="s">
        <v>1193</v>
      </c>
      <c r="N1646" t="s">
        <v>26</v>
      </c>
      <c r="O1646" s="4">
        <v>2600</v>
      </c>
      <c r="P1646">
        <v>0</v>
      </c>
      <c r="Q1646" s="4">
        <v>2600</v>
      </c>
      <c r="R1646" s="12">
        <f t="shared" si="25"/>
        <v>53689.999999999993</v>
      </c>
      <c r="T1646" t="s">
        <v>55</v>
      </c>
      <c r="U1646" t="s">
        <v>1187</v>
      </c>
      <c r="V1646" s="4">
        <v>20.65</v>
      </c>
      <c r="W1646">
        <v>0</v>
      </c>
    </row>
    <row r="1647" spans="1:23" hidden="1" x14ac:dyDescent="0.25">
      <c r="A1647" s="2">
        <v>45943.387777777774</v>
      </c>
      <c r="B1647">
        <v>342</v>
      </c>
      <c r="C1647" t="s">
        <v>1185</v>
      </c>
      <c r="D1647" s="3">
        <v>45943</v>
      </c>
      <c r="E1647" s="3">
        <v>46142</v>
      </c>
      <c r="F1647" t="s">
        <v>418</v>
      </c>
      <c r="H1647" t="s">
        <v>22</v>
      </c>
      <c r="I1647" t="s">
        <v>57</v>
      </c>
      <c r="K1647" t="s">
        <v>31</v>
      </c>
      <c r="L1647" s="4">
        <v>80</v>
      </c>
      <c r="M1647" t="s">
        <v>1194</v>
      </c>
      <c r="N1647" t="s">
        <v>26</v>
      </c>
      <c r="O1647" s="4">
        <v>8</v>
      </c>
      <c r="P1647">
        <v>0</v>
      </c>
      <c r="Q1647" s="4">
        <v>8</v>
      </c>
      <c r="R1647" s="12">
        <f t="shared" si="25"/>
        <v>640</v>
      </c>
      <c r="T1647" t="s">
        <v>55</v>
      </c>
      <c r="U1647" t="s">
        <v>1187</v>
      </c>
      <c r="V1647" s="4">
        <v>80</v>
      </c>
      <c r="W1647">
        <v>0</v>
      </c>
    </row>
    <row r="1648" spans="1:23" hidden="1" x14ac:dyDescent="0.25">
      <c r="A1648" s="2">
        <v>45943.387777777774</v>
      </c>
      <c r="B1648">
        <v>342</v>
      </c>
      <c r="C1648" t="s">
        <v>1185</v>
      </c>
      <c r="D1648" s="3">
        <v>45943</v>
      </c>
      <c r="E1648" s="3">
        <v>46142</v>
      </c>
      <c r="F1648" t="s">
        <v>418</v>
      </c>
      <c r="H1648" t="s">
        <v>22</v>
      </c>
      <c r="I1648" t="s">
        <v>53</v>
      </c>
      <c r="K1648" t="s">
        <v>24</v>
      </c>
      <c r="L1648" s="4">
        <v>165</v>
      </c>
      <c r="M1648" t="s">
        <v>1194</v>
      </c>
      <c r="N1648" t="s">
        <v>26</v>
      </c>
      <c r="O1648" s="4">
        <v>20</v>
      </c>
      <c r="P1648">
        <v>0</v>
      </c>
      <c r="Q1648" s="4">
        <v>20</v>
      </c>
      <c r="R1648" s="12">
        <f t="shared" si="25"/>
        <v>3300</v>
      </c>
      <c r="T1648" t="s">
        <v>55</v>
      </c>
      <c r="U1648" t="s">
        <v>1187</v>
      </c>
      <c r="V1648" s="4">
        <v>165</v>
      </c>
      <c r="W1648">
        <v>0</v>
      </c>
    </row>
    <row r="1649" spans="1:23" hidden="1" x14ac:dyDescent="0.25">
      <c r="A1649" s="2">
        <v>45943.387777777774</v>
      </c>
      <c r="B1649">
        <v>342</v>
      </c>
      <c r="C1649" t="s">
        <v>1185</v>
      </c>
      <c r="D1649" s="3">
        <v>45943</v>
      </c>
      <c r="E1649" s="3">
        <v>46142</v>
      </c>
      <c r="F1649" t="s">
        <v>418</v>
      </c>
      <c r="H1649" t="s">
        <v>22</v>
      </c>
      <c r="I1649" t="s">
        <v>671</v>
      </c>
      <c r="J1649" t="s">
        <v>1490</v>
      </c>
      <c r="K1649" t="s">
        <v>24</v>
      </c>
      <c r="L1649" s="4">
        <v>80</v>
      </c>
      <c r="M1649" t="s">
        <v>1194</v>
      </c>
      <c r="N1649" t="s">
        <v>26</v>
      </c>
      <c r="O1649" s="4">
        <v>12</v>
      </c>
      <c r="P1649">
        <v>0</v>
      </c>
      <c r="Q1649" s="4">
        <v>12</v>
      </c>
      <c r="R1649" s="12">
        <f t="shared" si="25"/>
        <v>960</v>
      </c>
      <c r="T1649" t="s">
        <v>55</v>
      </c>
      <c r="U1649" t="s">
        <v>1187</v>
      </c>
      <c r="V1649" s="4">
        <v>80</v>
      </c>
      <c r="W1649">
        <v>0</v>
      </c>
    </row>
    <row r="1650" spans="1:23" hidden="1" x14ac:dyDescent="0.25">
      <c r="A1650" s="2">
        <v>45966.603634259256</v>
      </c>
      <c r="B1650">
        <v>398</v>
      </c>
      <c r="C1650" t="s">
        <v>1185</v>
      </c>
      <c r="D1650" s="3">
        <v>45966</v>
      </c>
      <c r="E1650" s="3">
        <v>46142</v>
      </c>
      <c r="F1650" t="s">
        <v>418</v>
      </c>
      <c r="H1650" t="s">
        <v>22</v>
      </c>
      <c r="I1650" t="s">
        <v>29</v>
      </c>
      <c r="J1650" t="s">
        <v>1490</v>
      </c>
      <c r="K1650" t="s">
        <v>24</v>
      </c>
      <c r="L1650" s="4">
        <v>160</v>
      </c>
      <c r="N1650" t="s">
        <v>26</v>
      </c>
      <c r="O1650" s="4">
        <v>40</v>
      </c>
      <c r="P1650">
        <v>0</v>
      </c>
      <c r="Q1650" s="4">
        <v>40</v>
      </c>
      <c r="R1650" s="12">
        <f t="shared" si="25"/>
        <v>6400</v>
      </c>
      <c r="T1650" t="s">
        <v>55</v>
      </c>
      <c r="U1650" t="s">
        <v>1187</v>
      </c>
      <c r="V1650" s="4">
        <v>160</v>
      </c>
      <c r="W1650">
        <v>0</v>
      </c>
    </row>
    <row r="1651" spans="1:23" hidden="1" x14ac:dyDescent="0.25">
      <c r="A1651" s="2">
        <v>45966.603634259256</v>
      </c>
      <c r="B1651">
        <v>398</v>
      </c>
      <c r="C1651" t="s">
        <v>1185</v>
      </c>
      <c r="D1651" s="3">
        <v>45966</v>
      </c>
      <c r="E1651" s="3">
        <v>46142</v>
      </c>
      <c r="F1651" t="s">
        <v>418</v>
      </c>
      <c r="H1651" t="s">
        <v>22</v>
      </c>
      <c r="I1651" t="s">
        <v>192</v>
      </c>
      <c r="J1651" t="s">
        <v>1490</v>
      </c>
      <c r="K1651" t="s">
        <v>24</v>
      </c>
      <c r="L1651" s="4">
        <v>16</v>
      </c>
      <c r="N1651" t="s">
        <v>26</v>
      </c>
      <c r="O1651" s="4">
        <v>200</v>
      </c>
      <c r="P1651">
        <v>0</v>
      </c>
      <c r="Q1651" s="4">
        <v>200</v>
      </c>
      <c r="R1651" s="12">
        <f t="shared" si="25"/>
        <v>3200</v>
      </c>
      <c r="T1651" t="s">
        <v>55</v>
      </c>
      <c r="U1651" t="s">
        <v>1187</v>
      </c>
      <c r="V1651" s="4">
        <v>16</v>
      </c>
      <c r="W1651">
        <v>0</v>
      </c>
    </row>
    <row r="1652" spans="1:23" hidden="1" x14ac:dyDescent="0.25">
      <c r="A1652" s="2">
        <v>45966.603634259256</v>
      </c>
      <c r="B1652">
        <v>398</v>
      </c>
      <c r="C1652" t="s">
        <v>1185</v>
      </c>
      <c r="D1652" s="3">
        <v>45966</v>
      </c>
      <c r="E1652" s="3">
        <v>46142</v>
      </c>
      <c r="F1652" t="s">
        <v>418</v>
      </c>
      <c r="H1652" t="s">
        <v>22</v>
      </c>
      <c r="I1652" t="s">
        <v>23</v>
      </c>
      <c r="J1652" t="s">
        <v>1490</v>
      </c>
      <c r="K1652" t="s">
        <v>24</v>
      </c>
      <c r="L1652" s="4">
        <v>18</v>
      </c>
      <c r="N1652" t="s">
        <v>26</v>
      </c>
      <c r="O1652" s="4">
        <v>120</v>
      </c>
      <c r="P1652">
        <v>0</v>
      </c>
      <c r="Q1652" s="4">
        <v>120</v>
      </c>
      <c r="R1652" s="12">
        <f t="shared" si="25"/>
        <v>2160</v>
      </c>
      <c r="T1652" t="s">
        <v>55</v>
      </c>
      <c r="U1652" t="s">
        <v>1187</v>
      </c>
      <c r="V1652" s="4">
        <v>18</v>
      </c>
      <c r="W1652">
        <v>0</v>
      </c>
    </row>
    <row r="1653" spans="1:23" hidden="1" x14ac:dyDescent="0.25">
      <c r="A1653" s="2">
        <v>45966.603634259256</v>
      </c>
      <c r="B1653">
        <v>398</v>
      </c>
      <c r="C1653" t="s">
        <v>1185</v>
      </c>
      <c r="D1653" s="3">
        <v>45966</v>
      </c>
      <c r="E1653" s="3">
        <v>46142</v>
      </c>
      <c r="F1653" t="s">
        <v>418</v>
      </c>
      <c r="H1653" t="s">
        <v>22</v>
      </c>
      <c r="I1653" t="s">
        <v>34</v>
      </c>
      <c r="J1653" t="s">
        <v>1490</v>
      </c>
      <c r="K1653" t="s">
        <v>31</v>
      </c>
      <c r="L1653" s="4">
        <v>27</v>
      </c>
      <c r="N1653" t="s">
        <v>26</v>
      </c>
      <c r="O1653" s="4">
        <v>200</v>
      </c>
      <c r="P1653">
        <v>0</v>
      </c>
      <c r="Q1653" s="4">
        <v>200</v>
      </c>
      <c r="R1653" s="12">
        <f t="shared" si="25"/>
        <v>5400</v>
      </c>
      <c r="T1653" t="s">
        <v>55</v>
      </c>
      <c r="U1653" t="s">
        <v>1187</v>
      </c>
      <c r="V1653" s="4">
        <v>27</v>
      </c>
      <c r="W1653">
        <v>0</v>
      </c>
    </row>
    <row r="1654" spans="1:23" hidden="1" x14ac:dyDescent="0.25">
      <c r="A1654" s="2">
        <v>45966.603634259256</v>
      </c>
      <c r="B1654">
        <v>398</v>
      </c>
      <c r="C1654" t="s">
        <v>1185</v>
      </c>
      <c r="D1654" s="3">
        <v>45966</v>
      </c>
      <c r="E1654" s="3">
        <v>46142</v>
      </c>
      <c r="F1654" t="s">
        <v>418</v>
      </c>
      <c r="H1654" t="s">
        <v>22</v>
      </c>
      <c r="I1654" t="s">
        <v>32</v>
      </c>
      <c r="J1654" t="s">
        <v>1490</v>
      </c>
      <c r="K1654" t="s">
        <v>24</v>
      </c>
      <c r="L1654" s="4">
        <v>23</v>
      </c>
      <c r="N1654" t="s">
        <v>26</v>
      </c>
      <c r="O1654" s="4">
        <v>120</v>
      </c>
      <c r="P1654">
        <v>0</v>
      </c>
      <c r="Q1654" s="4">
        <v>120</v>
      </c>
      <c r="R1654" s="12">
        <f t="shared" si="25"/>
        <v>2760</v>
      </c>
      <c r="T1654" t="s">
        <v>55</v>
      </c>
      <c r="U1654" t="s">
        <v>1187</v>
      </c>
      <c r="V1654" s="4">
        <v>23</v>
      </c>
      <c r="W1654">
        <v>0</v>
      </c>
    </row>
    <row r="1655" spans="1:23" hidden="1" x14ac:dyDescent="0.25">
      <c r="A1655" s="2">
        <v>45966.603634259256</v>
      </c>
      <c r="B1655">
        <v>398</v>
      </c>
      <c r="C1655" t="s">
        <v>1185</v>
      </c>
      <c r="D1655" s="3">
        <v>45966</v>
      </c>
      <c r="E1655" s="3">
        <v>46142</v>
      </c>
      <c r="F1655" t="s">
        <v>418</v>
      </c>
      <c r="H1655" t="s">
        <v>22</v>
      </c>
      <c r="I1655" t="s">
        <v>181</v>
      </c>
      <c r="J1655" t="s">
        <v>1490</v>
      </c>
      <c r="K1655" t="s">
        <v>24</v>
      </c>
      <c r="L1655" s="4">
        <v>88</v>
      </c>
      <c r="N1655" t="s">
        <v>26</v>
      </c>
      <c r="O1655" s="4">
        <v>40</v>
      </c>
      <c r="P1655">
        <v>0</v>
      </c>
      <c r="Q1655" s="4">
        <v>40</v>
      </c>
      <c r="R1655" s="12">
        <f t="shared" si="25"/>
        <v>3520</v>
      </c>
      <c r="T1655" t="s">
        <v>55</v>
      </c>
      <c r="U1655" t="s">
        <v>1187</v>
      </c>
      <c r="V1655" s="4">
        <v>88</v>
      </c>
      <c r="W1655">
        <v>0</v>
      </c>
    </row>
    <row r="1656" spans="1:23" hidden="1" x14ac:dyDescent="0.25">
      <c r="A1656" s="2">
        <v>45966.603634259256</v>
      </c>
      <c r="B1656">
        <v>398</v>
      </c>
      <c r="C1656" t="s">
        <v>1185</v>
      </c>
      <c r="D1656" s="3">
        <v>45966</v>
      </c>
      <c r="E1656" s="3">
        <v>46142</v>
      </c>
      <c r="F1656" t="s">
        <v>418</v>
      </c>
      <c r="H1656" t="s">
        <v>22</v>
      </c>
      <c r="I1656" t="s">
        <v>37</v>
      </c>
      <c r="J1656" t="s">
        <v>1490</v>
      </c>
      <c r="K1656" t="s">
        <v>31</v>
      </c>
      <c r="L1656" s="4">
        <v>94</v>
      </c>
      <c r="N1656" t="s">
        <v>26</v>
      </c>
      <c r="O1656" s="4">
        <v>18</v>
      </c>
      <c r="P1656">
        <v>0</v>
      </c>
      <c r="Q1656" s="4">
        <v>18</v>
      </c>
      <c r="R1656" s="12">
        <f t="shared" si="25"/>
        <v>1692</v>
      </c>
      <c r="T1656" t="s">
        <v>55</v>
      </c>
      <c r="U1656" t="s">
        <v>1187</v>
      </c>
      <c r="V1656" s="4">
        <v>94</v>
      </c>
      <c r="W1656">
        <v>0</v>
      </c>
    </row>
    <row r="1657" spans="1:23" hidden="1" x14ac:dyDescent="0.25">
      <c r="A1657" s="2">
        <v>45966.603634259256</v>
      </c>
      <c r="B1657">
        <v>398</v>
      </c>
      <c r="C1657" t="s">
        <v>1185</v>
      </c>
      <c r="D1657" s="3">
        <v>45966</v>
      </c>
      <c r="E1657" s="3">
        <v>46142</v>
      </c>
      <c r="F1657" t="s">
        <v>418</v>
      </c>
      <c r="H1657" t="s">
        <v>22</v>
      </c>
      <c r="I1657" t="s">
        <v>30</v>
      </c>
      <c r="J1657" t="s">
        <v>1490</v>
      </c>
      <c r="K1657" t="s">
        <v>31</v>
      </c>
      <c r="L1657" s="4">
        <v>24</v>
      </c>
      <c r="N1657" t="s">
        <v>26</v>
      </c>
      <c r="O1657" s="4">
        <v>200</v>
      </c>
      <c r="P1657">
        <v>0</v>
      </c>
      <c r="Q1657" s="4">
        <v>200</v>
      </c>
      <c r="R1657" s="12">
        <f t="shared" si="25"/>
        <v>4800</v>
      </c>
      <c r="T1657" t="s">
        <v>55</v>
      </c>
      <c r="U1657" t="s">
        <v>1187</v>
      </c>
      <c r="V1657" s="4">
        <v>24</v>
      </c>
      <c r="W1657">
        <v>0</v>
      </c>
    </row>
    <row r="1658" spans="1:23" hidden="1" x14ac:dyDescent="0.25">
      <c r="A1658" s="2">
        <v>45968.300543981481</v>
      </c>
      <c r="B1658">
        <v>399</v>
      </c>
      <c r="C1658" t="s">
        <v>1185</v>
      </c>
      <c r="D1658" s="3">
        <v>45967</v>
      </c>
      <c r="E1658" s="3">
        <v>46142</v>
      </c>
      <c r="F1658" t="s">
        <v>418</v>
      </c>
      <c r="H1658" t="s">
        <v>22</v>
      </c>
      <c r="I1658" t="s">
        <v>177</v>
      </c>
      <c r="J1658" t="s">
        <v>1490</v>
      </c>
      <c r="K1658" t="s">
        <v>24</v>
      </c>
      <c r="L1658" s="4">
        <v>19</v>
      </c>
      <c r="M1658" t="s">
        <v>1195</v>
      </c>
      <c r="N1658" t="s">
        <v>26</v>
      </c>
      <c r="O1658" s="4">
        <v>200</v>
      </c>
      <c r="P1658">
        <v>0</v>
      </c>
      <c r="Q1658" s="4">
        <v>200</v>
      </c>
      <c r="R1658" s="12">
        <f t="shared" si="25"/>
        <v>3800</v>
      </c>
      <c r="T1658" t="s">
        <v>55</v>
      </c>
      <c r="U1658" t="s">
        <v>1187</v>
      </c>
      <c r="V1658" s="4">
        <v>19</v>
      </c>
      <c r="W1658">
        <v>0</v>
      </c>
    </row>
    <row r="1659" spans="1:23" hidden="1" x14ac:dyDescent="0.25">
      <c r="A1659" s="2">
        <v>45968.511712962965</v>
      </c>
      <c r="B1659">
        <v>401</v>
      </c>
      <c r="C1659" t="s">
        <v>1185</v>
      </c>
      <c r="D1659" s="3">
        <v>45968</v>
      </c>
      <c r="E1659" s="3">
        <v>46142</v>
      </c>
      <c r="F1659" t="s">
        <v>418</v>
      </c>
      <c r="H1659" t="s">
        <v>22</v>
      </c>
      <c r="I1659" t="s">
        <v>181</v>
      </c>
      <c r="J1659" t="s">
        <v>1490</v>
      </c>
      <c r="K1659" t="s">
        <v>24</v>
      </c>
      <c r="L1659" s="4">
        <v>88</v>
      </c>
      <c r="M1659" t="s">
        <v>1196</v>
      </c>
      <c r="N1659" t="s">
        <v>26</v>
      </c>
      <c r="O1659" s="4">
        <v>20</v>
      </c>
      <c r="P1659">
        <v>0</v>
      </c>
      <c r="Q1659" s="4">
        <v>20</v>
      </c>
      <c r="R1659" s="12">
        <f t="shared" si="25"/>
        <v>1760</v>
      </c>
      <c r="T1659" t="s">
        <v>337</v>
      </c>
      <c r="U1659" t="s">
        <v>1187</v>
      </c>
      <c r="V1659" s="4">
        <v>88</v>
      </c>
      <c r="W1659">
        <v>0</v>
      </c>
    </row>
    <row r="1660" spans="1:23" hidden="1" x14ac:dyDescent="0.25">
      <c r="A1660" s="2">
        <v>45968.511712962965</v>
      </c>
      <c r="B1660">
        <v>401</v>
      </c>
      <c r="C1660" t="s">
        <v>1185</v>
      </c>
      <c r="D1660" s="3">
        <v>45968</v>
      </c>
      <c r="E1660" s="3">
        <v>46142</v>
      </c>
      <c r="F1660" t="s">
        <v>418</v>
      </c>
      <c r="H1660" t="s">
        <v>22</v>
      </c>
      <c r="I1660" t="s">
        <v>37</v>
      </c>
      <c r="J1660" t="s">
        <v>1490</v>
      </c>
      <c r="K1660" t="s">
        <v>31</v>
      </c>
      <c r="L1660" s="4">
        <v>94</v>
      </c>
      <c r="M1660" t="s">
        <v>1196</v>
      </c>
      <c r="N1660" t="s">
        <v>26</v>
      </c>
      <c r="O1660" s="4">
        <v>9</v>
      </c>
      <c r="P1660">
        <v>0</v>
      </c>
      <c r="Q1660" s="4">
        <v>9</v>
      </c>
      <c r="R1660" s="12">
        <f t="shared" si="25"/>
        <v>846</v>
      </c>
      <c r="T1660" t="s">
        <v>337</v>
      </c>
      <c r="U1660" t="s">
        <v>1187</v>
      </c>
      <c r="V1660" s="4">
        <v>94</v>
      </c>
      <c r="W1660">
        <v>0</v>
      </c>
    </row>
    <row r="1661" spans="1:23" hidden="1" x14ac:dyDescent="0.25">
      <c r="A1661" s="2">
        <v>45968.511712962965</v>
      </c>
      <c r="B1661">
        <v>401</v>
      </c>
      <c r="C1661" t="s">
        <v>1185</v>
      </c>
      <c r="D1661" s="3">
        <v>45968</v>
      </c>
      <c r="E1661" s="3">
        <v>46142</v>
      </c>
      <c r="F1661" t="s">
        <v>418</v>
      </c>
      <c r="H1661" t="s">
        <v>22</v>
      </c>
      <c r="I1661" t="s">
        <v>23</v>
      </c>
      <c r="J1661" t="s">
        <v>1490</v>
      </c>
      <c r="K1661" t="s">
        <v>24</v>
      </c>
      <c r="L1661" s="4">
        <v>18</v>
      </c>
      <c r="M1661" t="s">
        <v>1196</v>
      </c>
      <c r="N1661" t="s">
        <v>26</v>
      </c>
      <c r="O1661" s="4">
        <v>60</v>
      </c>
      <c r="P1661">
        <v>0</v>
      </c>
      <c r="Q1661" s="4">
        <v>60</v>
      </c>
      <c r="R1661" s="12">
        <f t="shared" si="25"/>
        <v>1080</v>
      </c>
      <c r="T1661" t="s">
        <v>337</v>
      </c>
      <c r="U1661" t="s">
        <v>1187</v>
      </c>
      <c r="V1661" s="4">
        <v>18</v>
      </c>
      <c r="W1661">
        <v>0</v>
      </c>
    </row>
    <row r="1662" spans="1:23" hidden="1" x14ac:dyDescent="0.25">
      <c r="A1662" s="2">
        <v>45968.511712962965</v>
      </c>
      <c r="B1662">
        <v>401</v>
      </c>
      <c r="C1662" t="s">
        <v>1185</v>
      </c>
      <c r="D1662" s="3">
        <v>45968</v>
      </c>
      <c r="E1662" s="3">
        <v>46142</v>
      </c>
      <c r="F1662" t="s">
        <v>418</v>
      </c>
      <c r="H1662" t="s">
        <v>22</v>
      </c>
      <c r="I1662" t="s">
        <v>32</v>
      </c>
      <c r="J1662" t="s">
        <v>1490</v>
      </c>
      <c r="K1662" t="s">
        <v>24</v>
      </c>
      <c r="L1662" s="4">
        <v>23</v>
      </c>
      <c r="M1662" t="s">
        <v>1196</v>
      </c>
      <c r="N1662" t="s">
        <v>26</v>
      </c>
      <c r="O1662" s="4">
        <v>60</v>
      </c>
      <c r="P1662">
        <v>0</v>
      </c>
      <c r="Q1662" s="4">
        <v>60</v>
      </c>
      <c r="R1662" s="12">
        <f t="shared" si="25"/>
        <v>1380</v>
      </c>
      <c r="T1662" t="s">
        <v>337</v>
      </c>
      <c r="U1662" t="s">
        <v>1187</v>
      </c>
      <c r="V1662" s="4">
        <v>23</v>
      </c>
      <c r="W1662">
        <v>0</v>
      </c>
    </row>
    <row r="1663" spans="1:23" hidden="1" x14ac:dyDescent="0.25">
      <c r="A1663" s="2">
        <v>45968.511712962965</v>
      </c>
      <c r="B1663">
        <v>401</v>
      </c>
      <c r="C1663" t="s">
        <v>1185</v>
      </c>
      <c r="D1663" s="3">
        <v>45968</v>
      </c>
      <c r="E1663" s="3">
        <v>46142</v>
      </c>
      <c r="F1663" t="s">
        <v>418</v>
      </c>
      <c r="H1663" t="s">
        <v>22</v>
      </c>
      <c r="I1663" t="s">
        <v>30</v>
      </c>
      <c r="J1663" t="s">
        <v>1490</v>
      </c>
      <c r="K1663" t="s">
        <v>31</v>
      </c>
      <c r="L1663" s="4">
        <v>24</v>
      </c>
      <c r="M1663" t="s">
        <v>1196</v>
      </c>
      <c r="N1663" t="s">
        <v>26</v>
      </c>
      <c r="O1663" s="4">
        <v>100</v>
      </c>
      <c r="P1663">
        <v>0</v>
      </c>
      <c r="Q1663" s="4">
        <v>100</v>
      </c>
      <c r="R1663" s="12">
        <f t="shared" si="25"/>
        <v>2400</v>
      </c>
      <c r="T1663" t="s">
        <v>337</v>
      </c>
      <c r="U1663" t="s">
        <v>1187</v>
      </c>
      <c r="V1663" s="4">
        <v>24</v>
      </c>
      <c r="W1663">
        <v>0</v>
      </c>
    </row>
    <row r="1664" spans="1:23" hidden="1" x14ac:dyDescent="0.25">
      <c r="A1664" s="2">
        <v>45968.511712962965</v>
      </c>
      <c r="B1664">
        <v>401</v>
      </c>
      <c r="C1664" t="s">
        <v>1185</v>
      </c>
      <c r="D1664" s="3">
        <v>45968</v>
      </c>
      <c r="E1664" s="3">
        <v>46142</v>
      </c>
      <c r="F1664" t="s">
        <v>418</v>
      </c>
      <c r="H1664" t="s">
        <v>22</v>
      </c>
      <c r="I1664" t="s">
        <v>192</v>
      </c>
      <c r="J1664" t="s">
        <v>1490</v>
      </c>
      <c r="K1664" t="s">
        <v>24</v>
      </c>
      <c r="L1664" s="4">
        <v>16</v>
      </c>
      <c r="M1664" t="s">
        <v>1196</v>
      </c>
      <c r="N1664" t="s">
        <v>26</v>
      </c>
      <c r="O1664" s="4">
        <v>100</v>
      </c>
      <c r="P1664">
        <v>0</v>
      </c>
      <c r="Q1664" s="4">
        <v>100</v>
      </c>
      <c r="R1664" s="12">
        <f t="shared" si="25"/>
        <v>1600</v>
      </c>
      <c r="T1664" t="s">
        <v>337</v>
      </c>
      <c r="U1664" t="s">
        <v>1187</v>
      </c>
      <c r="V1664" s="4">
        <v>16</v>
      </c>
      <c r="W1664">
        <v>0</v>
      </c>
    </row>
    <row r="1665" spans="1:23" hidden="1" x14ac:dyDescent="0.25">
      <c r="A1665" s="2">
        <v>45968.511712962965</v>
      </c>
      <c r="B1665">
        <v>401</v>
      </c>
      <c r="C1665" t="s">
        <v>1185</v>
      </c>
      <c r="D1665" s="3">
        <v>45968</v>
      </c>
      <c r="E1665" s="3">
        <v>46142</v>
      </c>
      <c r="F1665" t="s">
        <v>418</v>
      </c>
      <c r="H1665" t="s">
        <v>22</v>
      </c>
      <c r="I1665" t="s">
        <v>34</v>
      </c>
      <c r="J1665" t="s">
        <v>1490</v>
      </c>
      <c r="K1665" t="s">
        <v>31</v>
      </c>
      <c r="L1665" s="4">
        <v>27</v>
      </c>
      <c r="M1665" t="s">
        <v>1196</v>
      </c>
      <c r="N1665" t="s">
        <v>26</v>
      </c>
      <c r="O1665" s="4">
        <v>100</v>
      </c>
      <c r="P1665">
        <v>0</v>
      </c>
      <c r="Q1665" s="4">
        <v>100</v>
      </c>
      <c r="R1665" s="12">
        <f t="shared" si="25"/>
        <v>2700</v>
      </c>
      <c r="T1665" t="s">
        <v>337</v>
      </c>
      <c r="U1665" t="s">
        <v>1187</v>
      </c>
      <c r="V1665" s="4">
        <v>27</v>
      </c>
      <c r="W1665">
        <v>0</v>
      </c>
    </row>
    <row r="1666" spans="1:23" hidden="1" x14ac:dyDescent="0.25">
      <c r="A1666" s="2">
        <v>45968.511712962965</v>
      </c>
      <c r="B1666">
        <v>401</v>
      </c>
      <c r="C1666" t="s">
        <v>1185</v>
      </c>
      <c r="D1666" s="3">
        <v>45968</v>
      </c>
      <c r="E1666" s="3">
        <v>46142</v>
      </c>
      <c r="F1666" t="s">
        <v>418</v>
      </c>
      <c r="H1666" t="s">
        <v>22</v>
      </c>
      <c r="I1666" t="s">
        <v>177</v>
      </c>
      <c r="J1666" t="s">
        <v>1490</v>
      </c>
      <c r="K1666" t="s">
        <v>24</v>
      </c>
      <c r="L1666" s="4">
        <v>19</v>
      </c>
      <c r="M1666" t="s">
        <v>1196</v>
      </c>
      <c r="N1666" t="s">
        <v>26</v>
      </c>
      <c r="O1666" s="4">
        <v>100</v>
      </c>
      <c r="P1666">
        <v>0</v>
      </c>
      <c r="Q1666" s="4">
        <v>100</v>
      </c>
      <c r="R1666" s="12">
        <f t="shared" si="25"/>
        <v>1900</v>
      </c>
      <c r="T1666" t="s">
        <v>337</v>
      </c>
      <c r="U1666" t="s">
        <v>1187</v>
      </c>
      <c r="V1666" s="4">
        <v>19</v>
      </c>
      <c r="W1666">
        <v>0</v>
      </c>
    </row>
    <row r="1667" spans="1:23" hidden="1" x14ac:dyDescent="0.25">
      <c r="A1667" s="2">
        <v>45968.511712962965</v>
      </c>
      <c r="B1667">
        <v>401</v>
      </c>
      <c r="C1667" t="s">
        <v>1185</v>
      </c>
      <c r="D1667" s="3">
        <v>45968</v>
      </c>
      <c r="E1667" s="3">
        <v>46142</v>
      </c>
      <c r="F1667" t="s">
        <v>418</v>
      </c>
      <c r="H1667" t="s">
        <v>22</v>
      </c>
      <c r="I1667" t="s">
        <v>29</v>
      </c>
      <c r="J1667" t="s">
        <v>1490</v>
      </c>
      <c r="K1667" t="s">
        <v>24</v>
      </c>
      <c r="L1667" s="4">
        <v>160</v>
      </c>
      <c r="M1667" t="s">
        <v>1196</v>
      </c>
      <c r="N1667" t="s">
        <v>26</v>
      </c>
      <c r="O1667" s="4">
        <v>20</v>
      </c>
      <c r="P1667">
        <v>0</v>
      </c>
      <c r="Q1667" s="4">
        <v>20</v>
      </c>
      <c r="R1667" s="12">
        <f t="shared" ref="R1667:R1730" si="26">Q1667*L1667</f>
        <v>3200</v>
      </c>
      <c r="T1667" t="s">
        <v>337</v>
      </c>
      <c r="U1667" t="s">
        <v>1187</v>
      </c>
      <c r="V1667" s="4">
        <v>160</v>
      </c>
      <c r="W1667">
        <v>0</v>
      </c>
    </row>
    <row r="1668" spans="1:23" hidden="1" x14ac:dyDescent="0.25">
      <c r="A1668" s="2">
        <v>45971.442256944443</v>
      </c>
      <c r="B1668">
        <v>407</v>
      </c>
      <c r="C1668" t="s">
        <v>1185</v>
      </c>
      <c r="D1668" s="3">
        <v>45971</v>
      </c>
      <c r="E1668" s="3">
        <v>46142</v>
      </c>
      <c r="F1668" t="s">
        <v>418</v>
      </c>
      <c r="H1668" t="s">
        <v>22</v>
      </c>
      <c r="I1668" t="s">
        <v>57</v>
      </c>
      <c r="K1668" t="s">
        <v>31</v>
      </c>
      <c r="L1668" s="4">
        <v>80</v>
      </c>
      <c r="M1668" t="s">
        <v>1197</v>
      </c>
      <c r="N1668" t="s">
        <v>26</v>
      </c>
      <c r="O1668" s="4">
        <v>3</v>
      </c>
      <c r="P1668">
        <v>0</v>
      </c>
      <c r="Q1668" s="4">
        <v>3</v>
      </c>
      <c r="R1668" s="12">
        <f t="shared" si="26"/>
        <v>240</v>
      </c>
      <c r="T1668" t="s">
        <v>337</v>
      </c>
      <c r="U1668" t="s">
        <v>1187</v>
      </c>
      <c r="V1668" s="4">
        <v>80</v>
      </c>
      <c r="W1668">
        <v>0</v>
      </c>
    </row>
    <row r="1669" spans="1:23" hidden="1" x14ac:dyDescent="0.25">
      <c r="A1669" s="2">
        <v>45971.442256944443</v>
      </c>
      <c r="B1669">
        <v>407</v>
      </c>
      <c r="C1669" t="s">
        <v>1185</v>
      </c>
      <c r="D1669" s="3">
        <v>45971</v>
      </c>
      <c r="E1669" s="3">
        <v>46142</v>
      </c>
      <c r="F1669" t="s">
        <v>418</v>
      </c>
      <c r="H1669" t="s">
        <v>22</v>
      </c>
      <c r="I1669" t="s">
        <v>53</v>
      </c>
      <c r="K1669" t="s">
        <v>24</v>
      </c>
      <c r="L1669" s="4">
        <v>160</v>
      </c>
      <c r="M1669" t="s">
        <v>1197</v>
      </c>
      <c r="N1669" t="s">
        <v>26</v>
      </c>
      <c r="O1669" s="4">
        <v>8</v>
      </c>
      <c r="P1669">
        <v>0</v>
      </c>
      <c r="Q1669" s="4">
        <v>8</v>
      </c>
      <c r="R1669" s="12">
        <f t="shared" si="26"/>
        <v>1280</v>
      </c>
      <c r="T1669" t="s">
        <v>337</v>
      </c>
      <c r="U1669" t="s">
        <v>1187</v>
      </c>
      <c r="V1669" s="4">
        <v>160</v>
      </c>
      <c r="W1669">
        <v>0</v>
      </c>
    </row>
    <row r="1670" spans="1:23" hidden="1" x14ac:dyDescent="0.25">
      <c r="A1670" s="2">
        <v>45971.442256944443</v>
      </c>
      <c r="B1670">
        <v>407</v>
      </c>
      <c r="C1670" t="s">
        <v>1185</v>
      </c>
      <c r="D1670" s="3">
        <v>45971</v>
      </c>
      <c r="E1670" s="3">
        <v>46142</v>
      </c>
      <c r="F1670" t="s">
        <v>418</v>
      </c>
      <c r="H1670" t="s">
        <v>22</v>
      </c>
      <c r="I1670" t="s">
        <v>671</v>
      </c>
      <c r="J1670" t="s">
        <v>1490</v>
      </c>
      <c r="K1670" t="s">
        <v>24</v>
      </c>
      <c r="L1670" s="4">
        <v>85</v>
      </c>
      <c r="M1670" t="s">
        <v>1197</v>
      </c>
      <c r="N1670" t="s">
        <v>26</v>
      </c>
      <c r="O1670" s="4">
        <v>6</v>
      </c>
      <c r="P1670">
        <v>0</v>
      </c>
      <c r="Q1670" s="4">
        <v>6</v>
      </c>
      <c r="R1670" s="12">
        <f t="shared" si="26"/>
        <v>510</v>
      </c>
      <c r="T1670" t="s">
        <v>337</v>
      </c>
      <c r="U1670" t="s">
        <v>1187</v>
      </c>
      <c r="V1670" s="4">
        <v>85</v>
      </c>
      <c r="W1670">
        <v>0</v>
      </c>
    </row>
    <row r="1671" spans="1:23" hidden="1" x14ac:dyDescent="0.25">
      <c r="A1671" s="2">
        <v>46051.623703703706</v>
      </c>
      <c r="B1671">
        <v>518</v>
      </c>
      <c r="C1671" t="s">
        <v>1185</v>
      </c>
      <c r="D1671" s="3">
        <v>46051</v>
      </c>
      <c r="E1671" s="3">
        <v>46264</v>
      </c>
      <c r="F1671" t="s">
        <v>418</v>
      </c>
      <c r="H1671" t="s">
        <v>22</v>
      </c>
      <c r="I1671" t="s">
        <v>192</v>
      </c>
      <c r="J1671" t="s">
        <v>1490</v>
      </c>
      <c r="K1671" t="s">
        <v>24</v>
      </c>
      <c r="L1671" s="4">
        <v>17.5</v>
      </c>
      <c r="M1671" t="s">
        <v>1198</v>
      </c>
      <c r="N1671" t="s">
        <v>46</v>
      </c>
      <c r="O1671" s="4">
        <v>300</v>
      </c>
      <c r="P1671">
        <v>0</v>
      </c>
      <c r="Q1671" s="4">
        <v>300</v>
      </c>
      <c r="R1671" s="12">
        <f t="shared" si="26"/>
        <v>5250</v>
      </c>
      <c r="T1671" t="s">
        <v>337</v>
      </c>
      <c r="U1671" t="s">
        <v>1187</v>
      </c>
      <c r="V1671" s="4">
        <v>17.5</v>
      </c>
      <c r="W1671">
        <v>0</v>
      </c>
    </row>
    <row r="1672" spans="1:23" hidden="1" x14ac:dyDescent="0.25">
      <c r="A1672" s="2">
        <v>46051.623703703706</v>
      </c>
      <c r="B1672">
        <v>518</v>
      </c>
      <c r="C1672" t="s">
        <v>1185</v>
      </c>
      <c r="D1672" s="3">
        <v>46051</v>
      </c>
      <c r="E1672" s="3">
        <v>46264</v>
      </c>
      <c r="F1672" t="s">
        <v>418</v>
      </c>
      <c r="H1672" t="s">
        <v>22</v>
      </c>
      <c r="I1672" t="s">
        <v>30</v>
      </c>
      <c r="J1672" t="s">
        <v>1490</v>
      </c>
      <c r="K1672" t="s">
        <v>31</v>
      </c>
      <c r="L1672" s="4">
        <v>24</v>
      </c>
      <c r="M1672" t="s">
        <v>1198</v>
      </c>
      <c r="N1672" t="s">
        <v>46</v>
      </c>
      <c r="O1672" s="4">
        <v>300</v>
      </c>
      <c r="P1672">
        <v>0</v>
      </c>
      <c r="Q1672" s="4">
        <v>300</v>
      </c>
      <c r="R1672" s="12">
        <f t="shared" si="26"/>
        <v>7200</v>
      </c>
      <c r="T1672" t="s">
        <v>337</v>
      </c>
      <c r="U1672" t="s">
        <v>1187</v>
      </c>
      <c r="V1672" s="4">
        <v>24</v>
      </c>
      <c r="W1672">
        <v>0</v>
      </c>
    </row>
    <row r="1673" spans="1:23" hidden="1" x14ac:dyDescent="0.25">
      <c r="A1673" s="2">
        <v>46051.623703703706</v>
      </c>
      <c r="B1673">
        <v>518</v>
      </c>
      <c r="C1673" t="s">
        <v>1185</v>
      </c>
      <c r="D1673" s="3">
        <v>46051</v>
      </c>
      <c r="E1673" s="3">
        <v>46264</v>
      </c>
      <c r="F1673" t="s">
        <v>418</v>
      </c>
      <c r="H1673" t="s">
        <v>22</v>
      </c>
      <c r="I1673" t="s">
        <v>29</v>
      </c>
      <c r="J1673" t="s">
        <v>1490</v>
      </c>
      <c r="K1673" t="s">
        <v>24</v>
      </c>
      <c r="L1673" s="4">
        <v>160</v>
      </c>
      <c r="M1673" t="s">
        <v>1198</v>
      </c>
      <c r="N1673" t="s">
        <v>46</v>
      </c>
      <c r="O1673" s="4">
        <v>60</v>
      </c>
      <c r="P1673">
        <v>0</v>
      </c>
      <c r="Q1673" s="4">
        <v>60</v>
      </c>
      <c r="R1673" s="12">
        <f t="shared" si="26"/>
        <v>9600</v>
      </c>
      <c r="T1673" t="s">
        <v>337</v>
      </c>
      <c r="U1673" t="s">
        <v>1187</v>
      </c>
      <c r="V1673" s="4">
        <v>160</v>
      </c>
      <c r="W1673">
        <v>0</v>
      </c>
    </row>
    <row r="1674" spans="1:23" hidden="1" x14ac:dyDescent="0.25">
      <c r="A1674" s="2">
        <v>46051.623703703706</v>
      </c>
      <c r="B1674">
        <v>518</v>
      </c>
      <c r="C1674" t="s">
        <v>1185</v>
      </c>
      <c r="D1674" s="3">
        <v>46051</v>
      </c>
      <c r="E1674" s="3">
        <v>46264</v>
      </c>
      <c r="F1674" t="s">
        <v>418</v>
      </c>
      <c r="H1674" t="s">
        <v>22</v>
      </c>
      <c r="I1674" t="s">
        <v>32</v>
      </c>
      <c r="J1674" t="s">
        <v>1490</v>
      </c>
      <c r="K1674" t="s">
        <v>24</v>
      </c>
      <c r="L1674" s="4">
        <v>28</v>
      </c>
      <c r="M1674" t="s">
        <v>1198</v>
      </c>
      <c r="N1674" t="s">
        <v>46</v>
      </c>
      <c r="O1674" s="4">
        <v>60</v>
      </c>
      <c r="P1674">
        <v>0</v>
      </c>
      <c r="Q1674" s="4">
        <v>60</v>
      </c>
      <c r="R1674" s="12">
        <f t="shared" si="26"/>
        <v>1680</v>
      </c>
      <c r="T1674" t="s">
        <v>337</v>
      </c>
      <c r="U1674" t="s">
        <v>1187</v>
      </c>
      <c r="V1674" s="4">
        <v>28</v>
      </c>
      <c r="W1674">
        <v>0</v>
      </c>
    </row>
    <row r="1675" spans="1:23" hidden="1" x14ac:dyDescent="0.25">
      <c r="A1675" s="2">
        <v>46051.623703703706</v>
      </c>
      <c r="B1675">
        <v>518</v>
      </c>
      <c r="C1675" t="s">
        <v>1185</v>
      </c>
      <c r="D1675" s="3">
        <v>46051</v>
      </c>
      <c r="E1675" s="3">
        <v>46264</v>
      </c>
      <c r="F1675" t="s">
        <v>418</v>
      </c>
      <c r="H1675" t="s">
        <v>22</v>
      </c>
      <c r="I1675" t="s">
        <v>23</v>
      </c>
      <c r="J1675" t="s">
        <v>1490</v>
      </c>
      <c r="K1675" t="s">
        <v>24</v>
      </c>
      <c r="L1675" s="4">
        <v>17</v>
      </c>
      <c r="M1675" t="s">
        <v>1198</v>
      </c>
      <c r="N1675" t="s">
        <v>46</v>
      </c>
      <c r="O1675" s="4">
        <v>60</v>
      </c>
      <c r="P1675">
        <v>0</v>
      </c>
      <c r="Q1675" s="4">
        <v>60</v>
      </c>
      <c r="R1675" s="12">
        <f t="shared" si="26"/>
        <v>1020</v>
      </c>
      <c r="T1675" t="s">
        <v>337</v>
      </c>
      <c r="U1675" t="s">
        <v>1187</v>
      </c>
      <c r="V1675" s="4">
        <v>17</v>
      </c>
      <c r="W1675">
        <v>0</v>
      </c>
    </row>
    <row r="1676" spans="1:23" hidden="1" x14ac:dyDescent="0.25">
      <c r="A1676" s="2">
        <v>46051.626701388886</v>
      </c>
      <c r="B1676">
        <v>519</v>
      </c>
      <c r="C1676" t="s">
        <v>1185</v>
      </c>
      <c r="D1676" s="3">
        <v>46051</v>
      </c>
      <c r="E1676" s="3">
        <v>46264</v>
      </c>
      <c r="F1676" t="s">
        <v>418</v>
      </c>
      <c r="H1676" t="s">
        <v>22</v>
      </c>
      <c r="I1676" t="s">
        <v>23</v>
      </c>
      <c r="J1676" t="s">
        <v>1490</v>
      </c>
      <c r="K1676" t="s">
        <v>24</v>
      </c>
      <c r="L1676" s="4">
        <v>17</v>
      </c>
      <c r="M1676" t="s">
        <v>1199</v>
      </c>
      <c r="N1676" t="s">
        <v>46</v>
      </c>
      <c r="O1676" s="4">
        <v>60</v>
      </c>
      <c r="P1676">
        <v>0</v>
      </c>
      <c r="Q1676" s="4">
        <v>60</v>
      </c>
      <c r="R1676" s="12">
        <f t="shared" si="26"/>
        <v>1020</v>
      </c>
      <c r="T1676" t="s">
        <v>55</v>
      </c>
      <c r="U1676" t="s">
        <v>1187</v>
      </c>
      <c r="V1676" s="4">
        <v>17</v>
      </c>
      <c r="W1676">
        <v>0</v>
      </c>
    </row>
    <row r="1677" spans="1:23" hidden="1" x14ac:dyDescent="0.25">
      <c r="A1677" s="2">
        <v>46051.626701388886</v>
      </c>
      <c r="B1677">
        <v>519</v>
      </c>
      <c r="C1677" t="s">
        <v>1185</v>
      </c>
      <c r="D1677" s="3">
        <v>46051</v>
      </c>
      <c r="E1677" s="3">
        <v>46264</v>
      </c>
      <c r="F1677" t="s">
        <v>418</v>
      </c>
      <c r="H1677" t="s">
        <v>22</v>
      </c>
      <c r="I1677" t="s">
        <v>30</v>
      </c>
      <c r="J1677" t="s">
        <v>1490</v>
      </c>
      <c r="K1677" t="s">
        <v>31</v>
      </c>
      <c r="L1677" s="4">
        <v>24</v>
      </c>
      <c r="M1677" t="s">
        <v>1199</v>
      </c>
      <c r="N1677" t="s">
        <v>46</v>
      </c>
      <c r="O1677" s="4">
        <v>300</v>
      </c>
      <c r="P1677">
        <v>0</v>
      </c>
      <c r="Q1677" s="4">
        <v>300</v>
      </c>
      <c r="R1677" s="12">
        <f t="shared" si="26"/>
        <v>7200</v>
      </c>
      <c r="T1677" t="s">
        <v>55</v>
      </c>
      <c r="U1677" t="s">
        <v>1187</v>
      </c>
      <c r="V1677" s="4">
        <v>24</v>
      </c>
      <c r="W1677">
        <v>0</v>
      </c>
    </row>
    <row r="1678" spans="1:23" hidden="1" x14ac:dyDescent="0.25">
      <c r="A1678" s="2">
        <v>46051.626701388886</v>
      </c>
      <c r="B1678">
        <v>519</v>
      </c>
      <c r="C1678" t="s">
        <v>1185</v>
      </c>
      <c r="D1678" s="3">
        <v>46051</v>
      </c>
      <c r="E1678" s="3">
        <v>46264</v>
      </c>
      <c r="F1678" t="s">
        <v>418</v>
      </c>
      <c r="H1678" t="s">
        <v>22</v>
      </c>
      <c r="I1678" t="s">
        <v>192</v>
      </c>
      <c r="J1678" t="s">
        <v>1490</v>
      </c>
      <c r="K1678" t="s">
        <v>24</v>
      </c>
      <c r="L1678" s="4">
        <v>17.5</v>
      </c>
      <c r="M1678" t="s">
        <v>1199</v>
      </c>
      <c r="N1678" t="s">
        <v>46</v>
      </c>
      <c r="O1678" s="4">
        <v>300</v>
      </c>
      <c r="P1678">
        <v>0</v>
      </c>
      <c r="Q1678" s="4">
        <v>300</v>
      </c>
      <c r="R1678" s="12">
        <f t="shared" si="26"/>
        <v>5250</v>
      </c>
      <c r="T1678" t="s">
        <v>55</v>
      </c>
      <c r="U1678" t="s">
        <v>1187</v>
      </c>
      <c r="V1678" s="4">
        <v>17.5</v>
      </c>
      <c r="W1678">
        <v>0</v>
      </c>
    </row>
    <row r="1679" spans="1:23" hidden="1" x14ac:dyDescent="0.25">
      <c r="A1679" s="2">
        <v>46051.626701388886</v>
      </c>
      <c r="B1679">
        <v>519</v>
      </c>
      <c r="C1679" t="s">
        <v>1185</v>
      </c>
      <c r="D1679" s="3">
        <v>46051</v>
      </c>
      <c r="E1679" s="3">
        <v>46264</v>
      </c>
      <c r="F1679" t="s">
        <v>418</v>
      </c>
      <c r="H1679" t="s">
        <v>22</v>
      </c>
      <c r="I1679" t="s">
        <v>32</v>
      </c>
      <c r="J1679" t="s">
        <v>1490</v>
      </c>
      <c r="K1679" t="s">
        <v>24</v>
      </c>
      <c r="L1679" s="4">
        <v>28</v>
      </c>
      <c r="M1679" t="s">
        <v>1199</v>
      </c>
      <c r="N1679" t="s">
        <v>46</v>
      </c>
      <c r="O1679" s="4">
        <v>60</v>
      </c>
      <c r="P1679">
        <v>0</v>
      </c>
      <c r="Q1679" s="4">
        <v>60</v>
      </c>
      <c r="R1679" s="12">
        <f t="shared" si="26"/>
        <v>1680</v>
      </c>
      <c r="T1679" t="s">
        <v>55</v>
      </c>
      <c r="U1679" t="s">
        <v>1187</v>
      </c>
      <c r="V1679" s="4">
        <v>28</v>
      </c>
      <c r="W1679">
        <v>0</v>
      </c>
    </row>
    <row r="1680" spans="1:23" hidden="1" x14ac:dyDescent="0.25">
      <c r="A1680" s="2">
        <v>46051.626701388886</v>
      </c>
      <c r="B1680">
        <v>519</v>
      </c>
      <c r="C1680" t="s">
        <v>1185</v>
      </c>
      <c r="D1680" s="3">
        <v>46051</v>
      </c>
      <c r="E1680" s="3">
        <v>46264</v>
      </c>
      <c r="F1680" t="s">
        <v>418</v>
      </c>
      <c r="H1680" t="s">
        <v>22</v>
      </c>
      <c r="I1680" t="s">
        <v>29</v>
      </c>
      <c r="J1680" t="s">
        <v>1490</v>
      </c>
      <c r="K1680" t="s">
        <v>24</v>
      </c>
      <c r="L1680" s="4">
        <v>160</v>
      </c>
      <c r="M1680" t="s">
        <v>1199</v>
      </c>
      <c r="N1680" t="s">
        <v>46</v>
      </c>
      <c r="O1680" s="4">
        <v>60</v>
      </c>
      <c r="P1680">
        <v>0</v>
      </c>
      <c r="Q1680" s="4">
        <v>60</v>
      </c>
      <c r="R1680" s="12">
        <f t="shared" si="26"/>
        <v>9600</v>
      </c>
      <c r="T1680" t="s">
        <v>55</v>
      </c>
      <c r="U1680" t="s">
        <v>1187</v>
      </c>
      <c r="V1680" s="4">
        <v>160</v>
      </c>
      <c r="W1680">
        <v>0</v>
      </c>
    </row>
    <row r="1681" spans="1:23" hidden="1" x14ac:dyDescent="0.25">
      <c r="A1681" s="2">
        <v>46066.639201388891</v>
      </c>
      <c r="B1681">
        <v>546</v>
      </c>
      <c r="C1681" t="s">
        <v>1185</v>
      </c>
      <c r="D1681" s="3">
        <v>46066</v>
      </c>
      <c r="E1681" s="3">
        <v>46264</v>
      </c>
      <c r="F1681" t="s">
        <v>418</v>
      </c>
      <c r="H1681" t="s">
        <v>22</v>
      </c>
      <c r="I1681" t="s">
        <v>177</v>
      </c>
      <c r="J1681" t="s">
        <v>1490</v>
      </c>
      <c r="K1681" t="s">
        <v>24</v>
      </c>
      <c r="L1681" s="4">
        <v>22</v>
      </c>
      <c r="M1681" t="s">
        <v>1200</v>
      </c>
      <c r="N1681" t="s">
        <v>46</v>
      </c>
      <c r="O1681" s="4">
        <v>60</v>
      </c>
      <c r="P1681">
        <v>0</v>
      </c>
      <c r="Q1681" s="4">
        <v>60</v>
      </c>
      <c r="R1681" s="12">
        <f t="shared" si="26"/>
        <v>1320</v>
      </c>
      <c r="T1681" t="s">
        <v>55</v>
      </c>
      <c r="U1681" t="s">
        <v>1187</v>
      </c>
      <c r="V1681" s="4">
        <v>22</v>
      </c>
      <c r="W1681">
        <v>0</v>
      </c>
    </row>
    <row r="1682" spans="1:23" hidden="1" x14ac:dyDescent="0.25">
      <c r="A1682" s="2">
        <v>45789.339467592596</v>
      </c>
      <c r="B1682">
        <v>215</v>
      </c>
      <c r="C1682" t="s">
        <v>1201</v>
      </c>
      <c r="D1682" s="3">
        <v>45789</v>
      </c>
      <c r="E1682" s="3">
        <v>46142</v>
      </c>
      <c r="F1682" t="s">
        <v>66</v>
      </c>
      <c r="G1682" t="s">
        <v>1494</v>
      </c>
      <c r="H1682" t="s">
        <v>22</v>
      </c>
      <c r="I1682" t="s">
        <v>41</v>
      </c>
      <c r="J1682" t="s">
        <v>1491</v>
      </c>
      <c r="K1682" t="s">
        <v>24</v>
      </c>
      <c r="L1682" s="4">
        <v>338</v>
      </c>
      <c r="M1682" t="s">
        <v>1202</v>
      </c>
      <c r="N1682" t="s">
        <v>26</v>
      </c>
      <c r="O1682" s="4">
        <v>71</v>
      </c>
      <c r="P1682">
        <v>0</v>
      </c>
      <c r="Q1682" s="4">
        <v>71</v>
      </c>
      <c r="R1682" s="12">
        <f t="shared" si="26"/>
        <v>23998</v>
      </c>
      <c r="T1682" t="s">
        <v>1203</v>
      </c>
      <c r="U1682" t="s">
        <v>1204</v>
      </c>
      <c r="V1682" s="4">
        <v>338</v>
      </c>
      <c r="W1682">
        <v>0</v>
      </c>
    </row>
    <row r="1683" spans="1:23" hidden="1" x14ac:dyDescent="0.25">
      <c r="A1683" s="2">
        <v>45789.339467592596</v>
      </c>
      <c r="B1683">
        <v>215</v>
      </c>
      <c r="C1683" t="s">
        <v>1201</v>
      </c>
      <c r="D1683" s="3">
        <v>45789</v>
      </c>
      <c r="E1683" s="3">
        <v>46142</v>
      </c>
      <c r="F1683" t="s">
        <v>66</v>
      </c>
      <c r="G1683" t="s">
        <v>1494</v>
      </c>
      <c r="H1683" t="s">
        <v>22</v>
      </c>
      <c r="I1683" t="s">
        <v>40</v>
      </c>
      <c r="J1683" t="s">
        <v>1491</v>
      </c>
      <c r="K1683" t="s">
        <v>24</v>
      </c>
      <c r="L1683" s="4">
        <v>338</v>
      </c>
      <c r="M1683" t="s">
        <v>1202</v>
      </c>
      <c r="N1683" t="s">
        <v>26</v>
      </c>
      <c r="O1683" s="4">
        <v>75</v>
      </c>
      <c r="P1683">
        <v>0</v>
      </c>
      <c r="Q1683" s="4">
        <v>75</v>
      </c>
      <c r="R1683" s="12">
        <f t="shared" si="26"/>
        <v>25350</v>
      </c>
      <c r="T1683" t="s">
        <v>1203</v>
      </c>
      <c r="U1683" t="s">
        <v>1204</v>
      </c>
      <c r="V1683" s="4">
        <v>338</v>
      </c>
      <c r="W1683">
        <v>0</v>
      </c>
    </row>
    <row r="1684" spans="1:23" hidden="1" x14ac:dyDescent="0.25">
      <c r="A1684" s="2">
        <v>45789.339467592596</v>
      </c>
      <c r="B1684">
        <v>215</v>
      </c>
      <c r="C1684" t="s">
        <v>1201</v>
      </c>
      <c r="D1684" s="3">
        <v>45789</v>
      </c>
      <c r="E1684" s="3">
        <v>46142</v>
      </c>
      <c r="F1684" t="s">
        <v>66</v>
      </c>
      <c r="G1684" t="s">
        <v>1494</v>
      </c>
      <c r="H1684" t="s">
        <v>22</v>
      </c>
      <c r="I1684" t="s">
        <v>38</v>
      </c>
      <c r="J1684" t="s">
        <v>1491</v>
      </c>
      <c r="K1684" t="s">
        <v>24</v>
      </c>
      <c r="L1684" s="4">
        <v>48</v>
      </c>
      <c r="M1684" t="s">
        <v>1202</v>
      </c>
      <c r="N1684" t="s">
        <v>26</v>
      </c>
      <c r="O1684" s="4">
        <v>150</v>
      </c>
      <c r="P1684">
        <v>0</v>
      </c>
      <c r="Q1684" s="4">
        <v>150</v>
      </c>
      <c r="R1684" s="12">
        <f t="shared" si="26"/>
        <v>7200</v>
      </c>
      <c r="T1684" t="s">
        <v>1203</v>
      </c>
      <c r="U1684" t="s">
        <v>1204</v>
      </c>
      <c r="V1684" s="4">
        <v>48</v>
      </c>
      <c r="W1684">
        <v>0</v>
      </c>
    </row>
    <row r="1685" spans="1:23" hidden="1" x14ac:dyDescent="0.25">
      <c r="A1685" s="2">
        <v>45789.339467592596</v>
      </c>
      <c r="B1685">
        <v>215</v>
      </c>
      <c r="C1685" t="s">
        <v>1201</v>
      </c>
      <c r="D1685" s="3">
        <v>45789</v>
      </c>
      <c r="E1685" s="3">
        <v>46142</v>
      </c>
      <c r="F1685" t="s">
        <v>66</v>
      </c>
      <c r="G1685" t="s">
        <v>1494</v>
      </c>
      <c r="H1685" t="s">
        <v>22</v>
      </c>
      <c r="I1685" t="s">
        <v>63</v>
      </c>
      <c r="J1685" t="s">
        <v>1491</v>
      </c>
      <c r="K1685" t="s">
        <v>31</v>
      </c>
      <c r="L1685" s="4">
        <v>200</v>
      </c>
      <c r="M1685" t="s">
        <v>1202</v>
      </c>
      <c r="N1685" t="s">
        <v>26</v>
      </c>
      <c r="O1685" s="4">
        <v>130</v>
      </c>
      <c r="P1685">
        <v>0</v>
      </c>
      <c r="Q1685" s="4">
        <v>130</v>
      </c>
      <c r="R1685" s="12">
        <f t="shared" si="26"/>
        <v>26000</v>
      </c>
      <c r="T1685" t="s">
        <v>1203</v>
      </c>
      <c r="U1685" t="s">
        <v>1204</v>
      </c>
      <c r="V1685" s="4">
        <v>200</v>
      </c>
      <c r="W1685">
        <v>0</v>
      </c>
    </row>
    <row r="1686" spans="1:23" hidden="1" x14ac:dyDescent="0.25">
      <c r="A1686" s="2">
        <v>46022.411666666667</v>
      </c>
      <c r="B1686">
        <v>4399</v>
      </c>
      <c r="C1686" t="s">
        <v>1205</v>
      </c>
      <c r="D1686" s="3">
        <v>46022</v>
      </c>
      <c r="E1686" s="3">
        <v>46111</v>
      </c>
      <c r="F1686" t="s">
        <v>21</v>
      </c>
      <c r="H1686" t="s">
        <v>22</v>
      </c>
      <c r="I1686" t="s">
        <v>96</v>
      </c>
      <c r="K1686" t="s">
        <v>24</v>
      </c>
      <c r="L1686" s="4">
        <v>65</v>
      </c>
      <c r="M1686" t="s">
        <v>1206</v>
      </c>
      <c r="N1686" t="s">
        <v>26</v>
      </c>
      <c r="O1686" s="4">
        <v>150</v>
      </c>
      <c r="P1686">
        <v>0</v>
      </c>
      <c r="Q1686" s="4">
        <v>150</v>
      </c>
      <c r="R1686" s="12">
        <f t="shared" si="26"/>
        <v>9750</v>
      </c>
      <c r="T1686" t="s">
        <v>151</v>
      </c>
      <c r="U1686" t="s">
        <v>1207</v>
      </c>
      <c r="V1686" s="4">
        <v>65</v>
      </c>
      <c r="W1686">
        <v>0</v>
      </c>
    </row>
    <row r="1687" spans="1:23" hidden="1" x14ac:dyDescent="0.25">
      <c r="A1687" s="2">
        <v>45926.466874999998</v>
      </c>
      <c r="B1687">
        <v>4095</v>
      </c>
      <c r="C1687" t="s">
        <v>1208</v>
      </c>
      <c r="D1687" s="3">
        <v>45926</v>
      </c>
      <c r="E1687" s="3">
        <v>45926</v>
      </c>
      <c r="F1687" t="s">
        <v>79</v>
      </c>
      <c r="G1687" t="s">
        <v>1493</v>
      </c>
      <c r="H1687" t="s">
        <v>22</v>
      </c>
      <c r="I1687" t="s">
        <v>63</v>
      </c>
      <c r="J1687" t="s">
        <v>1491</v>
      </c>
      <c r="K1687" t="s">
        <v>31</v>
      </c>
      <c r="L1687" s="4">
        <v>200</v>
      </c>
      <c r="M1687" t="s">
        <v>1209</v>
      </c>
      <c r="N1687" t="s">
        <v>26</v>
      </c>
      <c r="O1687" s="4">
        <v>30</v>
      </c>
      <c r="P1687">
        <v>0</v>
      </c>
      <c r="Q1687" s="4">
        <v>30</v>
      </c>
      <c r="R1687" s="12">
        <f t="shared" si="26"/>
        <v>6000</v>
      </c>
      <c r="T1687" t="s">
        <v>337</v>
      </c>
      <c r="U1687" t="s">
        <v>1210</v>
      </c>
      <c r="V1687" s="4">
        <v>200</v>
      </c>
      <c r="W1687">
        <v>0</v>
      </c>
    </row>
    <row r="1688" spans="1:23" hidden="1" x14ac:dyDescent="0.25">
      <c r="A1688" s="2">
        <v>45923.38653935185</v>
      </c>
      <c r="B1688">
        <v>4066</v>
      </c>
      <c r="C1688" t="s">
        <v>1211</v>
      </c>
      <c r="D1688" s="3">
        <v>45923</v>
      </c>
      <c r="E1688" s="3">
        <v>46111</v>
      </c>
      <c r="F1688" t="s">
        <v>21</v>
      </c>
      <c r="H1688" t="s">
        <v>22</v>
      </c>
      <c r="I1688" t="s">
        <v>1212</v>
      </c>
      <c r="J1688" t="s">
        <v>1490</v>
      </c>
      <c r="K1688" t="s">
        <v>24</v>
      </c>
      <c r="L1688" s="4">
        <v>300</v>
      </c>
      <c r="M1688" t="s">
        <v>1213</v>
      </c>
      <c r="N1688" t="s">
        <v>26</v>
      </c>
      <c r="O1688" s="4">
        <v>190</v>
      </c>
      <c r="P1688">
        <v>0</v>
      </c>
      <c r="Q1688" s="4">
        <v>190</v>
      </c>
      <c r="R1688" s="12">
        <f t="shared" si="26"/>
        <v>57000</v>
      </c>
      <c r="T1688" t="s">
        <v>151</v>
      </c>
      <c r="U1688" t="s">
        <v>1214</v>
      </c>
      <c r="V1688" s="4">
        <v>300</v>
      </c>
      <c r="W1688">
        <v>0</v>
      </c>
    </row>
    <row r="1689" spans="1:23" hidden="1" x14ac:dyDescent="0.25">
      <c r="A1689" s="2">
        <v>45923.38653935185</v>
      </c>
      <c r="B1689">
        <v>4066</v>
      </c>
      <c r="C1689" t="s">
        <v>1211</v>
      </c>
      <c r="D1689" s="3">
        <v>45923</v>
      </c>
      <c r="E1689" s="3">
        <v>46111</v>
      </c>
      <c r="F1689" t="s">
        <v>21</v>
      </c>
      <c r="G1689" t="s">
        <v>1493</v>
      </c>
      <c r="H1689" t="s">
        <v>22</v>
      </c>
      <c r="I1689" t="s">
        <v>40</v>
      </c>
      <c r="J1689" t="s">
        <v>1491</v>
      </c>
      <c r="K1689" t="s">
        <v>24</v>
      </c>
      <c r="L1689" s="4">
        <v>300</v>
      </c>
      <c r="M1689" t="s">
        <v>1213</v>
      </c>
      <c r="N1689" t="s">
        <v>26</v>
      </c>
      <c r="O1689" s="4">
        <v>200</v>
      </c>
      <c r="P1689">
        <v>0</v>
      </c>
      <c r="Q1689" s="4">
        <v>200</v>
      </c>
      <c r="R1689" s="12">
        <f t="shared" si="26"/>
        <v>60000</v>
      </c>
      <c r="T1689" t="s">
        <v>151</v>
      </c>
      <c r="U1689" t="s">
        <v>1214</v>
      </c>
      <c r="V1689" s="4">
        <v>300</v>
      </c>
      <c r="W1689">
        <v>0</v>
      </c>
    </row>
    <row r="1690" spans="1:23" hidden="1" x14ac:dyDescent="0.25">
      <c r="A1690" s="2">
        <v>45929.481539351851</v>
      </c>
      <c r="B1690">
        <v>4103</v>
      </c>
      <c r="C1690" t="s">
        <v>1211</v>
      </c>
      <c r="D1690" s="3">
        <v>45929</v>
      </c>
      <c r="E1690" s="3">
        <v>46111</v>
      </c>
      <c r="F1690" t="s">
        <v>21</v>
      </c>
      <c r="G1690" t="s">
        <v>1493</v>
      </c>
      <c r="H1690" t="s">
        <v>22</v>
      </c>
      <c r="I1690" t="s">
        <v>44</v>
      </c>
      <c r="J1690" t="s">
        <v>1491</v>
      </c>
      <c r="K1690" t="s">
        <v>31</v>
      </c>
      <c r="L1690" s="4">
        <v>380</v>
      </c>
      <c r="M1690" t="s">
        <v>1215</v>
      </c>
      <c r="N1690" t="s">
        <v>26</v>
      </c>
      <c r="O1690" s="4">
        <v>15</v>
      </c>
      <c r="P1690">
        <v>0</v>
      </c>
      <c r="Q1690" s="4">
        <v>15</v>
      </c>
      <c r="R1690" s="12">
        <f t="shared" si="26"/>
        <v>5700</v>
      </c>
      <c r="T1690" t="s">
        <v>151</v>
      </c>
      <c r="U1690" t="s">
        <v>1214</v>
      </c>
      <c r="V1690" s="4">
        <v>380</v>
      </c>
      <c r="W1690">
        <v>0</v>
      </c>
    </row>
    <row r="1691" spans="1:23" hidden="1" x14ac:dyDescent="0.25">
      <c r="A1691" s="2">
        <v>45945.356168981481</v>
      </c>
      <c r="B1691">
        <v>4161</v>
      </c>
      <c r="C1691" t="s">
        <v>1211</v>
      </c>
      <c r="D1691" s="3">
        <v>45945</v>
      </c>
      <c r="E1691" s="3">
        <v>46111</v>
      </c>
      <c r="F1691" t="s">
        <v>21</v>
      </c>
      <c r="H1691" t="s">
        <v>22</v>
      </c>
      <c r="I1691" t="s">
        <v>35</v>
      </c>
      <c r="J1691" t="s">
        <v>1490</v>
      </c>
      <c r="K1691" t="s">
        <v>24</v>
      </c>
      <c r="L1691" s="4">
        <v>62</v>
      </c>
      <c r="M1691" t="s">
        <v>1216</v>
      </c>
      <c r="N1691" t="s">
        <v>26</v>
      </c>
      <c r="O1691" s="4">
        <v>200</v>
      </c>
      <c r="P1691">
        <v>0</v>
      </c>
      <c r="Q1691" s="4">
        <v>200</v>
      </c>
      <c r="R1691" s="12">
        <f t="shared" si="26"/>
        <v>12400</v>
      </c>
      <c r="T1691" t="s">
        <v>151</v>
      </c>
      <c r="U1691" t="s">
        <v>1214</v>
      </c>
      <c r="V1691" s="4">
        <v>62</v>
      </c>
      <c r="W1691">
        <v>0</v>
      </c>
    </row>
    <row r="1692" spans="1:23" hidden="1" x14ac:dyDescent="0.25">
      <c r="A1692" s="2">
        <v>45945.356168981481</v>
      </c>
      <c r="B1692">
        <v>4161</v>
      </c>
      <c r="C1692" t="s">
        <v>1211</v>
      </c>
      <c r="D1692" s="3">
        <v>45945</v>
      </c>
      <c r="E1692" s="3">
        <v>46111</v>
      </c>
      <c r="F1692" t="s">
        <v>21</v>
      </c>
      <c r="H1692" t="s">
        <v>22</v>
      </c>
      <c r="I1692" t="s">
        <v>36</v>
      </c>
      <c r="J1692" t="s">
        <v>1490</v>
      </c>
      <c r="K1692" t="s">
        <v>24</v>
      </c>
      <c r="L1692" s="4">
        <v>62</v>
      </c>
      <c r="M1692" t="s">
        <v>1216</v>
      </c>
      <c r="N1692" t="s">
        <v>26</v>
      </c>
      <c r="O1692" s="4">
        <v>100</v>
      </c>
      <c r="P1692">
        <v>0</v>
      </c>
      <c r="Q1692" s="4">
        <v>100</v>
      </c>
      <c r="R1692" s="12">
        <f t="shared" si="26"/>
        <v>6200</v>
      </c>
      <c r="T1692" t="s">
        <v>151</v>
      </c>
      <c r="U1692" t="s">
        <v>1214</v>
      </c>
      <c r="V1692" s="4">
        <v>62</v>
      </c>
      <c r="W1692">
        <v>0</v>
      </c>
    </row>
    <row r="1693" spans="1:23" hidden="1" x14ac:dyDescent="0.25">
      <c r="A1693" s="2">
        <v>45980.311388888891</v>
      </c>
      <c r="B1693">
        <v>4279</v>
      </c>
      <c r="C1693" t="s">
        <v>1211</v>
      </c>
      <c r="D1693" s="3">
        <v>45980</v>
      </c>
      <c r="E1693" s="3">
        <v>46111</v>
      </c>
      <c r="F1693" t="s">
        <v>21</v>
      </c>
      <c r="H1693" t="s">
        <v>22</v>
      </c>
      <c r="I1693" t="s">
        <v>35</v>
      </c>
      <c r="J1693" t="s">
        <v>1490</v>
      </c>
      <c r="K1693" t="s">
        <v>24</v>
      </c>
      <c r="L1693" s="4">
        <v>62</v>
      </c>
      <c r="M1693" t="s">
        <v>1217</v>
      </c>
      <c r="N1693" t="s">
        <v>26</v>
      </c>
      <c r="O1693" s="4">
        <v>300</v>
      </c>
      <c r="P1693">
        <v>0</v>
      </c>
      <c r="Q1693" s="4">
        <v>300</v>
      </c>
      <c r="R1693" s="12">
        <f t="shared" si="26"/>
        <v>18600</v>
      </c>
      <c r="T1693" t="s">
        <v>151</v>
      </c>
      <c r="U1693" t="s">
        <v>1214</v>
      </c>
      <c r="V1693" s="4">
        <v>62</v>
      </c>
      <c r="W1693">
        <v>0</v>
      </c>
    </row>
    <row r="1694" spans="1:23" hidden="1" x14ac:dyDescent="0.25">
      <c r="A1694" s="2">
        <v>45996.4296412037</v>
      </c>
      <c r="B1694">
        <v>4330</v>
      </c>
      <c r="C1694" t="s">
        <v>1211</v>
      </c>
      <c r="D1694" s="3">
        <v>45996</v>
      </c>
      <c r="E1694" s="3">
        <v>46264</v>
      </c>
      <c r="F1694" t="s">
        <v>21</v>
      </c>
      <c r="H1694" t="s">
        <v>22</v>
      </c>
      <c r="I1694" t="s">
        <v>1212</v>
      </c>
      <c r="J1694" t="s">
        <v>1490</v>
      </c>
      <c r="K1694" t="s">
        <v>24</v>
      </c>
      <c r="L1694" s="4">
        <v>300</v>
      </c>
      <c r="M1694" t="s">
        <v>1218</v>
      </c>
      <c r="N1694" t="s">
        <v>46</v>
      </c>
      <c r="O1694" s="4">
        <v>200</v>
      </c>
      <c r="P1694">
        <v>0</v>
      </c>
      <c r="Q1694" s="4">
        <v>200</v>
      </c>
      <c r="R1694" s="12">
        <f t="shared" si="26"/>
        <v>60000</v>
      </c>
      <c r="T1694" t="s">
        <v>151</v>
      </c>
      <c r="U1694" t="s">
        <v>1214</v>
      </c>
      <c r="V1694" s="4">
        <v>300</v>
      </c>
      <c r="W1694">
        <v>0</v>
      </c>
    </row>
    <row r="1695" spans="1:23" hidden="1" x14ac:dyDescent="0.25">
      <c r="A1695" s="2">
        <v>45996.4296412037</v>
      </c>
      <c r="B1695">
        <v>4330</v>
      </c>
      <c r="C1695" t="s">
        <v>1211</v>
      </c>
      <c r="D1695" s="3">
        <v>45996</v>
      </c>
      <c r="E1695" s="3">
        <v>46264</v>
      </c>
      <c r="F1695" t="s">
        <v>21</v>
      </c>
      <c r="G1695" t="s">
        <v>1493</v>
      </c>
      <c r="H1695" t="s">
        <v>22</v>
      </c>
      <c r="I1695" t="s">
        <v>40</v>
      </c>
      <c r="J1695" t="s">
        <v>1491</v>
      </c>
      <c r="K1695" t="s">
        <v>24</v>
      </c>
      <c r="L1695" s="4">
        <v>300</v>
      </c>
      <c r="M1695" t="s">
        <v>1218</v>
      </c>
      <c r="N1695" t="s">
        <v>46</v>
      </c>
      <c r="O1695" s="4">
        <v>200</v>
      </c>
      <c r="P1695">
        <v>0</v>
      </c>
      <c r="Q1695" s="4">
        <v>200</v>
      </c>
      <c r="R1695" s="12">
        <f t="shared" si="26"/>
        <v>60000</v>
      </c>
      <c r="T1695" t="s">
        <v>151</v>
      </c>
      <c r="U1695" t="s">
        <v>1214</v>
      </c>
      <c r="V1695" s="4">
        <v>300</v>
      </c>
      <c r="W1695">
        <v>0</v>
      </c>
    </row>
    <row r="1696" spans="1:23" hidden="1" x14ac:dyDescent="0.25">
      <c r="A1696" s="2">
        <v>46029.583495370367</v>
      </c>
      <c r="B1696">
        <v>4415</v>
      </c>
      <c r="C1696" t="s">
        <v>1211</v>
      </c>
      <c r="D1696" s="3">
        <v>46029</v>
      </c>
      <c r="E1696" s="3">
        <v>46264</v>
      </c>
      <c r="F1696" t="s">
        <v>21</v>
      </c>
      <c r="H1696" t="s">
        <v>22</v>
      </c>
      <c r="I1696" t="s">
        <v>36</v>
      </c>
      <c r="J1696" t="s">
        <v>1490</v>
      </c>
      <c r="K1696" t="s">
        <v>24</v>
      </c>
      <c r="L1696" s="4">
        <v>62</v>
      </c>
      <c r="M1696" t="s">
        <v>1219</v>
      </c>
      <c r="N1696" t="s">
        <v>46</v>
      </c>
      <c r="O1696" s="4">
        <v>200</v>
      </c>
      <c r="P1696">
        <v>0</v>
      </c>
      <c r="Q1696" s="4">
        <v>200</v>
      </c>
      <c r="R1696" s="12">
        <f t="shared" si="26"/>
        <v>12400</v>
      </c>
      <c r="T1696" t="s">
        <v>151</v>
      </c>
      <c r="U1696" t="s">
        <v>1214</v>
      </c>
      <c r="V1696" s="4">
        <v>62</v>
      </c>
      <c r="W1696">
        <v>0</v>
      </c>
    </row>
    <row r="1697" spans="1:23" hidden="1" x14ac:dyDescent="0.25">
      <c r="A1697" s="2">
        <v>46029.583495370367</v>
      </c>
      <c r="B1697">
        <v>4415</v>
      </c>
      <c r="C1697" t="s">
        <v>1211</v>
      </c>
      <c r="D1697" s="3">
        <v>46029</v>
      </c>
      <c r="E1697" s="3">
        <v>46264</v>
      </c>
      <c r="F1697" t="s">
        <v>21</v>
      </c>
      <c r="H1697" t="s">
        <v>22</v>
      </c>
      <c r="I1697" t="s">
        <v>35</v>
      </c>
      <c r="J1697" t="s">
        <v>1490</v>
      </c>
      <c r="K1697" t="s">
        <v>24</v>
      </c>
      <c r="L1697" s="4">
        <v>62</v>
      </c>
      <c r="M1697" t="s">
        <v>1219</v>
      </c>
      <c r="N1697" t="s">
        <v>46</v>
      </c>
      <c r="O1697" s="4">
        <v>400</v>
      </c>
      <c r="P1697">
        <v>0</v>
      </c>
      <c r="Q1697" s="4">
        <v>400</v>
      </c>
      <c r="R1697" s="12">
        <f t="shared" si="26"/>
        <v>24800</v>
      </c>
      <c r="T1697" t="s">
        <v>151</v>
      </c>
      <c r="U1697" t="s">
        <v>1214</v>
      </c>
      <c r="V1697" s="4">
        <v>62</v>
      </c>
      <c r="W1697">
        <v>0</v>
      </c>
    </row>
    <row r="1698" spans="1:23" hidden="1" x14ac:dyDescent="0.25">
      <c r="A1698" s="2">
        <v>46068.426631944443</v>
      </c>
      <c r="B1698">
        <v>4566</v>
      </c>
      <c r="C1698" t="s">
        <v>1211</v>
      </c>
      <c r="D1698" s="3">
        <v>46068</v>
      </c>
      <c r="E1698" s="3">
        <v>46264</v>
      </c>
      <c r="F1698" t="s">
        <v>21</v>
      </c>
      <c r="H1698" t="s">
        <v>22</v>
      </c>
      <c r="I1698" t="s">
        <v>36</v>
      </c>
      <c r="J1698" t="s">
        <v>1490</v>
      </c>
      <c r="K1698" t="s">
        <v>24</v>
      </c>
      <c r="L1698" s="4">
        <v>62</v>
      </c>
      <c r="M1698" t="s">
        <v>1220</v>
      </c>
      <c r="N1698" t="s">
        <v>46</v>
      </c>
      <c r="O1698" s="4">
        <v>150</v>
      </c>
      <c r="P1698">
        <v>0</v>
      </c>
      <c r="Q1698" s="4">
        <v>150</v>
      </c>
      <c r="R1698" s="12">
        <f t="shared" si="26"/>
        <v>9300</v>
      </c>
      <c r="T1698" t="s">
        <v>151</v>
      </c>
      <c r="U1698" t="s">
        <v>1214</v>
      </c>
      <c r="V1698" s="4">
        <v>62</v>
      </c>
      <c r="W1698">
        <v>0</v>
      </c>
    </row>
    <row r="1699" spans="1:23" hidden="1" x14ac:dyDescent="0.25">
      <c r="A1699" s="2">
        <v>45761.46366898148</v>
      </c>
      <c r="B1699">
        <v>182</v>
      </c>
      <c r="C1699" t="s">
        <v>1221</v>
      </c>
      <c r="D1699" s="3">
        <v>45761</v>
      </c>
      <c r="E1699" s="3">
        <v>46264</v>
      </c>
      <c r="F1699" t="s">
        <v>66</v>
      </c>
      <c r="H1699" t="s">
        <v>22</v>
      </c>
      <c r="I1699" t="s">
        <v>866</v>
      </c>
      <c r="K1699" t="s">
        <v>24</v>
      </c>
      <c r="L1699" s="4">
        <v>11</v>
      </c>
      <c r="M1699" t="s">
        <v>1222</v>
      </c>
      <c r="N1699" t="s">
        <v>46</v>
      </c>
      <c r="O1699" s="4">
        <v>2000</v>
      </c>
      <c r="P1699">
        <v>0</v>
      </c>
      <c r="Q1699" s="4">
        <v>2000</v>
      </c>
      <c r="R1699" s="12">
        <f t="shared" si="26"/>
        <v>22000</v>
      </c>
      <c r="T1699" t="s">
        <v>263</v>
      </c>
      <c r="U1699" t="s">
        <v>1223</v>
      </c>
      <c r="V1699" s="4">
        <v>11</v>
      </c>
      <c r="W1699">
        <v>0</v>
      </c>
    </row>
    <row r="1700" spans="1:23" hidden="1" x14ac:dyDescent="0.25">
      <c r="A1700" s="2">
        <v>45777.324826388889</v>
      </c>
      <c r="B1700">
        <v>206</v>
      </c>
      <c r="C1700" t="s">
        <v>1221</v>
      </c>
      <c r="D1700" s="3">
        <v>45777</v>
      </c>
      <c r="E1700" s="3">
        <v>46111</v>
      </c>
      <c r="F1700" t="s">
        <v>66</v>
      </c>
      <c r="H1700" t="s">
        <v>22</v>
      </c>
      <c r="I1700" t="s">
        <v>42</v>
      </c>
      <c r="J1700" t="s">
        <v>1490</v>
      </c>
      <c r="K1700" t="s">
        <v>24</v>
      </c>
      <c r="L1700" s="4">
        <v>200</v>
      </c>
      <c r="M1700" t="s">
        <v>1224</v>
      </c>
      <c r="N1700" t="s">
        <v>26</v>
      </c>
      <c r="O1700" s="4">
        <v>45</v>
      </c>
      <c r="P1700">
        <v>0</v>
      </c>
      <c r="Q1700" s="4">
        <v>45</v>
      </c>
      <c r="R1700" s="12">
        <f t="shared" si="26"/>
        <v>9000</v>
      </c>
      <c r="T1700" t="s">
        <v>263</v>
      </c>
      <c r="U1700" t="s">
        <v>1223</v>
      </c>
      <c r="V1700" s="4">
        <v>200</v>
      </c>
      <c r="W1700">
        <v>0</v>
      </c>
    </row>
    <row r="1701" spans="1:23" hidden="1" x14ac:dyDescent="0.25">
      <c r="A1701" s="2">
        <v>45777.324826388889</v>
      </c>
      <c r="B1701">
        <v>206</v>
      </c>
      <c r="C1701" t="s">
        <v>1221</v>
      </c>
      <c r="D1701" s="3">
        <v>45777</v>
      </c>
      <c r="E1701" s="3">
        <v>46111</v>
      </c>
      <c r="F1701" t="s">
        <v>66</v>
      </c>
      <c r="G1701" t="s">
        <v>1494</v>
      </c>
      <c r="H1701" t="s">
        <v>22</v>
      </c>
      <c r="I1701" t="s">
        <v>41</v>
      </c>
      <c r="J1701" t="s">
        <v>1491</v>
      </c>
      <c r="K1701" t="s">
        <v>24</v>
      </c>
      <c r="L1701" s="4">
        <v>430.83</v>
      </c>
      <c r="M1701" t="s">
        <v>1224</v>
      </c>
      <c r="N1701" t="s">
        <v>26</v>
      </c>
      <c r="O1701" s="4">
        <v>30</v>
      </c>
      <c r="P1701">
        <v>0</v>
      </c>
      <c r="Q1701" s="4">
        <v>30</v>
      </c>
      <c r="R1701" s="12">
        <f t="shared" si="26"/>
        <v>12924.9</v>
      </c>
      <c r="T1701" t="s">
        <v>263</v>
      </c>
      <c r="U1701" t="s">
        <v>1223</v>
      </c>
      <c r="V1701" s="4">
        <v>430.83</v>
      </c>
      <c r="W1701">
        <v>0</v>
      </c>
    </row>
    <row r="1702" spans="1:23" hidden="1" x14ac:dyDescent="0.25">
      <c r="A1702" s="2">
        <v>45777.324826388889</v>
      </c>
      <c r="B1702">
        <v>206</v>
      </c>
      <c r="C1702" t="s">
        <v>1221</v>
      </c>
      <c r="D1702" s="3">
        <v>45777</v>
      </c>
      <c r="E1702" s="3">
        <v>46111</v>
      </c>
      <c r="F1702" t="s">
        <v>66</v>
      </c>
      <c r="G1702" t="s">
        <v>1494</v>
      </c>
      <c r="H1702" t="s">
        <v>22</v>
      </c>
      <c r="I1702" t="s">
        <v>43</v>
      </c>
      <c r="J1702" t="s">
        <v>1491</v>
      </c>
      <c r="K1702" t="s">
        <v>24</v>
      </c>
      <c r="L1702" s="4">
        <v>46.86</v>
      </c>
      <c r="M1702" t="s">
        <v>1224</v>
      </c>
      <c r="N1702" t="s">
        <v>26</v>
      </c>
      <c r="O1702" s="4">
        <v>42</v>
      </c>
      <c r="P1702">
        <v>0</v>
      </c>
      <c r="Q1702" s="4">
        <v>42</v>
      </c>
      <c r="R1702" s="12">
        <f t="shared" si="26"/>
        <v>1968.12</v>
      </c>
      <c r="T1702" t="s">
        <v>263</v>
      </c>
      <c r="U1702" t="s">
        <v>1223</v>
      </c>
      <c r="V1702" s="4">
        <v>46.86</v>
      </c>
      <c r="W1702">
        <v>0</v>
      </c>
    </row>
    <row r="1703" spans="1:23" hidden="1" x14ac:dyDescent="0.25">
      <c r="A1703" s="2">
        <v>45777.324826388889</v>
      </c>
      <c r="B1703">
        <v>206</v>
      </c>
      <c r="C1703" t="s">
        <v>1221</v>
      </c>
      <c r="D1703" s="3">
        <v>45777</v>
      </c>
      <c r="E1703" s="3">
        <v>46111</v>
      </c>
      <c r="F1703" t="s">
        <v>66</v>
      </c>
      <c r="G1703" t="s">
        <v>1494</v>
      </c>
      <c r="H1703" t="s">
        <v>22</v>
      </c>
      <c r="I1703" t="s">
        <v>38</v>
      </c>
      <c r="J1703" t="s">
        <v>1491</v>
      </c>
      <c r="K1703" t="s">
        <v>24</v>
      </c>
      <c r="L1703" s="4">
        <v>41</v>
      </c>
      <c r="M1703" t="s">
        <v>1224</v>
      </c>
      <c r="N1703" t="s">
        <v>26</v>
      </c>
      <c r="O1703" s="4">
        <v>42</v>
      </c>
      <c r="P1703">
        <v>0</v>
      </c>
      <c r="Q1703" s="4">
        <v>42</v>
      </c>
      <c r="R1703" s="12">
        <f t="shared" si="26"/>
        <v>1722</v>
      </c>
      <c r="T1703" t="s">
        <v>263</v>
      </c>
      <c r="U1703" t="s">
        <v>1223</v>
      </c>
      <c r="V1703" s="4">
        <v>41</v>
      </c>
      <c r="W1703">
        <v>0</v>
      </c>
    </row>
    <row r="1704" spans="1:23" hidden="1" x14ac:dyDescent="0.25">
      <c r="A1704" s="2">
        <v>45777.324826388889</v>
      </c>
      <c r="B1704">
        <v>206</v>
      </c>
      <c r="C1704" t="s">
        <v>1221</v>
      </c>
      <c r="D1704" s="3">
        <v>45777</v>
      </c>
      <c r="E1704" s="3">
        <v>46111</v>
      </c>
      <c r="F1704" t="s">
        <v>66</v>
      </c>
      <c r="H1704" t="s">
        <v>22</v>
      </c>
      <c r="I1704" t="s">
        <v>89</v>
      </c>
      <c r="K1704" t="s">
        <v>31</v>
      </c>
      <c r="L1704" s="4">
        <v>20</v>
      </c>
      <c r="M1704" t="s">
        <v>1224</v>
      </c>
      <c r="N1704" t="s">
        <v>26</v>
      </c>
      <c r="O1704" s="4">
        <v>620</v>
      </c>
      <c r="P1704">
        <v>0</v>
      </c>
      <c r="Q1704" s="4">
        <v>620</v>
      </c>
      <c r="R1704" s="12">
        <f t="shared" si="26"/>
        <v>12400</v>
      </c>
      <c r="T1704" t="s">
        <v>263</v>
      </c>
      <c r="U1704" t="s">
        <v>1223</v>
      </c>
      <c r="V1704" s="4">
        <v>20</v>
      </c>
      <c r="W1704">
        <v>0</v>
      </c>
    </row>
    <row r="1705" spans="1:23" hidden="1" x14ac:dyDescent="0.25">
      <c r="A1705" s="2">
        <v>45777.324826388889</v>
      </c>
      <c r="B1705">
        <v>206</v>
      </c>
      <c r="C1705" t="s">
        <v>1221</v>
      </c>
      <c r="D1705" s="3">
        <v>45777</v>
      </c>
      <c r="E1705" s="3">
        <v>46111</v>
      </c>
      <c r="F1705" t="s">
        <v>66</v>
      </c>
      <c r="G1705" t="s">
        <v>1494</v>
      </c>
      <c r="H1705" t="s">
        <v>22</v>
      </c>
      <c r="I1705" t="s">
        <v>44</v>
      </c>
      <c r="J1705" t="s">
        <v>1491</v>
      </c>
      <c r="K1705" t="s">
        <v>31</v>
      </c>
      <c r="L1705" s="4">
        <v>355</v>
      </c>
      <c r="M1705" t="s">
        <v>1224</v>
      </c>
      <c r="N1705" t="s">
        <v>26</v>
      </c>
      <c r="O1705" s="4">
        <v>21</v>
      </c>
      <c r="P1705">
        <v>0</v>
      </c>
      <c r="Q1705" s="4">
        <v>21</v>
      </c>
      <c r="R1705" s="12">
        <f t="shared" si="26"/>
        <v>7455</v>
      </c>
      <c r="T1705" t="s">
        <v>263</v>
      </c>
      <c r="U1705" t="s">
        <v>1223</v>
      </c>
      <c r="V1705" s="4">
        <v>355</v>
      </c>
      <c r="W1705">
        <v>0</v>
      </c>
    </row>
    <row r="1706" spans="1:23" hidden="1" x14ac:dyDescent="0.25">
      <c r="A1706" s="2">
        <v>45777.324826388889</v>
      </c>
      <c r="B1706">
        <v>206</v>
      </c>
      <c r="C1706" t="s">
        <v>1221</v>
      </c>
      <c r="D1706" s="3">
        <v>45777</v>
      </c>
      <c r="E1706" s="3">
        <v>46111</v>
      </c>
      <c r="F1706" t="s">
        <v>66</v>
      </c>
      <c r="G1706" t="s">
        <v>1494</v>
      </c>
      <c r="H1706" t="s">
        <v>22</v>
      </c>
      <c r="I1706" t="s">
        <v>40</v>
      </c>
      <c r="J1706" t="s">
        <v>1491</v>
      </c>
      <c r="K1706" t="s">
        <v>24</v>
      </c>
      <c r="L1706" s="4">
        <v>429</v>
      </c>
      <c r="M1706" t="s">
        <v>1224</v>
      </c>
      <c r="N1706" t="s">
        <v>26</v>
      </c>
      <c r="O1706" s="4">
        <v>30</v>
      </c>
      <c r="P1706">
        <v>0</v>
      </c>
      <c r="Q1706" s="4">
        <v>30</v>
      </c>
      <c r="R1706" s="12">
        <f t="shared" si="26"/>
        <v>12870</v>
      </c>
      <c r="T1706" t="s">
        <v>263</v>
      </c>
      <c r="U1706" t="s">
        <v>1223</v>
      </c>
      <c r="V1706" s="4">
        <v>429</v>
      </c>
      <c r="W1706">
        <v>0</v>
      </c>
    </row>
    <row r="1707" spans="1:23" hidden="1" x14ac:dyDescent="0.25">
      <c r="A1707" s="2">
        <v>45890.568252314813</v>
      </c>
      <c r="B1707">
        <v>273</v>
      </c>
      <c r="C1707" t="s">
        <v>1221</v>
      </c>
      <c r="D1707" s="3">
        <v>45890</v>
      </c>
      <c r="E1707" s="3">
        <v>46295</v>
      </c>
      <c r="F1707" t="s">
        <v>66</v>
      </c>
      <c r="H1707" t="s">
        <v>22</v>
      </c>
      <c r="I1707" t="s">
        <v>30</v>
      </c>
      <c r="J1707" t="s">
        <v>1490</v>
      </c>
      <c r="K1707" t="s">
        <v>31</v>
      </c>
      <c r="L1707" s="4">
        <v>20</v>
      </c>
      <c r="M1707" t="s">
        <v>1225</v>
      </c>
      <c r="N1707" t="s">
        <v>46</v>
      </c>
      <c r="O1707" s="4">
        <v>840</v>
      </c>
      <c r="P1707">
        <v>0</v>
      </c>
      <c r="Q1707" s="4">
        <v>840</v>
      </c>
      <c r="R1707" s="12">
        <f t="shared" si="26"/>
        <v>16800</v>
      </c>
      <c r="T1707" t="s">
        <v>263</v>
      </c>
      <c r="U1707" t="s">
        <v>1223</v>
      </c>
      <c r="V1707" s="4">
        <v>20</v>
      </c>
      <c r="W1707">
        <v>0</v>
      </c>
    </row>
    <row r="1708" spans="1:23" hidden="1" x14ac:dyDescent="0.25">
      <c r="A1708" s="2">
        <v>45938.639386574076</v>
      </c>
      <c r="B1708">
        <v>332</v>
      </c>
      <c r="C1708" t="s">
        <v>1221</v>
      </c>
      <c r="D1708" s="3">
        <v>45937</v>
      </c>
      <c r="E1708" s="3">
        <v>46111</v>
      </c>
      <c r="F1708" t="s">
        <v>66</v>
      </c>
      <c r="H1708" t="s">
        <v>22</v>
      </c>
      <c r="I1708" t="s">
        <v>130</v>
      </c>
      <c r="K1708" t="s">
        <v>24</v>
      </c>
      <c r="L1708" s="4">
        <v>198</v>
      </c>
      <c r="N1708" t="s">
        <v>26</v>
      </c>
      <c r="O1708" s="4">
        <v>4</v>
      </c>
      <c r="P1708">
        <v>0</v>
      </c>
      <c r="Q1708" s="4">
        <v>4</v>
      </c>
      <c r="R1708" s="12">
        <f t="shared" si="26"/>
        <v>792</v>
      </c>
      <c r="T1708" t="s">
        <v>263</v>
      </c>
      <c r="U1708" t="s">
        <v>1223</v>
      </c>
      <c r="V1708" s="4">
        <v>198</v>
      </c>
      <c r="W1708">
        <v>0</v>
      </c>
    </row>
    <row r="1709" spans="1:23" hidden="1" x14ac:dyDescent="0.25">
      <c r="A1709" s="2">
        <v>45978.526030092595</v>
      </c>
      <c r="B1709">
        <v>413</v>
      </c>
      <c r="C1709" t="s">
        <v>1221</v>
      </c>
      <c r="D1709" s="3">
        <v>45978</v>
      </c>
      <c r="E1709" s="3">
        <v>46111</v>
      </c>
      <c r="F1709" t="s">
        <v>66</v>
      </c>
      <c r="H1709" t="s">
        <v>22</v>
      </c>
      <c r="I1709" t="s">
        <v>356</v>
      </c>
      <c r="K1709" t="s">
        <v>24</v>
      </c>
      <c r="L1709" s="4">
        <v>16.8</v>
      </c>
      <c r="M1709" t="s">
        <v>1226</v>
      </c>
      <c r="N1709" t="s">
        <v>26</v>
      </c>
      <c r="O1709" s="4">
        <v>175</v>
      </c>
      <c r="P1709">
        <v>0</v>
      </c>
      <c r="Q1709" s="4">
        <v>175</v>
      </c>
      <c r="R1709" s="12">
        <f t="shared" si="26"/>
        <v>2940</v>
      </c>
      <c r="T1709" t="s">
        <v>263</v>
      </c>
      <c r="U1709" t="s">
        <v>1223</v>
      </c>
      <c r="V1709" s="4">
        <v>16.8</v>
      </c>
      <c r="W1709">
        <v>0</v>
      </c>
    </row>
    <row r="1710" spans="1:23" hidden="1" x14ac:dyDescent="0.25">
      <c r="A1710" s="2">
        <v>45982.341122685182</v>
      </c>
      <c r="B1710">
        <v>416</v>
      </c>
      <c r="C1710" t="s">
        <v>1221</v>
      </c>
      <c r="D1710" s="3">
        <v>45982</v>
      </c>
      <c r="E1710" s="3">
        <v>46295</v>
      </c>
      <c r="F1710" t="s">
        <v>66</v>
      </c>
      <c r="H1710" t="s">
        <v>22</v>
      </c>
      <c r="I1710" t="s">
        <v>545</v>
      </c>
      <c r="K1710" t="s">
        <v>546</v>
      </c>
      <c r="L1710" s="4">
        <v>640</v>
      </c>
      <c r="M1710" t="s">
        <v>1227</v>
      </c>
      <c r="N1710" t="s">
        <v>46</v>
      </c>
      <c r="O1710" s="4">
        <v>250</v>
      </c>
      <c r="P1710">
        <v>0</v>
      </c>
      <c r="Q1710" s="4">
        <v>250</v>
      </c>
      <c r="R1710" s="12">
        <f t="shared" si="26"/>
        <v>160000</v>
      </c>
      <c r="T1710" t="s">
        <v>263</v>
      </c>
      <c r="U1710" t="s">
        <v>1223</v>
      </c>
      <c r="V1710" s="4">
        <v>640</v>
      </c>
      <c r="W1710">
        <v>0</v>
      </c>
    </row>
    <row r="1711" spans="1:23" hidden="1" x14ac:dyDescent="0.25">
      <c r="A1711" s="2">
        <v>45982.341122685182</v>
      </c>
      <c r="B1711">
        <v>416</v>
      </c>
      <c r="C1711" t="s">
        <v>1221</v>
      </c>
      <c r="D1711" s="3">
        <v>45982</v>
      </c>
      <c r="E1711" s="3">
        <v>46295</v>
      </c>
      <c r="F1711" t="s">
        <v>66</v>
      </c>
      <c r="H1711" t="s">
        <v>22</v>
      </c>
      <c r="I1711" t="s">
        <v>994</v>
      </c>
      <c r="K1711" t="s">
        <v>546</v>
      </c>
      <c r="L1711" s="4">
        <v>800</v>
      </c>
      <c r="M1711" t="s">
        <v>1227</v>
      </c>
      <c r="N1711" t="s">
        <v>46</v>
      </c>
      <c r="O1711" s="4">
        <v>10</v>
      </c>
      <c r="P1711">
        <v>0</v>
      </c>
      <c r="Q1711" s="4">
        <v>10</v>
      </c>
      <c r="R1711" s="12">
        <f t="shared" si="26"/>
        <v>8000</v>
      </c>
      <c r="T1711" t="s">
        <v>263</v>
      </c>
      <c r="U1711" t="s">
        <v>1223</v>
      </c>
      <c r="V1711" s="4">
        <v>800</v>
      </c>
      <c r="W1711">
        <v>0</v>
      </c>
    </row>
    <row r="1712" spans="1:23" hidden="1" x14ac:dyDescent="0.25">
      <c r="A1712" s="2">
        <v>45982.341122685182</v>
      </c>
      <c r="B1712">
        <v>416</v>
      </c>
      <c r="C1712" t="s">
        <v>1221</v>
      </c>
      <c r="D1712" s="3">
        <v>45982</v>
      </c>
      <c r="E1712" s="3">
        <v>46295</v>
      </c>
      <c r="F1712" t="s">
        <v>66</v>
      </c>
      <c r="G1712" t="s">
        <v>1494</v>
      </c>
      <c r="H1712" t="s">
        <v>22</v>
      </c>
      <c r="I1712" t="s">
        <v>468</v>
      </c>
      <c r="J1712" t="s">
        <v>1491</v>
      </c>
      <c r="K1712" t="s">
        <v>24</v>
      </c>
      <c r="L1712" s="4">
        <v>40</v>
      </c>
      <c r="M1712" t="s">
        <v>1227</v>
      </c>
      <c r="N1712" t="s">
        <v>46</v>
      </c>
      <c r="O1712" s="4">
        <v>420</v>
      </c>
      <c r="P1712">
        <v>0</v>
      </c>
      <c r="Q1712" s="4">
        <v>420</v>
      </c>
      <c r="R1712" s="12">
        <f t="shared" si="26"/>
        <v>16800</v>
      </c>
      <c r="T1712" t="s">
        <v>263</v>
      </c>
      <c r="U1712" t="s">
        <v>1223</v>
      </c>
      <c r="V1712" s="4">
        <v>40</v>
      </c>
      <c r="W1712">
        <v>0</v>
      </c>
    </row>
    <row r="1713" spans="1:23" hidden="1" x14ac:dyDescent="0.25">
      <c r="A1713" s="2">
        <v>45982.341122685182</v>
      </c>
      <c r="B1713">
        <v>416</v>
      </c>
      <c r="C1713" t="s">
        <v>1221</v>
      </c>
      <c r="D1713" s="3">
        <v>45982</v>
      </c>
      <c r="E1713" s="3">
        <v>46295</v>
      </c>
      <c r="F1713" t="s">
        <v>66</v>
      </c>
      <c r="H1713" t="s">
        <v>22</v>
      </c>
      <c r="I1713" t="s">
        <v>1228</v>
      </c>
      <c r="K1713" t="s">
        <v>546</v>
      </c>
      <c r="L1713" s="4">
        <v>640</v>
      </c>
      <c r="M1713" t="s">
        <v>1227</v>
      </c>
      <c r="N1713" t="s">
        <v>46</v>
      </c>
      <c r="O1713" s="4">
        <v>10</v>
      </c>
      <c r="P1713">
        <v>0</v>
      </c>
      <c r="Q1713" s="4">
        <v>10</v>
      </c>
      <c r="R1713" s="12">
        <f t="shared" si="26"/>
        <v>6400</v>
      </c>
      <c r="T1713" t="s">
        <v>263</v>
      </c>
      <c r="U1713" t="s">
        <v>1223</v>
      </c>
      <c r="V1713" s="4">
        <v>640</v>
      </c>
      <c r="W1713">
        <v>0</v>
      </c>
    </row>
    <row r="1714" spans="1:23" hidden="1" x14ac:dyDescent="0.25">
      <c r="A1714" s="2">
        <v>45982.341122685182</v>
      </c>
      <c r="B1714">
        <v>416</v>
      </c>
      <c r="C1714" t="s">
        <v>1221</v>
      </c>
      <c r="D1714" s="3">
        <v>45982</v>
      </c>
      <c r="E1714" s="3">
        <v>46295</v>
      </c>
      <c r="F1714" t="s">
        <v>66</v>
      </c>
      <c r="H1714" t="s">
        <v>22</v>
      </c>
      <c r="I1714" t="s">
        <v>1169</v>
      </c>
      <c r="K1714" t="s">
        <v>546</v>
      </c>
      <c r="L1714" s="4">
        <v>800</v>
      </c>
      <c r="M1714" t="s">
        <v>1227</v>
      </c>
      <c r="N1714" t="s">
        <v>46</v>
      </c>
      <c r="O1714" s="4">
        <v>150</v>
      </c>
      <c r="P1714">
        <v>0</v>
      </c>
      <c r="Q1714" s="4">
        <v>150</v>
      </c>
      <c r="R1714" s="12">
        <f t="shared" si="26"/>
        <v>120000</v>
      </c>
      <c r="T1714" t="s">
        <v>263</v>
      </c>
      <c r="U1714" t="s">
        <v>1223</v>
      </c>
      <c r="V1714" s="4">
        <v>800</v>
      </c>
      <c r="W1714">
        <v>0</v>
      </c>
    </row>
    <row r="1715" spans="1:23" hidden="1" x14ac:dyDescent="0.25">
      <c r="A1715" s="2">
        <v>45995.672291666669</v>
      </c>
      <c r="B1715">
        <v>442</v>
      </c>
      <c r="C1715" t="s">
        <v>1221</v>
      </c>
      <c r="D1715" s="3">
        <v>45995</v>
      </c>
      <c r="E1715" s="3">
        <v>46295</v>
      </c>
      <c r="F1715" t="s">
        <v>66</v>
      </c>
      <c r="H1715" t="s">
        <v>22</v>
      </c>
      <c r="I1715" t="s">
        <v>35</v>
      </c>
      <c r="J1715" t="s">
        <v>1490</v>
      </c>
      <c r="K1715" t="s">
        <v>24</v>
      </c>
      <c r="L1715" s="4">
        <v>65</v>
      </c>
      <c r="M1715" t="s">
        <v>1229</v>
      </c>
      <c r="N1715" t="s">
        <v>46</v>
      </c>
      <c r="O1715" s="4">
        <v>150</v>
      </c>
      <c r="P1715">
        <v>0</v>
      </c>
      <c r="Q1715" s="4">
        <v>150</v>
      </c>
      <c r="R1715" s="12">
        <f t="shared" si="26"/>
        <v>9750</v>
      </c>
      <c r="T1715" t="s">
        <v>263</v>
      </c>
      <c r="U1715" t="s">
        <v>1223</v>
      </c>
      <c r="V1715" s="4">
        <v>65</v>
      </c>
      <c r="W1715">
        <v>0</v>
      </c>
    </row>
    <row r="1716" spans="1:23" hidden="1" x14ac:dyDescent="0.25">
      <c r="A1716" s="2">
        <v>45941.323506944442</v>
      </c>
      <c r="B1716">
        <v>4145</v>
      </c>
      <c r="C1716" t="s">
        <v>1230</v>
      </c>
      <c r="D1716" s="3">
        <v>45941</v>
      </c>
      <c r="E1716" s="3">
        <v>46142</v>
      </c>
      <c r="F1716" t="s">
        <v>143</v>
      </c>
      <c r="G1716" t="s">
        <v>1493</v>
      </c>
      <c r="H1716" t="s">
        <v>22</v>
      </c>
      <c r="I1716" t="s">
        <v>44</v>
      </c>
      <c r="J1716" t="s">
        <v>1491</v>
      </c>
      <c r="K1716" t="s">
        <v>31</v>
      </c>
      <c r="L1716" s="4">
        <v>390</v>
      </c>
      <c r="M1716" t="s">
        <v>1231</v>
      </c>
      <c r="N1716" t="s">
        <v>26</v>
      </c>
      <c r="O1716" s="4">
        <v>15</v>
      </c>
      <c r="P1716">
        <v>0</v>
      </c>
      <c r="Q1716" s="4">
        <v>15</v>
      </c>
      <c r="R1716" s="12">
        <f t="shared" si="26"/>
        <v>5850</v>
      </c>
      <c r="T1716" t="s">
        <v>117</v>
      </c>
      <c r="U1716" t="s">
        <v>1232</v>
      </c>
      <c r="V1716" s="4">
        <v>390</v>
      </c>
      <c r="W1716">
        <v>0</v>
      </c>
    </row>
    <row r="1717" spans="1:23" hidden="1" x14ac:dyDescent="0.25">
      <c r="A1717" s="2">
        <v>45771.621423611112</v>
      </c>
      <c r="B1717">
        <v>201</v>
      </c>
      <c r="C1717" t="s">
        <v>1233</v>
      </c>
      <c r="D1717" s="3">
        <v>45771</v>
      </c>
      <c r="E1717" s="3">
        <v>46142</v>
      </c>
      <c r="F1717" t="s">
        <v>52</v>
      </c>
      <c r="H1717" t="s">
        <v>22</v>
      </c>
      <c r="I1717" t="s">
        <v>37</v>
      </c>
      <c r="J1717" t="s">
        <v>1490</v>
      </c>
      <c r="K1717" t="s">
        <v>31</v>
      </c>
      <c r="L1717" s="4">
        <v>70</v>
      </c>
      <c r="M1717" t="s">
        <v>1234</v>
      </c>
      <c r="N1717" t="s">
        <v>26</v>
      </c>
      <c r="O1717" s="4">
        <v>30</v>
      </c>
      <c r="P1717">
        <v>0</v>
      </c>
      <c r="Q1717" s="4">
        <v>30</v>
      </c>
      <c r="R1717" s="12">
        <f t="shared" si="26"/>
        <v>2100</v>
      </c>
      <c r="T1717" t="s">
        <v>55</v>
      </c>
      <c r="U1717" t="s">
        <v>1235</v>
      </c>
      <c r="V1717" s="4">
        <v>70</v>
      </c>
      <c r="W1717">
        <v>0</v>
      </c>
    </row>
    <row r="1718" spans="1:23" hidden="1" x14ac:dyDescent="0.25">
      <c r="A1718" s="2">
        <v>45771.621423611112</v>
      </c>
      <c r="B1718">
        <v>201</v>
      </c>
      <c r="C1718" t="s">
        <v>1233</v>
      </c>
      <c r="D1718" s="3">
        <v>45771</v>
      </c>
      <c r="E1718" s="3">
        <v>46142</v>
      </c>
      <c r="F1718" t="s">
        <v>52</v>
      </c>
      <c r="H1718" t="s">
        <v>22</v>
      </c>
      <c r="I1718" t="s">
        <v>355</v>
      </c>
      <c r="K1718" t="s">
        <v>31</v>
      </c>
      <c r="L1718" s="4">
        <v>175</v>
      </c>
      <c r="M1718" t="s">
        <v>1234</v>
      </c>
      <c r="N1718" t="s">
        <v>26</v>
      </c>
      <c r="O1718" s="4">
        <v>30</v>
      </c>
      <c r="P1718">
        <v>0</v>
      </c>
      <c r="Q1718" s="4">
        <v>30</v>
      </c>
      <c r="R1718" s="12">
        <f t="shared" si="26"/>
        <v>5250</v>
      </c>
      <c r="T1718" t="s">
        <v>55</v>
      </c>
      <c r="U1718" t="s">
        <v>1235</v>
      </c>
      <c r="V1718" s="4">
        <v>175</v>
      </c>
      <c r="W1718">
        <v>0</v>
      </c>
    </row>
    <row r="1719" spans="1:23" hidden="1" x14ac:dyDescent="0.25">
      <c r="A1719" s="2">
        <v>45771.621423611112</v>
      </c>
      <c r="B1719">
        <v>201</v>
      </c>
      <c r="C1719" t="s">
        <v>1233</v>
      </c>
      <c r="D1719" s="3">
        <v>45771</v>
      </c>
      <c r="E1719" s="3">
        <v>46142</v>
      </c>
      <c r="F1719" t="s">
        <v>52</v>
      </c>
      <c r="H1719" t="s">
        <v>22</v>
      </c>
      <c r="I1719" t="s">
        <v>356</v>
      </c>
      <c r="K1719" t="s">
        <v>24</v>
      </c>
      <c r="L1719" s="4">
        <v>16</v>
      </c>
      <c r="M1719" t="s">
        <v>1234</v>
      </c>
      <c r="N1719" t="s">
        <v>26</v>
      </c>
      <c r="O1719" s="4">
        <v>200</v>
      </c>
      <c r="P1719">
        <v>0</v>
      </c>
      <c r="Q1719" s="4">
        <v>200</v>
      </c>
      <c r="R1719" s="12">
        <f t="shared" si="26"/>
        <v>3200</v>
      </c>
      <c r="T1719" t="s">
        <v>55</v>
      </c>
      <c r="U1719" t="s">
        <v>1235</v>
      </c>
      <c r="V1719" s="4">
        <v>16</v>
      </c>
      <c r="W1719">
        <v>0</v>
      </c>
    </row>
    <row r="1720" spans="1:23" hidden="1" x14ac:dyDescent="0.25">
      <c r="A1720" s="2">
        <v>45771.621423611112</v>
      </c>
      <c r="B1720">
        <v>201</v>
      </c>
      <c r="C1720" t="s">
        <v>1233</v>
      </c>
      <c r="D1720" s="3">
        <v>45771</v>
      </c>
      <c r="E1720" s="3">
        <v>46142</v>
      </c>
      <c r="F1720" t="s">
        <v>52</v>
      </c>
      <c r="H1720" t="s">
        <v>22</v>
      </c>
      <c r="I1720" t="s">
        <v>279</v>
      </c>
      <c r="K1720" t="s">
        <v>31</v>
      </c>
      <c r="L1720" s="4">
        <v>235</v>
      </c>
      <c r="M1720" t="s">
        <v>1234</v>
      </c>
      <c r="N1720" t="s">
        <v>26</v>
      </c>
      <c r="O1720" s="4">
        <v>40</v>
      </c>
      <c r="P1720">
        <v>0</v>
      </c>
      <c r="Q1720" s="4">
        <v>40</v>
      </c>
      <c r="R1720" s="12">
        <f t="shared" si="26"/>
        <v>9400</v>
      </c>
      <c r="T1720" t="s">
        <v>55</v>
      </c>
      <c r="U1720" t="s">
        <v>1235</v>
      </c>
      <c r="V1720" s="4">
        <v>235</v>
      </c>
      <c r="W1720">
        <v>0</v>
      </c>
    </row>
    <row r="1721" spans="1:23" hidden="1" x14ac:dyDescent="0.25">
      <c r="A1721" s="2">
        <v>45771.621423611112</v>
      </c>
      <c r="B1721">
        <v>201</v>
      </c>
      <c r="C1721" t="s">
        <v>1233</v>
      </c>
      <c r="D1721" s="3">
        <v>45771</v>
      </c>
      <c r="E1721" s="3">
        <v>46142</v>
      </c>
      <c r="F1721" t="s">
        <v>52</v>
      </c>
      <c r="H1721" t="s">
        <v>22</v>
      </c>
      <c r="I1721" t="s">
        <v>863</v>
      </c>
      <c r="K1721" t="s">
        <v>31</v>
      </c>
      <c r="L1721" s="4">
        <v>60</v>
      </c>
      <c r="M1721" t="s">
        <v>1234</v>
      </c>
      <c r="N1721" t="s">
        <v>26</v>
      </c>
      <c r="O1721" s="4">
        <v>60</v>
      </c>
      <c r="P1721">
        <v>0</v>
      </c>
      <c r="Q1721" s="4">
        <v>60</v>
      </c>
      <c r="R1721" s="12">
        <f t="shared" si="26"/>
        <v>3600</v>
      </c>
      <c r="T1721" t="s">
        <v>55</v>
      </c>
      <c r="U1721" t="s">
        <v>1235</v>
      </c>
      <c r="V1721" s="4">
        <v>60</v>
      </c>
      <c r="W1721">
        <v>0</v>
      </c>
    </row>
    <row r="1722" spans="1:23" hidden="1" x14ac:dyDescent="0.25">
      <c r="A1722" s="2">
        <v>45771.621423611112</v>
      </c>
      <c r="B1722">
        <v>201</v>
      </c>
      <c r="C1722" t="s">
        <v>1233</v>
      </c>
      <c r="D1722" s="3">
        <v>45771</v>
      </c>
      <c r="E1722" s="3">
        <v>46142</v>
      </c>
      <c r="F1722" t="s">
        <v>52</v>
      </c>
      <c r="H1722" t="s">
        <v>22</v>
      </c>
      <c r="I1722" t="s">
        <v>280</v>
      </c>
      <c r="K1722" t="s">
        <v>24</v>
      </c>
      <c r="L1722" s="4">
        <v>22.5</v>
      </c>
      <c r="M1722" t="s">
        <v>1234</v>
      </c>
      <c r="N1722" t="s">
        <v>26</v>
      </c>
      <c r="O1722" s="4">
        <v>200</v>
      </c>
      <c r="P1722">
        <v>0</v>
      </c>
      <c r="Q1722" s="4">
        <v>200</v>
      </c>
      <c r="R1722" s="12">
        <f t="shared" si="26"/>
        <v>4500</v>
      </c>
      <c r="T1722" t="s">
        <v>55</v>
      </c>
      <c r="U1722" t="s">
        <v>1235</v>
      </c>
      <c r="V1722" s="4">
        <v>22.5</v>
      </c>
      <c r="W1722">
        <v>0</v>
      </c>
    </row>
    <row r="1723" spans="1:23" hidden="1" x14ac:dyDescent="0.25">
      <c r="A1723" s="2">
        <v>45771.621423611112</v>
      </c>
      <c r="B1723">
        <v>201</v>
      </c>
      <c r="C1723" t="s">
        <v>1233</v>
      </c>
      <c r="D1723" s="3">
        <v>45771</v>
      </c>
      <c r="E1723" s="3">
        <v>46142</v>
      </c>
      <c r="F1723" t="s">
        <v>52</v>
      </c>
      <c r="H1723" t="s">
        <v>22</v>
      </c>
      <c r="I1723" t="s">
        <v>276</v>
      </c>
      <c r="K1723" t="s">
        <v>31</v>
      </c>
      <c r="L1723" s="4">
        <v>22.5</v>
      </c>
      <c r="M1723" t="s">
        <v>1234</v>
      </c>
      <c r="N1723" t="s">
        <v>26</v>
      </c>
      <c r="O1723" s="4">
        <v>300</v>
      </c>
      <c r="P1723">
        <v>0</v>
      </c>
      <c r="Q1723" s="4">
        <v>300</v>
      </c>
      <c r="R1723" s="12">
        <f t="shared" si="26"/>
        <v>6750</v>
      </c>
      <c r="T1723" t="s">
        <v>55</v>
      </c>
      <c r="U1723" t="s">
        <v>1235</v>
      </c>
      <c r="V1723" s="4">
        <v>22.5</v>
      </c>
      <c r="W1723">
        <v>0</v>
      </c>
    </row>
    <row r="1724" spans="1:23" hidden="1" x14ac:dyDescent="0.25">
      <c r="A1724" s="2">
        <v>45771.621423611112</v>
      </c>
      <c r="B1724">
        <v>201</v>
      </c>
      <c r="C1724" t="s">
        <v>1233</v>
      </c>
      <c r="D1724" s="3">
        <v>45771</v>
      </c>
      <c r="E1724" s="3">
        <v>46142</v>
      </c>
      <c r="F1724" t="s">
        <v>52</v>
      </c>
      <c r="H1724" t="s">
        <v>22</v>
      </c>
      <c r="I1724" t="s">
        <v>89</v>
      </c>
      <c r="K1724" t="s">
        <v>31</v>
      </c>
      <c r="L1724" s="4">
        <v>19.5</v>
      </c>
      <c r="M1724" t="s">
        <v>1234</v>
      </c>
      <c r="N1724" t="s">
        <v>26</v>
      </c>
      <c r="O1724" s="4">
        <v>300</v>
      </c>
      <c r="P1724">
        <v>0</v>
      </c>
      <c r="Q1724" s="4">
        <v>300</v>
      </c>
      <c r="R1724" s="12">
        <f t="shared" si="26"/>
        <v>5850</v>
      </c>
      <c r="T1724" t="s">
        <v>55</v>
      </c>
      <c r="U1724" t="s">
        <v>1235</v>
      </c>
      <c r="V1724" s="4">
        <v>19.5</v>
      </c>
      <c r="W1724">
        <v>0</v>
      </c>
    </row>
    <row r="1725" spans="1:23" hidden="1" x14ac:dyDescent="0.25">
      <c r="A1725" s="2">
        <v>45771.621423611112</v>
      </c>
      <c r="B1725">
        <v>201</v>
      </c>
      <c r="C1725" t="s">
        <v>1233</v>
      </c>
      <c r="D1725" s="3">
        <v>45771</v>
      </c>
      <c r="E1725" s="3">
        <v>46142</v>
      </c>
      <c r="F1725" t="s">
        <v>52</v>
      </c>
      <c r="H1725" t="s">
        <v>22</v>
      </c>
      <c r="I1725" t="s">
        <v>193</v>
      </c>
      <c r="K1725" t="s">
        <v>31</v>
      </c>
      <c r="L1725" s="4">
        <v>32</v>
      </c>
      <c r="M1725" t="s">
        <v>1234</v>
      </c>
      <c r="N1725" t="s">
        <v>26</v>
      </c>
      <c r="O1725" s="4">
        <v>160</v>
      </c>
      <c r="P1725">
        <v>0</v>
      </c>
      <c r="Q1725" s="4">
        <v>160</v>
      </c>
      <c r="R1725" s="12">
        <f t="shared" si="26"/>
        <v>5120</v>
      </c>
      <c r="T1725" t="s">
        <v>55</v>
      </c>
      <c r="U1725" t="s">
        <v>1235</v>
      </c>
      <c r="V1725" s="4">
        <v>32</v>
      </c>
      <c r="W1725">
        <v>0</v>
      </c>
    </row>
    <row r="1726" spans="1:23" hidden="1" x14ac:dyDescent="0.25">
      <c r="A1726" s="2">
        <v>45771.621423611112</v>
      </c>
      <c r="B1726">
        <v>201</v>
      </c>
      <c r="C1726" t="s">
        <v>1233</v>
      </c>
      <c r="D1726" s="3">
        <v>45771</v>
      </c>
      <c r="E1726" s="3">
        <v>46142</v>
      </c>
      <c r="F1726" t="s">
        <v>52</v>
      </c>
      <c r="H1726" t="s">
        <v>22</v>
      </c>
      <c r="I1726" t="s">
        <v>177</v>
      </c>
      <c r="J1726" t="s">
        <v>1490</v>
      </c>
      <c r="K1726" t="s">
        <v>24</v>
      </c>
      <c r="L1726" s="4">
        <v>20</v>
      </c>
      <c r="M1726" t="s">
        <v>1234</v>
      </c>
      <c r="N1726" t="s">
        <v>26</v>
      </c>
      <c r="O1726" s="4">
        <v>100</v>
      </c>
      <c r="P1726">
        <v>0</v>
      </c>
      <c r="Q1726" s="4">
        <v>100</v>
      </c>
      <c r="R1726" s="12">
        <f t="shared" si="26"/>
        <v>2000</v>
      </c>
      <c r="T1726" t="s">
        <v>55</v>
      </c>
      <c r="U1726" t="s">
        <v>1235</v>
      </c>
      <c r="V1726" s="4">
        <v>20</v>
      </c>
      <c r="W1726">
        <v>0</v>
      </c>
    </row>
    <row r="1727" spans="1:23" hidden="1" x14ac:dyDescent="0.25">
      <c r="A1727" s="2">
        <v>45925.692928240744</v>
      </c>
      <c r="B1727">
        <v>4093</v>
      </c>
      <c r="C1727" t="s">
        <v>1236</v>
      </c>
      <c r="D1727" s="3">
        <v>45925</v>
      </c>
      <c r="E1727" s="3">
        <v>46111</v>
      </c>
      <c r="F1727" t="s">
        <v>103</v>
      </c>
      <c r="H1727" t="s">
        <v>22</v>
      </c>
      <c r="I1727" t="s">
        <v>35</v>
      </c>
      <c r="J1727" t="s">
        <v>1490</v>
      </c>
      <c r="K1727" t="s">
        <v>24</v>
      </c>
      <c r="L1727" s="4">
        <v>69</v>
      </c>
      <c r="M1727" t="s">
        <v>1237</v>
      </c>
      <c r="N1727" t="s">
        <v>26</v>
      </c>
      <c r="O1727" s="4">
        <v>10</v>
      </c>
      <c r="P1727">
        <v>0</v>
      </c>
      <c r="Q1727" s="4">
        <v>10</v>
      </c>
      <c r="R1727" s="12">
        <f t="shared" si="26"/>
        <v>690</v>
      </c>
      <c r="T1727" t="s">
        <v>151</v>
      </c>
      <c r="U1727" t="s">
        <v>1238</v>
      </c>
      <c r="V1727" s="4">
        <v>69</v>
      </c>
      <c r="W1727">
        <v>0</v>
      </c>
    </row>
    <row r="1728" spans="1:23" hidden="1" x14ac:dyDescent="0.25">
      <c r="A1728" s="2">
        <v>45946.584594907406</v>
      </c>
      <c r="B1728">
        <v>4172</v>
      </c>
      <c r="C1728" t="s">
        <v>1236</v>
      </c>
      <c r="D1728" s="3">
        <v>45946</v>
      </c>
      <c r="E1728" s="3">
        <v>46142</v>
      </c>
      <c r="F1728" t="s">
        <v>103</v>
      </c>
      <c r="H1728" t="s">
        <v>22</v>
      </c>
      <c r="I1728" t="s">
        <v>672</v>
      </c>
      <c r="K1728" t="s">
        <v>24</v>
      </c>
      <c r="L1728" s="4">
        <v>95</v>
      </c>
      <c r="M1728" t="s">
        <v>1239</v>
      </c>
      <c r="N1728" t="s">
        <v>26</v>
      </c>
      <c r="O1728" s="4">
        <v>5</v>
      </c>
      <c r="P1728">
        <v>0</v>
      </c>
      <c r="Q1728" s="4">
        <v>5</v>
      </c>
      <c r="R1728" s="12">
        <f t="shared" si="26"/>
        <v>475</v>
      </c>
      <c r="T1728" t="s">
        <v>151</v>
      </c>
      <c r="U1728" t="s">
        <v>1238</v>
      </c>
      <c r="V1728" s="4">
        <v>95</v>
      </c>
      <c r="W1728">
        <v>0</v>
      </c>
    </row>
    <row r="1729" spans="1:23" hidden="1" x14ac:dyDescent="0.25">
      <c r="A1729" s="2">
        <v>46035.453576388885</v>
      </c>
      <c r="B1729">
        <v>4436</v>
      </c>
      <c r="C1729" t="s">
        <v>1236</v>
      </c>
      <c r="D1729" s="3">
        <v>46035</v>
      </c>
      <c r="E1729" s="3">
        <v>46295</v>
      </c>
      <c r="F1729" t="s">
        <v>103</v>
      </c>
      <c r="H1729" t="s">
        <v>22</v>
      </c>
      <c r="I1729" t="s">
        <v>42</v>
      </c>
      <c r="J1729" t="s">
        <v>1490</v>
      </c>
      <c r="K1729" t="s">
        <v>24</v>
      </c>
      <c r="L1729" s="4">
        <v>230</v>
      </c>
      <c r="M1729" t="s">
        <v>1240</v>
      </c>
      <c r="N1729" t="s">
        <v>46</v>
      </c>
      <c r="O1729" s="4">
        <v>10</v>
      </c>
      <c r="P1729">
        <v>0</v>
      </c>
      <c r="Q1729" s="4">
        <v>10</v>
      </c>
      <c r="R1729" s="12">
        <f t="shared" si="26"/>
        <v>2300</v>
      </c>
      <c r="T1729" t="s">
        <v>151</v>
      </c>
      <c r="U1729" t="s">
        <v>1238</v>
      </c>
      <c r="V1729" s="4">
        <v>230</v>
      </c>
      <c r="W1729">
        <v>0</v>
      </c>
    </row>
    <row r="1730" spans="1:23" hidden="1" x14ac:dyDescent="0.25">
      <c r="A1730" s="2">
        <v>46035.453576388885</v>
      </c>
      <c r="B1730">
        <v>4436</v>
      </c>
      <c r="C1730" t="s">
        <v>1236</v>
      </c>
      <c r="D1730" s="3">
        <v>46035</v>
      </c>
      <c r="E1730" s="3">
        <v>46295</v>
      </c>
      <c r="F1730" t="s">
        <v>103</v>
      </c>
      <c r="G1730" t="s">
        <v>1493</v>
      </c>
      <c r="H1730" t="s">
        <v>22</v>
      </c>
      <c r="I1730" t="s">
        <v>63</v>
      </c>
      <c r="J1730" t="s">
        <v>1491</v>
      </c>
      <c r="K1730" t="s">
        <v>31</v>
      </c>
      <c r="L1730" s="4">
        <v>195</v>
      </c>
      <c r="M1730" t="s">
        <v>1240</v>
      </c>
      <c r="N1730" t="s">
        <v>46</v>
      </c>
      <c r="O1730" s="4">
        <v>6</v>
      </c>
      <c r="P1730">
        <v>0</v>
      </c>
      <c r="Q1730" s="4">
        <v>6</v>
      </c>
      <c r="R1730" s="12">
        <f t="shared" si="26"/>
        <v>1170</v>
      </c>
      <c r="T1730" t="s">
        <v>151</v>
      </c>
      <c r="U1730" t="s">
        <v>1238</v>
      </c>
      <c r="V1730" s="4">
        <v>195</v>
      </c>
      <c r="W1730">
        <v>0</v>
      </c>
    </row>
    <row r="1731" spans="1:23" hidden="1" x14ac:dyDescent="0.25">
      <c r="A1731" s="2">
        <v>46035.453576388885</v>
      </c>
      <c r="B1731">
        <v>4436</v>
      </c>
      <c r="C1731" t="s">
        <v>1236</v>
      </c>
      <c r="D1731" s="3">
        <v>46035</v>
      </c>
      <c r="E1731" s="3">
        <v>46295</v>
      </c>
      <c r="F1731" t="s">
        <v>103</v>
      </c>
      <c r="G1731" t="s">
        <v>1493</v>
      </c>
      <c r="H1731" t="s">
        <v>22</v>
      </c>
      <c r="I1731" t="s">
        <v>40</v>
      </c>
      <c r="J1731" t="s">
        <v>1491</v>
      </c>
      <c r="K1731" t="s">
        <v>24</v>
      </c>
      <c r="L1731" s="4">
        <v>340</v>
      </c>
      <c r="M1731" t="s">
        <v>1240</v>
      </c>
      <c r="N1731" t="s">
        <v>46</v>
      </c>
      <c r="O1731" s="4">
        <v>2</v>
      </c>
      <c r="P1731">
        <v>0</v>
      </c>
      <c r="Q1731" s="4">
        <v>2</v>
      </c>
      <c r="R1731" s="12">
        <f t="shared" ref="R1731:R1794" si="27">Q1731*L1731</f>
        <v>680</v>
      </c>
      <c r="T1731" t="s">
        <v>151</v>
      </c>
      <c r="U1731" t="s">
        <v>1238</v>
      </c>
      <c r="V1731" s="4">
        <v>340</v>
      </c>
      <c r="W1731">
        <v>0</v>
      </c>
    </row>
    <row r="1732" spans="1:23" hidden="1" x14ac:dyDescent="0.25">
      <c r="A1732" s="2">
        <v>46035.453576388885</v>
      </c>
      <c r="B1732">
        <v>4436</v>
      </c>
      <c r="C1732" t="s">
        <v>1236</v>
      </c>
      <c r="D1732" s="3">
        <v>46035</v>
      </c>
      <c r="E1732" s="3">
        <v>46295</v>
      </c>
      <c r="F1732" t="s">
        <v>103</v>
      </c>
      <c r="G1732" t="s">
        <v>1493</v>
      </c>
      <c r="H1732" t="s">
        <v>22</v>
      </c>
      <c r="I1732" t="s">
        <v>38</v>
      </c>
      <c r="J1732" t="s">
        <v>1491</v>
      </c>
      <c r="K1732" t="s">
        <v>24</v>
      </c>
      <c r="L1732" s="4">
        <v>52</v>
      </c>
      <c r="M1732" t="s">
        <v>1240</v>
      </c>
      <c r="N1732" t="s">
        <v>46</v>
      </c>
      <c r="O1732" s="4">
        <v>9</v>
      </c>
      <c r="P1732">
        <v>0</v>
      </c>
      <c r="Q1732" s="4">
        <v>9</v>
      </c>
      <c r="R1732" s="12">
        <f t="shared" si="27"/>
        <v>468</v>
      </c>
      <c r="T1732" t="s">
        <v>151</v>
      </c>
      <c r="U1732" t="s">
        <v>1238</v>
      </c>
      <c r="V1732" s="4">
        <v>52</v>
      </c>
      <c r="W1732">
        <v>0</v>
      </c>
    </row>
    <row r="1733" spans="1:23" hidden="1" x14ac:dyDescent="0.25">
      <c r="A1733" s="2">
        <v>46035.453576388885</v>
      </c>
      <c r="B1733">
        <v>4436</v>
      </c>
      <c r="C1733" t="s">
        <v>1236</v>
      </c>
      <c r="D1733" s="3">
        <v>46035</v>
      </c>
      <c r="E1733" s="3">
        <v>46295</v>
      </c>
      <c r="F1733" t="s">
        <v>103</v>
      </c>
      <c r="G1733" t="s">
        <v>1493</v>
      </c>
      <c r="H1733" t="s">
        <v>22</v>
      </c>
      <c r="I1733" t="s">
        <v>41</v>
      </c>
      <c r="J1733" t="s">
        <v>1491</v>
      </c>
      <c r="K1733" t="s">
        <v>24</v>
      </c>
      <c r="L1733" s="4">
        <v>340</v>
      </c>
      <c r="M1733" t="s">
        <v>1240</v>
      </c>
      <c r="N1733" t="s">
        <v>46</v>
      </c>
      <c r="O1733" s="4">
        <v>2</v>
      </c>
      <c r="P1733">
        <v>0</v>
      </c>
      <c r="Q1733" s="4">
        <v>2</v>
      </c>
      <c r="R1733" s="12">
        <f t="shared" si="27"/>
        <v>680</v>
      </c>
      <c r="T1733" t="s">
        <v>151</v>
      </c>
      <c r="U1733" t="s">
        <v>1238</v>
      </c>
      <c r="V1733" s="4">
        <v>340</v>
      </c>
      <c r="W1733">
        <v>0</v>
      </c>
    </row>
    <row r="1734" spans="1:23" hidden="1" x14ac:dyDescent="0.25">
      <c r="A1734" s="2">
        <v>46057.579247685186</v>
      </c>
      <c r="B1734">
        <v>4525</v>
      </c>
      <c r="C1734" t="s">
        <v>1236</v>
      </c>
      <c r="D1734" s="3">
        <v>46057</v>
      </c>
      <c r="E1734" s="3">
        <v>46264</v>
      </c>
      <c r="F1734" t="s">
        <v>103</v>
      </c>
      <c r="H1734" t="s">
        <v>22</v>
      </c>
      <c r="I1734" t="s">
        <v>672</v>
      </c>
      <c r="K1734" t="s">
        <v>24</v>
      </c>
      <c r="L1734" s="4">
        <v>95</v>
      </c>
      <c r="M1734" t="s">
        <v>1241</v>
      </c>
      <c r="N1734" t="s">
        <v>46</v>
      </c>
      <c r="O1734" s="4">
        <v>5</v>
      </c>
      <c r="P1734">
        <v>0</v>
      </c>
      <c r="Q1734" s="4">
        <v>5</v>
      </c>
      <c r="R1734" s="12">
        <f t="shared" si="27"/>
        <v>475</v>
      </c>
      <c r="T1734" t="s">
        <v>151</v>
      </c>
      <c r="U1734" t="s">
        <v>1238</v>
      </c>
      <c r="V1734" s="4">
        <v>95</v>
      </c>
      <c r="W1734">
        <v>0</v>
      </c>
    </row>
    <row r="1735" spans="1:23" hidden="1" x14ac:dyDescent="0.25">
      <c r="A1735" s="2">
        <v>46070.459745370368</v>
      </c>
      <c r="B1735">
        <v>4576</v>
      </c>
      <c r="C1735" t="s">
        <v>1236</v>
      </c>
      <c r="D1735" s="3">
        <v>46070</v>
      </c>
      <c r="E1735" s="3">
        <v>46295</v>
      </c>
      <c r="F1735" t="s">
        <v>103</v>
      </c>
      <c r="H1735" t="s">
        <v>22</v>
      </c>
      <c r="I1735" t="s">
        <v>23</v>
      </c>
      <c r="J1735" t="s">
        <v>1490</v>
      </c>
      <c r="K1735" t="s">
        <v>24</v>
      </c>
      <c r="L1735" s="4">
        <v>18</v>
      </c>
      <c r="M1735" t="s">
        <v>1242</v>
      </c>
      <c r="N1735" t="s">
        <v>46</v>
      </c>
      <c r="O1735" s="4">
        <v>100</v>
      </c>
      <c r="P1735">
        <v>0</v>
      </c>
      <c r="Q1735" s="4">
        <v>100</v>
      </c>
      <c r="R1735" s="12">
        <f t="shared" si="27"/>
        <v>1800</v>
      </c>
      <c r="T1735" t="s">
        <v>151</v>
      </c>
      <c r="U1735" t="s">
        <v>1238</v>
      </c>
      <c r="V1735" s="4">
        <v>18</v>
      </c>
      <c r="W1735">
        <v>0</v>
      </c>
    </row>
    <row r="1736" spans="1:23" hidden="1" x14ac:dyDescent="0.25">
      <c r="A1736" s="2">
        <v>46080.35670138889</v>
      </c>
      <c r="B1736">
        <v>4613</v>
      </c>
      <c r="C1736" t="s">
        <v>1236</v>
      </c>
      <c r="D1736" s="3">
        <v>46079</v>
      </c>
      <c r="E1736" s="3">
        <v>46264</v>
      </c>
      <c r="F1736" t="s">
        <v>103</v>
      </c>
      <c r="H1736" t="s">
        <v>22</v>
      </c>
      <c r="I1736" t="s">
        <v>30</v>
      </c>
      <c r="J1736" t="s">
        <v>1490</v>
      </c>
      <c r="K1736" t="s">
        <v>31</v>
      </c>
      <c r="L1736" s="4">
        <v>22.5</v>
      </c>
      <c r="M1736" t="s">
        <v>1243</v>
      </c>
      <c r="N1736" t="s">
        <v>46</v>
      </c>
      <c r="O1736" s="4">
        <v>100</v>
      </c>
      <c r="P1736">
        <v>0</v>
      </c>
      <c r="Q1736" s="4">
        <v>100</v>
      </c>
      <c r="R1736" s="12">
        <f t="shared" si="27"/>
        <v>2250</v>
      </c>
      <c r="T1736" t="s">
        <v>151</v>
      </c>
      <c r="U1736" t="s">
        <v>1238</v>
      </c>
      <c r="V1736" s="4">
        <v>22.5</v>
      </c>
      <c r="W1736">
        <v>0</v>
      </c>
    </row>
    <row r="1737" spans="1:23" hidden="1" x14ac:dyDescent="0.25">
      <c r="A1737" s="2">
        <v>46080.35670138889</v>
      </c>
      <c r="B1737">
        <v>4613</v>
      </c>
      <c r="C1737" t="s">
        <v>1236</v>
      </c>
      <c r="D1737" s="3">
        <v>46079</v>
      </c>
      <c r="E1737" s="3">
        <v>46264</v>
      </c>
      <c r="F1737" t="s">
        <v>103</v>
      </c>
      <c r="H1737" t="s">
        <v>22</v>
      </c>
      <c r="I1737" t="s">
        <v>29</v>
      </c>
      <c r="J1737" t="s">
        <v>1490</v>
      </c>
      <c r="K1737" t="s">
        <v>24</v>
      </c>
      <c r="L1737" s="4">
        <v>155</v>
      </c>
      <c r="M1737" t="s">
        <v>1243</v>
      </c>
      <c r="N1737" t="s">
        <v>46</v>
      </c>
      <c r="O1737" s="4">
        <v>20</v>
      </c>
      <c r="P1737">
        <v>0</v>
      </c>
      <c r="Q1737" s="4">
        <v>20</v>
      </c>
      <c r="R1737" s="12">
        <f t="shared" si="27"/>
        <v>3100</v>
      </c>
      <c r="T1737" t="s">
        <v>151</v>
      </c>
      <c r="U1737" t="s">
        <v>1238</v>
      </c>
      <c r="V1737" s="4">
        <v>155</v>
      </c>
      <c r="W1737">
        <v>0</v>
      </c>
    </row>
    <row r="1738" spans="1:23" hidden="1" x14ac:dyDescent="0.25">
      <c r="A1738" s="2">
        <v>45919.454317129632</v>
      </c>
      <c r="B1738">
        <v>306</v>
      </c>
      <c r="C1738" t="s">
        <v>1244</v>
      </c>
      <c r="D1738" s="3">
        <v>45919</v>
      </c>
      <c r="E1738" s="3">
        <v>46142</v>
      </c>
      <c r="F1738" t="s">
        <v>66</v>
      </c>
      <c r="H1738" t="s">
        <v>22</v>
      </c>
      <c r="I1738" t="s">
        <v>207</v>
      </c>
      <c r="K1738" t="s">
        <v>24</v>
      </c>
      <c r="L1738" s="4">
        <v>380</v>
      </c>
      <c r="N1738" t="s">
        <v>26</v>
      </c>
      <c r="O1738" s="4">
        <v>80</v>
      </c>
      <c r="P1738">
        <v>0</v>
      </c>
      <c r="Q1738" s="4">
        <v>80</v>
      </c>
      <c r="R1738" s="12">
        <f t="shared" si="27"/>
        <v>30400</v>
      </c>
      <c r="T1738" t="s">
        <v>71</v>
      </c>
      <c r="U1738" t="s">
        <v>1245</v>
      </c>
      <c r="V1738" s="4">
        <v>380</v>
      </c>
      <c r="W1738">
        <v>0</v>
      </c>
    </row>
    <row r="1739" spans="1:23" x14ac:dyDescent="0.25">
      <c r="A1739" s="2">
        <v>45923.474942129629</v>
      </c>
      <c r="B1739">
        <v>4072</v>
      </c>
      <c r="C1739" t="s">
        <v>1246</v>
      </c>
      <c r="D1739" s="3">
        <v>45923</v>
      </c>
      <c r="E1739" s="3">
        <v>46142</v>
      </c>
      <c r="F1739" t="s">
        <v>98</v>
      </c>
      <c r="G1739" t="s">
        <v>1493</v>
      </c>
      <c r="H1739" t="s">
        <v>22</v>
      </c>
      <c r="I1739" t="s">
        <v>38</v>
      </c>
      <c r="J1739" t="s">
        <v>1491</v>
      </c>
      <c r="K1739" t="s">
        <v>24</v>
      </c>
      <c r="L1739" s="4">
        <v>46</v>
      </c>
      <c r="M1739" t="s">
        <v>1247</v>
      </c>
      <c r="N1739" t="s">
        <v>26</v>
      </c>
      <c r="O1739" s="4">
        <v>3</v>
      </c>
      <c r="P1739">
        <v>0</v>
      </c>
      <c r="Q1739" s="4">
        <v>3</v>
      </c>
      <c r="R1739" s="12">
        <f t="shared" si="27"/>
        <v>138</v>
      </c>
      <c r="T1739" t="s">
        <v>151</v>
      </c>
      <c r="U1739" t="s">
        <v>1248</v>
      </c>
      <c r="V1739" s="4">
        <v>46</v>
      </c>
      <c r="W1739">
        <v>0</v>
      </c>
    </row>
    <row r="1740" spans="1:23" x14ac:dyDescent="0.25">
      <c r="A1740" s="2">
        <v>45923.474942129629</v>
      </c>
      <c r="B1740">
        <v>4072</v>
      </c>
      <c r="C1740" t="s">
        <v>1246</v>
      </c>
      <c r="D1740" s="3">
        <v>45923</v>
      </c>
      <c r="E1740" s="3">
        <v>46142</v>
      </c>
      <c r="F1740" t="s">
        <v>98</v>
      </c>
      <c r="G1740" t="s">
        <v>1493</v>
      </c>
      <c r="H1740" t="s">
        <v>22</v>
      </c>
      <c r="I1740" t="s">
        <v>43</v>
      </c>
      <c r="J1740" t="s">
        <v>1491</v>
      </c>
      <c r="K1740" t="s">
        <v>24</v>
      </c>
      <c r="L1740" s="4">
        <v>46</v>
      </c>
      <c r="M1740" t="s">
        <v>1247</v>
      </c>
      <c r="N1740" t="s">
        <v>26</v>
      </c>
      <c r="O1740" s="4">
        <v>3</v>
      </c>
      <c r="P1740">
        <v>0</v>
      </c>
      <c r="Q1740" s="4">
        <v>3</v>
      </c>
      <c r="R1740" s="12">
        <f t="shared" si="27"/>
        <v>138</v>
      </c>
      <c r="T1740" t="s">
        <v>151</v>
      </c>
      <c r="U1740" t="s">
        <v>1248</v>
      </c>
      <c r="V1740" s="4">
        <v>46</v>
      </c>
      <c r="W1740">
        <v>0</v>
      </c>
    </row>
    <row r="1741" spans="1:23" x14ac:dyDescent="0.25">
      <c r="A1741" s="2">
        <v>45923.474942129629</v>
      </c>
      <c r="B1741">
        <v>4072</v>
      </c>
      <c r="C1741" t="s">
        <v>1246</v>
      </c>
      <c r="D1741" s="3">
        <v>45923</v>
      </c>
      <c r="E1741" s="3">
        <v>46142</v>
      </c>
      <c r="F1741" t="s">
        <v>98</v>
      </c>
      <c r="G1741" t="s">
        <v>1493</v>
      </c>
      <c r="H1741" t="s">
        <v>22</v>
      </c>
      <c r="I1741" t="s">
        <v>40</v>
      </c>
      <c r="J1741" t="s">
        <v>1491</v>
      </c>
      <c r="K1741" t="s">
        <v>24</v>
      </c>
      <c r="L1741" s="4">
        <v>341</v>
      </c>
      <c r="M1741" t="s">
        <v>1247</v>
      </c>
      <c r="N1741" t="s">
        <v>26</v>
      </c>
      <c r="O1741" s="4">
        <v>1</v>
      </c>
      <c r="P1741">
        <v>0</v>
      </c>
      <c r="Q1741" s="4">
        <v>1</v>
      </c>
      <c r="R1741" s="12">
        <f t="shared" si="27"/>
        <v>341</v>
      </c>
      <c r="T1741" t="s">
        <v>151</v>
      </c>
      <c r="U1741" t="s">
        <v>1248</v>
      </c>
      <c r="V1741" s="4">
        <v>341</v>
      </c>
      <c r="W1741">
        <v>0</v>
      </c>
    </row>
    <row r="1742" spans="1:23" x14ac:dyDescent="0.25">
      <c r="A1742" s="2">
        <v>45923.474942129629</v>
      </c>
      <c r="B1742">
        <v>4072</v>
      </c>
      <c r="C1742" t="s">
        <v>1246</v>
      </c>
      <c r="D1742" s="3">
        <v>45923</v>
      </c>
      <c r="E1742" s="3">
        <v>46142</v>
      </c>
      <c r="F1742" t="s">
        <v>98</v>
      </c>
      <c r="G1742" t="s">
        <v>1493</v>
      </c>
      <c r="H1742" t="s">
        <v>22</v>
      </c>
      <c r="I1742" t="s">
        <v>41</v>
      </c>
      <c r="J1742" t="s">
        <v>1491</v>
      </c>
      <c r="K1742" t="s">
        <v>24</v>
      </c>
      <c r="L1742" s="4">
        <v>341</v>
      </c>
      <c r="M1742" t="s">
        <v>1247</v>
      </c>
      <c r="N1742" t="s">
        <v>26</v>
      </c>
      <c r="O1742" s="4">
        <v>1</v>
      </c>
      <c r="P1742">
        <v>0</v>
      </c>
      <c r="Q1742" s="4">
        <v>1</v>
      </c>
      <c r="R1742" s="12">
        <f t="shared" si="27"/>
        <v>341</v>
      </c>
      <c r="T1742" t="s">
        <v>151</v>
      </c>
      <c r="U1742" t="s">
        <v>1248</v>
      </c>
      <c r="V1742" s="4">
        <v>341</v>
      </c>
      <c r="W1742">
        <v>0</v>
      </c>
    </row>
    <row r="1743" spans="1:23" hidden="1" x14ac:dyDescent="0.25">
      <c r="A1743" s="2">
        <v>46021.411921296298</v>
      </c>
      <c r="B1743">
        <v>473</v>
      </c>
      <c r="C1743" t="s">
        <v>1249</v>
      </c>
      <c r="D1743" s="3">
        <v>46021</v>
      </c>
      <c r="E1743" s="3">
        <v>46032</v>
      </c>
      <c r="F1743" t="s">
        <v>66</v>
      </c>
      <c r="H1743" t="s">
        <v>22</v>
      </c>
      <c r="I1743" t="s">
        <v>268</v>
      </c>
      <c r="K1743" t="s">
        <v>24</v>
      </c>
      <c r="L1743" s="4">
        <v>87</v>
      </c>
      <c r="M1743" t="s">
        <v>1250</v>
      </c>
      <c r="N1743" t="s">
        <v>26</v>
      </c>
      <c r="O1743" s="4">
        <v>100</v>
      </c>
      <c r="P1743">
        <v>0</v>
      </c>
      <c r="Q1743" s="4">
        <v>100</v>
      </c>
      <c r="R1743" s="12">
        <f t="shared" si="27"/>
        <v>8700</v>
      </c>
      <c r="T1743" t="s">
        <v>263</v>
      </c>
      <c r="U1743" t="s">
        <v>1251</v>
      </c>
      <c r="V1743" s="4">
        <v>87</v>
      </c>
      <c r="W1743">
        <v>0</v>
      </c>
    </row>
    <row r="1744" spans="1:23" hidden="1" x14ac:dyDescent="0.25">
      <c r="A1744" s="2">
        <v>45840.706493055557</v>
      </c>
      <c r="B1744">
        <v>3915</v>
      </c>
      <c r="C1744" t="s">
        <v>1252</v>
      </c>
      <c r="D1744" s="3">
        <v>45840</v>
      </c>
      <c r="E1744" s="3">
        <v>46111</v>
      </c>
      <c r="F1744" t="s">
        <v>21</v>
      </c>
      <c r="G1744" t="s">
        <v>1493</v>
      </c>
      <c r="H1744" t="s">
        <v>22</v>
      </c>
      <c r="I1744" t="s">
        <v>43</v>
      </c>
      <c r="J1744" t="s">
        <v>1491</v>
      </c>
      <c r="K1744" t="s">
        <v>24</v>
      </c>
      <c r="L1744" s="4">
        <v>39</v>
      </c>
      <c r="M1744" t="s">
        <v>1253</v>
      </c>
      <c r="N1744" t="s">
        <v>26</v>
      </c>
      <c r="O1744" s="4">
        <v>360</v>
      </c>
      <c r="P1744">
        <v>0</v>
      </c>
      <c r="Q1744" s="4">
        <v>360</v>
      </c>
      <c r="R1744" s="12">
        <f t="shared" si="27"/>
        <v>14040</v>
      </c>
      <c r="T1744" t="s">
        <v>230</v>
      </c>
      <c r="U1744" t="s">
        <v>1254</v>
      </c>
      <c r="V1744" s="4">
        <v>39</v>
      </c>
      <c r="W1744">
        <v>0</v>
      </c>
    </row>
    <row r="1745" spans="1:23" hidden="1" x14ac:dyDescent="0.25">
      <c r="A1745" s="2">
        <v>45840.706493055557</v>
      </c>
      <c r="B1745">
        <v>3915</v>
      </c>
      <c r="C1745" t="s">
        <v>1252</v>
      </c>
      <c r="D1745" s="3">
        <v>45840</v>
      </c>
      <c r="E1745" s="3">
        <v>46111</v>
      </c>
      <c r="F1745" t="s">
        <v>21</v>
      </c>
      <c r="G1745" t="s">
        <v>1493</v>
      </c>
      <c r="H1745" t="s">
        <v>22</v>
      </c>
      <c r="I1745" t="s">
        <v>41</v>
      </c>
      <c r="J1745" t="s">
        <v>1491</v>
      </c>
      <c r="K1745" t="s">
        <v>24</v>
      </c>
      <c r="L1745" s="4">
        <v>288</v>
      </c>
      <c r="M1745" t="s">
        <v>1253</v>
      </c>
      <c r="N1745" t="s">
        <v>26</v>
      </c>
      <c r="O1745" s="4">
        <v>120</v>
      </c>
      <c r="P1745">
        <v>0</v>
      </c>
      <c r="Q1745" s="4">
        <v>120</v>
      </c>
      <c r="R1745" s="12">
        <f t="shared" si="27"/>
        <v>34560</v>
      </c>
      <c r="T1745" t="s">
        <v>230</v>
      </c>
      <c r="U1745" t="s">
        <v>1254</v>
      </c>
      <c r="V1745" s="4">
        <v>288</v>
      </c>
      <c r="W1745">
        <v>0</v>
      </c>
    </row>
    <row r="1746" spans="1:23" hidden="1" x14ac:dyDescent="0.25">
      <c r="A1746" s="2">
        <v>45840.706493055557</v>
      </c>
      <c r="B1746">
        <v>3915</v>
      </c>
      <c r="C1746" t="s">
        <v>1252</v>
      </c>
      <c r="D1746" s="3">
        <v>45840</v>
      </c>
      <c r="E1746" s="3">
        <v>46111</v>
      </c>
      <c r="F1746" t="s">
        <v>21</v>
      </c>
      <c r="G1746" t="s">
        <v>1493</v>
      </c>
      <c r="H1746" t="s">
        <v>22</v>
      </c>
      <c r="I1746" t="s">
        <v>40</v>
      </c>
      <c r="J1746" t="s">
        <v>1491</v>
      </c>
      <c r="K1746" t="s">
        <v>24</v>
      </c>
      <c r="L1746" s="4">
        <v>289</v>
      </c>
      <c r="M1746" t="s">
        <v>1253</v>
      </c>
      <c r="N1746" t="s">
        <v>26</v>
      </c>
      <c r="O1746" s="4">
        <v>120</v>
      </c>
      <c r="P1746">
        <v>0</v>
      </c>
      <c r="Q1746" s="4">
        <v>120</v>
      </c>
      <c r="R1746" s="12">
        <f t="shared" si="27"/>
        <v>34680</v>
      </c>
      <c r="T1746" t="s">
        <v>230</v>
      </c>
      <c r="U1746" t="s">
        <v>1254</v>
      </c>
      <c r="V1746" s="4">
        <v>289</v>
      </c>
      <c r="W1746">
        <v>0</v>
      </c>
    </row>
    <row r="1747" spans="1:23" hidden="1" x14ac:dyDescent="0.25">
      <c r="A1747" s="2">
        <v>45840.706493055557</v>
      </c>
      <c r="B1747">
        <v>3915</v>
      </c>
      <c r="C1747" t="s">
        <v>1252</v>
      </c>
      <c r="D1747" s="3">
        <v>45840</v>
      </c>
      <c r="E1747" s="3">
        <v>46111</v>
      </c>
      <c r="F1747" t="s">
        <v>21</v>
      </c>
      <c r="G1747" t="s">
        <v>1493</v>
      </c>
      <c r="H1747" t="s">
        <v>22</v>
      </c>
      <c r="I1747" t="s">
        <v>38</v>
      </c>
      <c r="J1747" t="s">
        <v>1491</v>
      </c>
      <c r="K1747" t="s">
        <v>24</v>
      </c>
      <c r="L1747" s="4">
        <v>47.25</v>
      </c>
      <c r="M1747" t="s">
        <v>1253</v>
      </c>
      <c r="N1747" t="s">
        <v>26</v>
      </c>
      <c r="O1747" s="4">
        <v>240</v>
      </c>
      <c r="P1747">
        <v>0</v>
      </c>
      <c r="Q1747" s="4">
        <v>240</v>
      </c>
      <c r="R1747" s="12">
        <f t="shared" si="27"/>
        <v>11340</v>
      </c>
      <c r="T1747" t="s">
        <v>230</v>
      </c>
      <c r="U1747" t="s">
        <v>1254</v>
      </c>
      <c r="V1747" s="4">
        <v>47.25</v>
      </c>
      <c r="W1747">
        <v>0</v>
      </c>
    </row>
    <row r="1748" spans="1:23" hidden="1" x14ac:dyDescent="0.25">
      <c r="A1748" s="2">
        <v>45840.706493055557</v>
      </c>
      <c r="B1748">
        <v>3915</v>
      </c>
      <c r="C1748" t="s">
        <v>1252</v>
      </c>
      <c r="D1748" s="3">
        <v>45840</v>
      </c>
      <c r="E1748" s="3">
        <v>46111</v>
      </c>
      <c r="F1748" t="s">
        <v>21</v>
      </c>
      <c r="G1748" t="s">
        <v>1493</v>
      </c>
      <c r="H1748" t="s">
        <v>22</v>
      </c>
      <c r="I1748" t="s">
        <v>44</v>
      </c>
      <c r="J1748" t="s">
        <v>1491</v>
      </c>
      <c r="K1748" t="s">
        <v>31</v>
      </c>
      <c r="L1748" s="4">
        <v>365</v>
      </c>
      <c r="M1748" t="s">
        <v>1253</v>
      </c>
      <c r="N1748" t="s">
        <v>26</v>
      </c>
      <c r="O1748" s="4">
        <v>120</v>
      </c>
      <c r="P1748">
        <v>0</v>
      </c>
      <c r="Q1748" s="4">
        <v>120</v>
      </c>
      <c r="R1748" s="12">
        <f t="shared" si="27"/>
        <v>43800</v>
      </c>
      <c r="T1748" t="s">
        <v>230</v>
      </c>
      <c r="U1748" t="s">
        <v>1254</v>
      </c>
      <c r="V1748" s="4">
        <v>365</v>
      </c>
      <c r="W1748">
        <v>0</v>
      </c>
    </row>
    <row r="1749" spans="1:23" hidden="1" x14ac:dyDescent="0.25">
      <c r="A1749" s="2">
        <v>45840.706493055557</v>
      </c>
      <c r="B1749">
        <v>3915</v>
      </c>
      <c r="C1749" t="s">
        <v>1252</v>
      </c>
      <c r="D1749" s="3">
        <v>45840</v>
      </c>
      <c r="E1749" s="3">
        <v>46111</v>
      </c>
      <c r="F1749" t="s">
        <v>21</v>
      </c>
      <c r="G1749" t="s">
        <v>1493</v>
      </c>
      <c r="H1749" t="s">
        <v>22</v>
      </c>
      <c r="I1749" t="s">
        <v>59</v>
      </c>
      <c r="J1749" t="s">
        <v>1491</v>
      </c>
      <c r="K1749" t="s">
        <v>24</v>
      </c>
      <c r="L1749" s="4">
        <v>39</v>
      </c>
      <c r="M1749" t="s">
        <v>1253</v>
      </c>
      <c r="N1749" t="s">
        <v>26</v>
      </c>
      <c r="O1749" s="4">
        <v>360</v>
      </c>
      <c r="P1749">
        <v>0</v>
      </c>
      <c r="Q1749" s="4">
        <v>360</v>
      </c>
      <c r="R1749" s="12">
        <f t="shared" si="27"/>
        <v>14040</v>
      </c>
      <c r="T1749" t="s">
        <v>230</v>
      </c>
      <c r="U1749" t="s">
        <v>1254</v>
      </c>
      <c r="V1749" s="4">
        <v>39</v>
      </c>
      <c r="W1749">
        <v>0</v>
      </c>
    </row>
    <row r="1750" spans="1:23" hidden="1" x14ac:dyDescent="0.25">
      <c r="A1750" s="2">
        <v>45840.709421296298</v>
      </c>
      <c r="B1750">
        <v>3916</v>
      </c>
      <c r="C1750" t="s">
        <v>1252</v>
      </c>
      <c r="D1750" s="3">
        <v>45840</v>
      </c>
      <c r="E1750" s="3">
        <v>46264</v>
      </c>
      <c r="F1750" t="s">
        <v>21</v>
      </c>
      <c r="G1750" t="s">
        <v>1493</v>
      </c>
      <c r="H1750" t="s">
        <v>22</v>
      </c>
      <c r="I1750" t="s">
        <v>40</v>
      </c>
      <c r="J1750" t="s">
        <v>1491</v>
      </c>
      <c r="K1750" t="s">
        <v>24</v>
      </c>
      <c r="L1750" s="4">
        <v>289</v>
      </c>
      <c r="M1750" t="s">
        <v>1255</v>
      </c>
      <c r="N1750" t="s">
        <v>46</v>
      </c>
      <c r="O1750" s="4">
        <v>48</v>
      </c>
      <c r="P1750">
        <v>0</v>
      </c>
      <c r="Q1750" s="4">
        <v>48</v>
      </c>
      <c r="R1750" s="12">
        <f t="shared" si="27"/>
        <v>13872</v>
      </c>
      <c r="T1750" t="s">
        <v>230</v>
      </c>
      <c r="U1750" t="s">
        <v>1254</v>
      </c>
      <c r="V1750" s="4">
        <v>289</v>
      </c>
      <c r="W1750">
        <v>0</v>
      </c>
    </row>
    <row r="1751" spans="1:23" hidden="1" x14ac:dyDescent="0.25">
      <c r="A1751" s="2">
        <v>45840.709421296298</v>
      </c>
      <c r="B1751">
        <v>3916</v>
      </c>
      <c r="C1751" t="s">
        <v>1252</v>
      </c>
      <c r="D1751" s="3">
        <v>45840</v>
      </c>
      <c r="E1751" s="3">
        <v>46264</v>
      </c>
      <c r="F1751" t="s">
        <v>21</v>
      </c>
      <c r="G1751" t="s">
        <v>1493</v>
      </c>
      <c r="H1751" t="s">
        <v>22</v>
      </c>
      <c r="I1751" t="s">
        <v>201</v>
      </c>
      <c r="J1751" t="s">
        <v>1491</v>
      </c>
      <c r="K1751" t="s">
        <v>24</v>
      </c>
      <c r="L1751" s="4">
        <v>50</v>
      </c>
      <c r="M1751" t="s">
        <v>1255</v>
      </c>
      <c r="N1751" t="s">
        <v>46</v>
      </c>
      <c r="O1751" s="4">
        <v>2400</v>
      </c>
      <c r="P1751">
        <v>0</v>
      </c>
      <c r="Q1751" s="4">
        <v>2400</v>
      </c>
      <c r="R1751" s="12">
        <f t="shared" si="27"/>
        <v>120000</v>
      </c>
      <c r="T1751" t="s">
        <v>230</v>
      </c>
      <c r="U1751" t="s">
        <v>1254</v>
      </c>
      <c r="V1751" s="4">
        <v>50</v>
      </c>
      <c r="W1751">
        <v>0</v>
      </c>
    </row>
    <row r="1752" spans="1:23" hidden="1" x14ac:dyDescent="0.25">
      <c r="A1752" s="2">
        <v>45840.709421296298</v>
      </c>
      <c r="B1752">
        <v>3916</v>
      </c>
      <c r="C1752" t="s">
        <v>1252</v>
      </c>
      <c r="D1752" s="3">
        <v>45840</v>
      </c>
      <c r="E1752" s="3">
        <v>46264</v>
      </c>
      <c r="F1752" t="s">
        <v>21</v>
      </c>
      <c r="G1752" t="s">
        <v>1493</v>
      </c>
      <c r="H1752" t="s">
        <v>22</v>
      </c>
      <c r="I1752" t="s">
        <v>63</v>
      </c>
      <c r="J1752" t="s">
        <v>1491</v>
      </c>
      <c r="K1752" t="s">
        <v>31</v>
      </c>
      <c r="L1752" s="4">
        <v>182.5</v>
      </c>
      <c r="M1752" t="s">
        <v>1255</v>
      </c>
      <c r="N1752" t="s">
        <v>46</v>
      </c>
      <c r="O1752" s="4">
        <v>192</v>
      </c>
      <c r="P1752">
        <v>0</v>
      </c>
      <c r="Q1752" s="4">
        <v>192</v>
      </c>
      <c r="R1752" s="12">
        <f t="shared" si="27"/>
        <v>35040</v>
      </c>
      <c r="T1752" t="s">
        <v>230</v>
      </c>
      <c r="U1752" t="s">
        <v>1254</v>
      </c>
      <c r="V1752" s="4">
        <v>182.5</v>
      </c>
      <c r="W1752">
        <v>0</v>
      </c>
    </row>
    <row r="1753" spans="1:23" hidden="1" x14ac:dyDescent="0.25">
      <c r="A1753" s="2">
        <v>45840.709421296298</v>
      </c>
      <c r="B1753">
        <v>3916</v>
      </c>
      <c r="C1753" t="s">
        <v>1252</v>
      </c>
      <c r="D1753" s="3">
        <v>45840</v>
      </c>
      <c r="E1753" s="3">
        <v>46264</v>
      </c>
      <c r="F1753" t="s">
        <v>21</v>
      </c>
      <c r="G1753" t="s">
        <v>1493</v>
      </c>
      <c r="H1753" t="s">
        <v>22</v>
      </c>
      <c r="I1753" t="s">
        <v>41</v>
      </c>
      <c r="J1753" t="s">
        <v>1491</v>
      </c>
      <c r="K1753" t="s">
        <v>24</v>
      </c>
      <c r="L1753" s="4">
        <v>288</v>
      </c>
      <c r="M1753" t="s">
        <v>1255</v>
      </c>
      <c r="N1753" t="s">
        <v>46</v>
      </c>
      <c r="O1753" s="4">
        <v>48</v>
      </c>
      <c r="P1753">
        <v>0</v>
      </c>
      <c r="Q1753" s="4">
        <v>48</v>
      </c>
      <c r="R1753" s="12">
        <f t="shared" si="27"/>
        <v>13824</v>
      </c>
      <c r="T1753" t="s">
        <v>230</v>
      </c>
      <c r="U1753" t="s">
        <v>1254</v>
      </c>
      <c r="V1753" s="4">
        <v>288</v>
      </c>
      <c r="W1753">
        <v>0</v>
      </c>
    </row>
    <row r="1754" spans="1:23" hidden="1" x14ac:dyDescent="0.25">
      <c r="A1754" s="2">
        <v>45840.709421296298</v>
      </c>
      <c r="B1754">
        <v>3916</v>
      </c>
      <c r="C1754" t="s">
        <v>1252</v>
      </c>
      <c r="D1754" s="3">
        <v>45840</v>
      </c>
      <c r="E1754" s="3">
        <v>46264</v>
      </c>
      <c r="F1754" t="s">
        <v>21</v>
      </c>
      <c r="G1754" t="s">
        <v>1493</v>
      </c>
      <c r="H1754" t="s">
        <v>22</v>
      </c>
      <c r="I1754" t="s">
        <v>38</v>
      </c>
      <c r="J1754" t="s">
        <v>1491</v>
      </c>
      <c r="K1754" t="s">
        <v>24</v>
      </c>
      <c r="L1754" s="4">
        <v>47.25</v>
      </c>
      <c r="M1754" t="s">
        <v>1255</v>
      </c>
      <c r="N1754" t="s">
        <v>46</v>
      </c>
      <c r="O1754" s="4">
        <v>240</v>
      </c>
      <c r="P1754">
        <v>0</v>
      </c>
      <c r="Q1754" s="4">
        <v>240</v>
      </c>
      <c r="R1754" s="12">
        <f t="shared" si="27"/>
        <v>11340</v>
      </c>
      <c r="T1754" t="s">
        <v>230</v>
      </c>
      <c r="U1754" t="s">
        <v>1254</v>
      </c>
      <c r="V1754" s="4">
        <v>47.25</v>
      </c>
      <c r="W1754">
        <v>0</v>
      </c>
    </row>
    <row r="1755" spans="1:23" hidden="1" x14ac:dyDescent="0.25">
      <c r="A1755" s="2">
        <v>45896.380949074075</v>
      </c>
      <c r="B1755">
        <v>4002</v>
      </c>
      <c r="C1755" t="s">
        <v>1252</v>
      </c>
      <c r="D1755" s="3">
        <v>45896</v>
      </c>
      <c r="E1755" s="3">
        <v>46111</v>
      </c>
      <c r="F1755" t="s">
        <v>21</v>
      </c>
      <c r="G1755" t="s">
        <v>1493</v>
      </c>
      <c r="H1755" t="s">
        <v>22</v>
      </c>
      <c r="I1755" t="s">
        <v>59</v>
      </c>
      <c r="J1755" t="s">
        <v>1491</v>
      </c>
      <c r="K1755" t="s">
        <v>24</v>
      </c>
      <c r="L1755" s="4">
        <v>39</v>
      </c>
      <c r="M1755" t="s">
        <v>1256</v>
      </c>
      <c r="N1755" t="s">
        <v>26</v>
      </c>
      <c r="O1755" s="4">
        <v>24</v>
      </c>
      <c r="P1755">
        <v>0</v>
      </c>
      <c r="Q1755" s="4">
        <v>24</v>
      </c>
      <c r="R1755" s="12">
        <f t="shared" si="27"/>
        <v>936</v>
      </c>
      <c r="T1755" t="s">
        <v>230</v>
      </c>
      <c r="U1755" t="s">
        <v>1254</v>
      </c>
      <c r="V1755" s="4">
        <v>39</v>
      </c>
      <c r="W1755">
        <v>0</v>
      </c>
    </row>
    <row r="1756" spans="1:23" x14ac:dyDescent="0.25">
      <c r="A1756" s="2">
        <v>45923.503611111111</v>
      </c>
      <c r="B1756">
        <v>4073</v>
      </c>
      <c r="C1756" t="s">
        <v>1257</v>
      </c>
      <c r="D1756" s="3">
        <v>45923</v>
      </c>
      <c r="E1756" s="3">
        <v>46142</v>
      </c>
      <c r="F1756" t="s">
        <v>98</v>
      </c>
      <c r="G1756" t="s">
        <v>1493</v>
      </c>
      <c r="H1756" t="s">
        <v>22</v>
      </c>
      <c r="I1756" t="s">
        <v>40</v>
      </c>
      <c r="J1756" t="s">
        <v>1491</v>
      </c>
      <c r="K1756" t="s">
        <v>24</v>
      </c>
      <c r="L1756" s="4">
        <v>342</v>
      </c>
      <c r="M1756" t="s">
        <v>1258</v>
      </c>
      <c r="N1756" t="s">
        <v>26</v>
      </c>
      <c r="O1756" s="4">
        <v>41</v>
      </c>
      <c r="P1756">
        <v>0</v>
      </c>
      <c r="Q1756" s="4">
        <v>41</v>
      </c>
      <c r="R1756" s="12">
        <f t="shared" si="27"/>
        <v>14022</v>
      </c>
      <c r="T1756" t="s">
        <v>218</v>
      </c>
      <c r="U1756" t="s">
        <v>1259</v>
      </c>
      <c r="V1756" s="4">
        <v>342</v>
      </c>
      <c r="W1756">
        <v>0</v>
      </c>
    </row>
    <row r="1757" spans="1:23" x14ac:dyDescent="0.25">
      <c r="A1757" s="2">
        <v>45923.503611111111</v>
      </c>
      <c r="B1757">
        <v>4073</v>
      </c>
      <c r="C1757" t="s">
        <v>1257</v>
      </c>
      <c r="D1757" s="3">
        <v>45923</v>
      </c>
      <c r="E1757" s="3">
        <v>46142</v>
      </c>
      <c r="F1757" t="s">
        <v>98</v>
      </c>
      <c r="G1757" t="s">
        <v>1493</v>
      </c>
      <c r="H1757" t="s">
        <v>22</v>
      </c>
      <c r="I1757" t="s">
        <v>41</v>
      </c>
      <c r="J1757" t="s">
        <v>1491</v>
      </c>
      <c r="K1757" t="s">
        <v>24</v>
      </c>
      <c r="L1757" s="4">
        <v>342</v>
      </c>
      <c r="M1757" t="s">
        <v>1258</v>
      </c>
      <c r="N1757" t="s">
        <v>26</v>
      </c>
      <c r="O1757" s="4">
        <v>41</v>
      </c>
      <c r="P1757">
        <v>0</v>
      </c>
      <c r="Q1757" s="4">
        <v>41</v>
      </c>
      <c r="R1757" s="12">
        <f t="shared" si="27"/>
        <v>14022</v>
      </c>
      <c r="T1757" t="s">
        <v>218</v>
      </c>
      <c r="U1757" t="s">
        <v>1259</v>
      </c>
      <c r="V1757" s="4">
        <v>342</v>
      </c>
      <c r="W1757">
        <v>0</v>
      </c>
    </row>
    <row r="1758" spans="1:23" x14ac:dyDescent="0.25">
      <c r="A1758" s="2">
        <v>45962.387164351851</v>
      </c>
      <c r="B1758">
        <v>4229</v>
      </c>
      <c r="C1758" t="s">
        <v>1257</v>
      </c>
      <c r="D1758" s="3">
        <v>45962</v>
      </c>
      <c r="E1758" s="3">
        <v>46142</v>
      </c>
      <c r="F1758" t="s">
        <v>98</v>
      </c>
      <c r="G1758" t="s">
        <v>1493</v>
      </c>
      <c r="H1758" t="s">
        <v>22</v>
      </c>
      <c r="I1758" t="s">
        <v>43</v>
      </c>
      <c r="J1758" t="s">
        <v>1491</v>
      </c>
      <c r="K1758" t="s">
        <v>24</v>
      </c>
      <c r="L1758" s="4">
        <v>45</v>
      </c>
      <c r="M1758" t="s">
        <v>1260</v>
      </c>
      <c r="N1758" t="s">
        <v>26</v>
      </c>
      <c r="O1758" s="4">
        <v>18</v>
      </c>
      <c r="P1758">
        <v>0</v>
      </c>
      <c r="Q1758" s="4">
        <v>18</v>
      </c>
      <c r="R1758" s="12">
        <f t="shared" si="27"/>
        <v>810</v>
      </c>
      <c r="T1758" t="s">
        <v>218</v>
      </c>
      <c r="U1758" t="s">
        <v>1259</v>
      </c>
      <c r="V1758" s="4">
        <v>45</v>
      </c>
      <c r="W1758">
        <v>0</v>
      </c>
    </row>
    <row r="1759" spans="1:23" x14ac:dyDescent="0.25">
      <c r="A1759" s="2">
        <v>45980.687083333331</v>
      </c>
      <c r="B1759">
        <v>4282</v>
      </c>
      <c r="C1759" t="s">
        <v>1257</v>
      </c>
      <c r="D1759" s="3">
        <v>45980</v>
      </c>
      <c r="E1759" s="3">
        <v>46142</v>
      </c>
      <c r="F1759" t="s">
        <v>98</v>
      </c>
      <c r="H1759" t="s">
        <v>22</v>
      </c>
      <c r="I1759" t="s">
        <v>35</v>
      </c>
      <c r="J1759" t="s">
        <v>1490</v>
      </c>
      <c r="K1759" t="s">
        <v>24</v>
      </c>
      <c r="L1759" s="4">
        <v>69</v>
      </c>
      <c r="M1759" t="s">
        <v>1261</v>
      </c>
      <c r="N1759" t="s">
        <v>26</v>
      </c>
      <c r="O1759" s="4">
        <v>25</v>
      </c>
      <c r="P1759">
        <v>0</v>
      </c>
      <c r="Q1759" s="4">
        <v>25</v>
      </c>
      <c r="R1759" s="12">
        <f t="shared" si="27"/>
        <v>1725</v>
      </c>
      <c r="T1759" t="s">
        <v>218</v>
      </c>
      <c r="U1759" t="s">
        <v>1259</v>
      </c>
      <c r="V1759" s="4">
        <v>69</v>
      </c>
      <c r="W1759">
        <v>0</v>
      </c>
    </row>
    <row r="1760" spans="1:23" hidden="1" x14ac:dyDescent="0.25">
      <c r="A1760" s="2">
        <v>45986.720960648148</v>
      </c>
      <c r="B1760">
        <v>4299</v>
      </c>
      <c r="C1760" t="s">
        <v>1257</v>
      </c>
      <c r="D1760" s="3">
        <v>45982</v>
      </c>
      <c r="E1760" s="3">
        <v>46264</v>
      </c>
      <c r="F1760" t="s">
        <v>98</v>
      </c>
      <c r="H1760" t="s">
        <v>22</v>
      </c>
      <c r="I1760" t="s">
        <v>32</v>
      </c>
      <c r="J1760" t="s">
        <v>1490</v>
      </c>
      <c r="K1760" t="s">
        <v>24</v>
      </c>
      <c r="L1760" s="4">
        <v>23</v>
      </c>
      <c r="M1760" t="s">
        <v>1262</v>
      </c>
      <c r="N1760" t="s">
        <v>46</v>
      </c>
      <c r="O1760" s="4">
        <v>140</v>
      </c>
      <c r="P1760">
        <v>0</v>
      </c>
      <c r="Q1760" s="4">
        <v>140</v>
      </c>
      <c r="R1760" s="12">
        <f t="shared" si="27"/>
        <v>3220</v>
      </c>
      <c r="T1760" t="s">
        <v>218</v>
      </c>
      <c r="U1760" t="s">
        <v>1259</v>
      </c>
      <c r="V1760" s="4">
        <v>23</v>
      </c>
      <c r="W1760">
        <v>0</v>
      </c>
    </row>
    <row r="1761" spans="1:23" hidden="1" x14ac:dyDescent="0.25">
      <c r="A1761" s="2">
        <v>45986.720960648148</v>
      </c>
      <c r="B1761">
        <v>4299</v>
      </c>
      <c r="C1761" t="s">
        <v>1257</v>
      </c>
      <c r="D1761" s="3">
        <v>45982</v>
      </c>
      <c r="E1761" s="3">
        <v>46264</v>
      </c>
      <c r="F1761" t="s">
        <v>98</v>
      </c>
      <c r="H1761" t="s">
        <v>22</v>
      </c>
      <c r="I1761" t="s">
        <v>192</v>
      </c>
      <c r="J1761" t="s">
        <v>1490</v>
      </c>
      <c r="K1761" t="s">
        <v>24</v>
      </c>
      <c r="L1761" s="4">
        <v>17</v>
      </c>
      <c r="M1761" t="s">
        <v>1262</v>
      </c>
      <c r="N1761" t="s">
        <v>46</v>
      </c>
      <c r="O1761" s="4">
        <v>380</v>
      </c>
      <c r="P1761" s="4">
        <v>60</v>
      </c>
      <c r="Q1761" s="4">
        <v>320</v>
      </c>
      <c r="R1761" s="12">
        <f t="shared" si="27"/>
        <v>5440</v>
      </c>
      <c r="T1761" t="s">
        <v>218</v>
      </c>
      <c r="U1761" t="s">
        <v>1259</v>
      </c>
      <c r="V1761" s="4">
        <v>17</v>
      </c>
      <c r="W1761">
        <v>0</v>
      </c>
    </row>
    <row r="1762" spans="1:23" hidden="1" x14ac:dyDescent="0.25">
      <c r="A1762" s="2">
        <v>45986.720960648148</v>
      </c>
      <c r="B1762">
        <v>4299</v>
      </c>
      <c r="C1762" t="s">
        <v>1257</v>
      </c>
      <c r="D1762" s="3">
        <v>45982</v>
      </c>
      <c r="E1762" s="3">
        <v>46264</v>
      </c>
      <c r="F1762" t="s">
        <v>98</v>
      </c>
      <c r="H1762" t="s">
        <v>22</v>
      </c>
      <c r="I1762" t="s">
        <v>23</v>
      </c>
      <c r="J1762" t="s">
        <v>1490</v>
      </c>
      <c r="K1762" t="s">
        <v>24</v>
      </c>
      <c r="L1762" s="4">
        <v>18</v>
      </c>
      <c r="M1762" t="s">
        <v>1262</v>
      </c>
      <c r="N1762" t="s">
        <v>46</v>
      </c>
      <c r="O1762" s="4">
        <v>260</v>
      </c>
      <c r="P1762">
        <v>0</v>
      </c>
      <c r="Q1762" s="4">
        <v>260</v>
      </c>
      <c r="R1762" s="12">
        <f t="shared" si="27"/>
        <v>4680</v>
      </c>
      <c r="T1762" t="s">
        <v>218</v>
      </c>
      <c r="U1762" t="s">
        <v>1259</v>
      </c>
      <c r="V1762" s="4">
        <v>18</v>
      </c>
      <c r="W1762">
        <v>0</v>
      </c>
    </row>
    <row r="1763" spans="1:23" hidden="1" x14ac:dyDescent="0.25">
      <c r="A1763" s="2">
        <v>45986.720960648148</v>
      </c>
      <c r="B1763">
        <v>4299</v>
      </c>
      <c r="C1763" t="s">
        <v>1257</v>
      </c>
      <c r="D1763" s="3">
        <v>45982</v>
      </c>
      <c r="E1763" s="3">
        <v>46264</v>
      </c>
      <c r="F1763" t="s">
        <v>98</v>
      </c>
      <c r="H1763" t="s">
        <v>22</v>
      </c>
      <c r="I1763" t="s">
        <v>29</v>
      </c>
      <c r="J1763" t="s">
        <v>1490</v>
      </c>
      <c r="K1763" t="s">
        <v>24</v>
      </c>
      <c r="L1763" s="4">
        <v>160</v>
      </c>
      <c r="M1763" t="s">
        <v>1262</v>
      </c>
      <c r="N1763" t="s">
        <v>46</v>
      </c>
      <c r="O1763" s="4">
        <v>60</v>
      </c>
      <c r="P1763">
        <v>0</v>
      </c>
      <c r="Q1763" s="4">
        <v>60</v>
      </c>
      <c r="R1763" s="12">
        <f t="shared" si="27"/>
        <v>9600</v>
      </c>
      <c r="T1763" t="s">
        <v>218</v>
      </c>
      <c r="U1763" t="s">
        <v>1259</v>
      </c>
      <c r="V1763" s="4">
        <v>160</v>
      </c>
      <c r="W1763">
        <v>0</v>
      </c>
    </row>
    <row r="1764" spans="1:23" hidden="1" x14ac:dyDescent="0.25">
      <c r="A1764" s="2">
        <v>45986.720960648148</v>
      </c>
      <c r="B1764">
        <v>4299</v>
      </c>
      <c r="C1764" t="s">
        <v>1257</v>
      </c>
      <c r="D1764" s="3">
        <v>45982</v>
      </c>
      <c r="E1764" s="3">
        <v>46264</v>
      </c>
      <c r="F1764" t="s">
        <v>98</v>
      </c>
      <c r="H1764" t="s">
        <v>22</v>
      </c>
      <c r="I1764" t="s">
        <v>30</v>
      </c>
      <c r="J1764" t="s">
        <v>1490</v>
      </c>
      <c r="K1764" t="s">
        <v>31</v>
      </c>
      <c r="L1764" s="4">
        <v>23</v>
      </c>
      <c r="M1764" t="s">
        <v>1262</v>
      </c>
      <c r="N1764" t="s">
        <v>46</v>
      </c>
      <c r="O1764" s="4">
        <v>250</v>
      </c>
      <c r="P1764">
        <v>0</v>
      </c>
      <c r="Q1764" s="4">
        <v>250</v>
      </c>
      <c r="R1764" s="12">
        <f t="shared" si="27"/>
        <v>5750</v>
      </c>
      <c r="T1764" t="s">
        <v>218</v>
      </c>
      <c r="U1764" t="s">
        <v>1259</v>
      </c>
      <c r="V1764" s="4">
        <v>23</v>
      </c>
      <c r="W1764">
        <v>0</v>
      </c>
    </row>
    <row r="1765" spans="1:23" hidden="1" x14ac:dyDescent="0.25">
      <c r="A1765" s="2">
        <v>45986.720960648148</v>
      </c>
      <c r="B1765">
        <v>4299</v>
      </c>
      <c r="C1765" t="s">
        <v>1257</v>
      </c>
      <c r="D1765" s="3">
        <v>45982</v>
      </c>
      <c r="E1765" s="3">
        <v>46264</v>
      </c>
      <c r="F1765" t="s">
        <v>98</v>
      </c>
      <c r="H1765" t="s">
        <v>22</v>
      </c>
      <c r="I1765" t="s">
        <v>42</v>
      </c>
      <c r="J1765" t="s">
        <v>1490</v>
      </c>
      <c r="K1765" t="s">
        <v>24</v>
      </c>
      <c r="L1765" s="4">
        <v>235</v>
      </c>
      <c r="M1765" t="s">
        <v>1262</v>
      </c>
      <c r="N1765" t="s">
        <v>46</v>
      </c>
      <c r="O1765" s="4">
        <v>25</v>
      </c>
      <c r="P1765">
        <v>0</v>
      </c>
      <c r="Q1765" s="4">
        <v>25</v>
      </c>
      <c r="R1765" s="12">
        <f t="shared" si="27"/>
        <v>5875</v>
      </c>
      <c r="T1765" t="s">
        <v>218</v>
      </c>
      <c r="U1765" t="s">
        <v>1259</v>
      </c>
      <c r="V1765" s="4">
        <v>235</v>
      </c>
      <c r="W1765">
        <v>0</v>
      </c>
    </row>
    <row r="1766" spans="1:23" hidden="1" x14ac:dyDescent="0.25">
      <c r="A1766" s="2">
        <v>45986.720960648148</v>
      </c>
      <c r="B1766">
        <v>4299</v>
      </c>
      <c r="C1766" t="s">
        <v>1257</v>
      </c>
      <c r="D1766" s="3">
        <v>45982</v>
      </c>
      <c r="E1766" s="3">
        <v>46264</v>
      </c>
      <c r="F1766" t="s">
        <v>98</v>
      </c>
      <c r="H1766" t="s">
        <v>22</v>
      </c>
      <c r="I1766" t="s">
        <v>1098</v>
      </c>
      <c r="K1766" t="s">
        <v>546</v>
      </c>
      <c r="L1766" s="4">
        <v>650</v>
      </c>
      <c r="M1766" t="s">
        <v>1262</v>
      </c>
      <c r="N1766" t="s">
        <v>46</v>
      </c>
      <c r="O1766" s="4">
        <v>32</v>
      </c>
      <c r="P1766">
        <v>0</v>
      </c>
      <c r="Q1766" s="4">
        <v>32</v>
      </c>
      <c r="R1766" s="12">
        <f t="shared" si="27"/>
        <v>20800</v>
      </c>
      <c r="T1766" t="s">
        <v>218</v>
      </c>
      <c r="U1766" t="s">
        <v>1259</v>
      </c>
      <c r="V1766" s="4">
        <v>650</v>
      </c>
      <c r="W1766">
        <v>0</v>
      </c>
    </row>
    <row r="1767" spans="1:23" hidden="1" x14ac:dyDescent="0.25">
      <c r="A1767" s="2">
        <v>45986.720960648148</v>
      </c>
      <c r="B1767">
        <v>4299</v>
      </c>
      <c r="C1767" t="s">
        <v>1257</v>
      </c>
      <c r="D1767" s="3">
        <v>45982</v>
      </c>
      <c r="E1767" s="3">
        <v>46264</v>
      </c>
      <c r="F1767" t="s">
        <v>98</v>
      </c>
      <c r="G1767" t="s">
        <v>1493</v>
      </c>
      <c r="H1767" t="s">
        <v>22</v>
      </c>
      <c r="I1767" t="s">
        <v>44</v>
      </c>
      <c r="J1767" t="s">
        <v>1491</v>
      </c>
      <c r="K1767" t="s">
        <v>31</v>
      </c>
      <c r="L1767" s="4">
        <v>400</v>
      </c>
      <c r="M1767" t="s">
        <v>1262</v>
      </c>
      <c r="N1767" t="s">
        <v>46</v>
      </c>
      <c r="O1767" s="4">
        <v>18</v>
      </c>
      <c r="P1767">
        <v>0</v>
      </c>
      <c r="Q1767" s="4">
        <v>18</v>
      </c>
      <c r="R1767" s="12">
        <f t="shared" si="27"/>
        <v>7200</v>
      </c>
      <c r="T1767" t="s">
        <v>218</v>
      </c>
      <c r="U1767" t="s">
        <v>1259</v>
      </c>
      <c r="V1767" s="4">
        <v>400</v>
      </c>
      <c r="W1767">
        <v>0</v>
      </c>
    </row>
    <row r="1768" spans="1:23" hidden="1" x14ac:dyDescent="0.25">
      <c r="A1768" s="2">
        <v>45986.720960648148</v>
      </c>
      <c r="B1768">
        <v>4299</v>
      </c>
      <c r="C1768" t="s">
        <v>1257</v>
      </c>
      <c r="D1768" s="3">
        <v>45982</v>
      </c>
      <c r="E1768" s="3">
        <v>46264</v>
      </c>
      <c r="F1768" t="s">
        <v>98</v>
      </c>
      <c r="H1768" t="s">
        <v>22</v>
      </c>
      <c r="I1768" t="s">
        <v>36</v>
      </c>
      <c r="J1768" t="s">
        <v>1490</v>
      </c>
      <c r="K1768" t="s">
        <v>24</v>
      </c>
      <c r="L1768" s="4">
        <v>69</v>
      </c>
      <c r="M1768" t="s">
        <v>1262</v>
      </c>
      <c r="N1768" t="s">
        <v>46</v>
      </c>
      <c r="O1768" s="4">
        <v>10</v>
      </c>
      <c r="P1768">
        <v>0</v>
      </c>
      <c r="Q1768" s="4">
        <v>10</v>
      </c>
      <c r="R1768" s="12">
        <f t="shared" si="27"/>
        <v>690</v>
      </c>
      <c r="T1768" t="s">
        <v>218</v>
      </c>
      <c r="U1768" t="s">
        <v>1259</v>
      </c>
      <c r="V1768" s="4">
        <v>69</v>
      </c>
      <c r="W1768">
        <v>0</v>
      </c>
    </row>
    <row r="1769" spans="1:23" hidden="1" x14ac:dyDescent="0.25">
      <c r="A1769" s="2">
        <v>45986.720960648148</v>
      </c>
      <c r="B1769">
        <v>4299</v>
      </c>
      <c r="C1769" t="s">
        <v>1257</v>
      </c>
      <c r="D1769" s="3">
        <v>45982</v>
      </c>
      <c r="E1769" s="3">
        <v>46264</v>
      </c>
      <c r="F1769" t="s">
        <v>98</v>
      </c>
      <c r="G1769" t="s">
        <v>1493</v>
      </c>
      <c r="H1769" t="s">
        <v>22</v>
      </c>
      <c r="I1769" t="s">
        <v>38</v>
      </c>
      <c r="J1769" t="s">
        <v>1491</v>
      </c>
      <c r="K1769" t="s">
        <v>24</v>
      </c>
      <c r="L1769" s="4">
        <v>46</v>
      </c>
      <c r="M1769" t="s">
        <v>1262</v>
      </c>
      <c r="N1769" t="s">
        <v>46</v>
      </c>
      <c r="O1769" s="4">
        <v>27</v>
      </c>
      <c r="P1769">
        <v>0</v>
      </c>
      <c r="Q1769" s="4">
        <v>27</v>
      </c>
      <c r="R1769" s="12">
        <f t="shared" si="27"/>
        <v>1242</v>
      </c>
      <c r="T1769" t="s">
        <v>218</v>
      </c>
      <c r="U1769" t="s">
        <v>1259</v>
      </c>
      <c r="V1769" s="4">
        <v>46</v>
      </c>
      <c r="W1769">
        <v>0</v>
      </c>
    </row>
    <row r="1770" spans="1:23" hidden="1" x14ac:dyDescent="0.25">
      <c r="A1770" s="2">
        <v>45986.720960648148</v>
      </c>
      <c r="B1770">
        <v>4299</v>
      </c>
      <c r="C1770" t="s">
        <v>1257</v>
      </c>
      <c r="D1770" s="3">
        <v>45982</v>
      </c>
      <c r="E1770" s="3">
        <v>46264</v>
      </c>
      <c r="F1770" t="s">
        <v>98</v>
      </c>
      <c r="H1770" t="s">
        <v>22</v>
      </c>
      <c r="I1770" t="s">
        <v>35</v>
      </c>
      <c r="J1770" t="s">
        <v>1490</v>
      </c>
      <c r="K1770" t="s">
        <v>24</v>
      </c>
      <c r="L1770" s="4">
        <v>69</v>
      </c>
      <c r="M1770" t="s">
        <v>1262</v>
      </c>
      <c r="N1770" t="s">
        <v>46</v>
      </c>
      <c r="O1770" s="4">
        <v>40</v>
      </c>
      <c r="P1770">
        <v>0</v>
      </c>
      <c r="Q1770" s="4">
        <v>40</v>
      </c>
      <c r="R1770" s="12">
        <f t="shared" si="27"/>
        <v>2760</v>
      </c>
      <c r="T1770" t="s">
        <v>218</v>
      </c>
      <c r="U1770" t="s">
        <v>1259</v>
      </c>
      <c r="V1770" s="4">
        <v>69</v>
      </c>
      <c r="W1770">
        <v>0</v>
      </c>
    </row>
    <row r="1771" spans="1:23" x14ac:dyDescent="0.25">
      <c r="A1771" s="2">
        <v>45985.472650462965</v>
      </c>
      <c r="B1771">
        <v>4293</v>
      </c>
      <c r="C1771" t="s">
        <v>1257</v>
      </c>
      <c r="D1771" s="3">
        <v>45985</v>
      </c>
      <c r="E1771" s="3">
        <v>46142</v>
      </c>
      <c r="F1771" t="s">
        <v>98</v>
      </c>
      <c r="H1771" t="s">
        <v>22</v>
      </c>
      <c r="I1771" t="s">
        <v>192</v>
      </c>
      <c r="J1771" t="s">
        <v>1490</v>
      </c>
      <c r="K1771" t="s">
        <v>24</v>
      </c>
      <c r="L1771" s="4">
        <v>17</v>
      </c>
      <c r="M1771" t="s">
        <v>1263</v>
      </c>
      <c r="N1771" t="s">
        <v>26</v>
      </c>
      <c r="O1771" s="4">
        <v>420</v>
      </c>
      <c r="P1771">
        <v>0</v>
      </c>
      <c r="Q1771" s="4">
        <v>420</v>
      </c>
      <c r="R1771" s="12">
        <f t="shared" si="27"/>
        <v>7140</v>
      </c>
      <c r="T1771" t="s">
        <v>218</v>
      </c>
      <c r="U1771" t="s">
        <v>1259</v>
      </c>
      <c r="V1771" s="4">
        <v>17</v>
      </c>
      <c r="W1771">
        <v>0</v>
      </c>
    </row>
    <row r="1772" spans="1:23" x14ac:dyDescent="0.25">
      <c r="A1772" s="2">
        <v>45985.474745370368</v>
      </c>
      <c r="B1772">
        <v>4294</v>
      </c>
      <c r="C1772" t="s">
        <v>1257</v>
      </c>
      <c r="D1772" s="3">
        <v>45985</v>
      </c>
      <c r="E1772" s="3">
        <v>46142</v>
      </c>
      <c r="F1772" t="s">
        <v>98</v>
      </c>
      <c r="H1772" t="s">
        <v>22</v>
      </c>
      <c r="I1772" t="s">
        <v>192</v>
      </c>
      <c r="J1772" t="s">
        <v>1490</v>
      </c>
      <c r="K1772" t="s">
        <v>24</v>
      </c>
      <c r="L1772" s="4">
        <v>17</v>
      </c>
      <c r="M1772" t="s">
        <v>1264</v>
      </c>
      <c r="N1772" t="s">
        <v>26</v>
      </c>
      <c r="O1772" s="4">
        <v>40</v>
      </c>
      <c r="P1772">
        <v>0</v>
      </c>
      <c r="Q1772" s="4">
        <v>40</v>
      </c>
      <c r="R1772" s="12">
        <f t="shared" si="27"/>
        <v>680</v>
      </c>
      <c r="T1772" t="s">
        <v>218</v>
      </c>
      <c r="U1772" t="s">
        <v>1259</v>
      </c>
      <c r="V1772" s="4">
        <v>17</v>
      </c>
      <c r="W1772">
        <v>0</v>
      </c>
    </row>
    <row r="1773" spans="1:23" hidden="1" x14ac:dyDescent="0.25">
      <c r="A1773" s="2">
        <v>46013.631793981483</v>
      </c>
      <c r="B1773">
        <v>4373</v>
      </c>
      <c r="C1773" t="s">
        <v>1257</v>
      </c>
      <c r="D1773" s="3">
        <v>46010</v>
      </c>
      <c r="E1773" s="3">
        <v>46264</v>
      </c>
      <c r="F1773" t="s">
        <v>98</v>
      </c>
      <c r="H1773" t="s">
        <v>22</v>
      </c>
      <c r="I1773" t="s">
        <v>29</v>
      </c>
      <c r="J1773" t="s">
        <v>1490</v>
      </c>
      <c r="K1773" t="s">
        <v>24</v>
      </c>
      <c r="L1773" s="4">
        <v>160</v>
      </c>
      <c r="M1773" t="s">
        <v>1265</v>
      </c>
      <c r="N1773" t="s">
        <v>46</v>
      </c>
      <c r="O1773" s="4">
        <v>20</v>
      </c>
      <c r="P1773">
        <v>0</v>
      </c>
      <c r="Q1773" s="4">
        <v>20</v>
      </c>
      <c r="R1773" s="12">
        <f t="shared" si="27"/>
        <v>3200</v>
      </c>
      <c r="T1773" t="s">
        <v>218</v>
      </c>
      <c r="U1773" t="s">
        <v>1259</v>
      </c>
      <c r="V1773" s="4">
        <v>160</v>
      </c>
      <c r="W1773">
        <v>0</v>
      </c>
    </row>
    <row r="1774" spans="1:23" hidden="1" x14ac:dyDescent="0.25">
      <c r="A1774" s="2">
        <v>46013.631793981483</v>
      </c>
      <c r="B1774">
        <v>4373</v>
      </c>
      <c r="C1774" t="s">
        <v>1257</v>
      </c>
      <c r="D1774" s="3">
        <v>46010</v>
      </c>
      <c r="E1774" s="3">
        <v>46264</v>
      </c>
      <c r="F1774" t="s">
        <v>98</v>
      </c>
      <c r="H1774" t="s">
        <v>22</v>
      </c>
      <c r="I1774" t="s">
        <v>35</v>
      </c>
      <c r="J1774" t="s">
        <v>1490</v>
      </c>
      <c r="K1774" t="s">
        <v>24</v>
      </c>
      <c r="L1774" s="4">
        <v>69</v>
      </c>
      <c r="M1774" t="s">
        <v>1265</v>
      </c>
      <c r="N1774" t="s">
        <v>46</v>
      </c>
      <c r="O1774" s="4">
        <v>15</v>
      </c>
      <c r="P1774">
        <v>0</v>
      </c>
      <c r="Q1774" s="4">
        <v>15</v>
      </c>
      <c r="R1774" s="12">
        <f t="shared" si="27"/>
        <v>1035</v>
      </c>
      <c r="T1774" t="s">
        <v>218</v>
      </c>
      <c r="U1774" t="s">
        <v>1259</v>
      </c>
      <c r="V1774" s="4">
        <v>69</v>
      </c>
      <c r="W1774">
        <v>0</v>
      </c>
    </row>
    <row r="1775" spans="1:23" hidden="1" x14ac:dyDescent="0.25">
      <c r="A1775" s="2">
        <v>46013.631793981483</v>
      </c>
      <c r="B1775">
        <v>4373</v>
      </c>
      <c r="C1775" t="s">
        <v>1257</v>
      </c>
      <c r="D1775" s="3">
        <v>46010</v>
      </c>
      <c r="E1775" s="3">
        <v>46264</v>
      </c>
      <c r="F1775" t="s">
        <v>98</v>
      </c>
      <c r="H1775" t="s">
        <v>22</v>
      </c>
      <c r="I1775" t="s">
        <v>32</v>
      </c>
      <c r="J1775" t="s">
        <v>1490</v>
      </c>
      <c r="K1775" t="s">
        <v>24</v>
      </c>
      <c r="L1775" s="4">
        <v>23</v>
      </c>
      <c r="M1775" t="s">
        <v>1265</v>
      </c>
      <c r="N1775" t="s">
        <v>46</v>
      </c>
      <c r="O1775" s="4">
        <v>40</v>
      </c>
      <c r="P1775">
        <v>0</v>
      </c>
      <c r="Q1775" s="4">
        <v>40</v>
      </c>
      <c r="R1775" s="12">
        <f t="shared" si="27"/>
        <v>920</v>
      </c>
      <c r="T1775" t="s">
        <v>218</v>
      </c>
      <c r="U1775" t="s">
        <v>1259</v>
      </c>
      <c r="V1775" s="4">
        <v>23</v>
      </c>
      <c r="W1775">
        <v>0</v>
      </c>
    </row>
    <row r="1776" spans="1:23" hidden="1" x14ac:dyDescent="0.25">
      <c r="A1776" s="2">
        <v>46013.631793981483</v>
      </c>
      <c r="B1776">
        <v>4373</v>
      </c>
      <c r="C1776" t="s">
        <v>1257</v>
      </c>
      <c r="D1776" s="3">
        <v>46010</v>
      </c>
      <c r="E1776" s="3">
        <v>46264</v>
      </c>
      <c r="F1776" t="s">
        <v>98</v>
      </c>
      <c r="H1776" t="s">
        <v>22</v>
      </c>
      <c r="I1776" t="s">
        <v>42</v>
      </c>
      <c r="J1776" t="s">
        <v>1490</v>
      </c>
      <c r="K1776" t="s">
        <v>24</v>
      </c>
      <c r="L1776" s="4">
        <v>235</v>
      </c>
      <c r="M1776" t="s">
        <v>1265</v>
      </c>
      <c r="N1776" t="s">
        <v>46</v>
      </c>
      <c r="O1776" s="4">
        <v>10</v>
      </c>
      <c r="P1776">
        <v>0</v>
      </c>
      <c r="Q1776" s="4">
        <v>10</v>
      </c>
      <c r="R1776" s="12">
        <f t="shared" si="27"/>
        <v>2350</v>
      </c>
      <c r="T1776" t="s">
        <v>218</v>
      </c>
      <c r="U1776" t="s">
        <v>1259</v>
      </c>
      <c r="V1776" s="4">
        <v>235</v>
      </c>
      <c r="W1776">
        <v>0</v>
      </c>
    </row>
    <row r="1777" spans="1:23" hidden="1" x14ac:dyDescent="0.25">
      <c r="A1777" s="2">
        <v>46013.631793981483</v>
      </c>
      <c r="B1777">
        <v>4373</v>
      </c>
      <c r="C1777" t="s">
        <v>1257</v>
      </c>
      <c r="D1777" s="3">
        <v>46010</v>
      </c>
      <c r="E1777" s="3">
        <v>46264</v>
      </c>
      <c r="F1777" t="s">
        <v>98</v>
      </c>
      <c r="G1777" t="s">
        <v>1493</v>
      </c>
      <c r="H1777" t="s">
        <v>22</v>
      </c>
      <c r="I1777" t="s">
        <v>38</v>
      </c>
      <c r="J1777" t="s">
        <v>1491</v>
      </c>
      <c r="K1777" t="s">
        <v>24</v>
      </c>
      <c r="L1777" s="4">
        <v>46</v>
      </c>
      <c r="M1777" t="s">
        <v>1265</v>
      </c>
      <c r="N1777" t="s">
        <v>46</v>
      </c>
      <c r="O1777" s="4">
        <v>9</v>
      </c>
      <c r="P1777">
        <v>0</v>
      </c>
      <c r="Q1777" s="4">
        <v>9</v>
      </c>
      <c r="R1777" s="12">
        <f t="shared" si="27"/>
        <v>414</v>
      </c>
      <c r="T1777" t="s">
        <v>218</v>
      </c>
      <c r="U1777" t="s">
        <v>1259</v>
      </c>
      <c r="V1777" s="4">
        <v>46</v>
      </c>
      <c r="W1777">
        <v>0</v>
      </c>
    </row>
    <row r="1778" spans="1:23" hidden="1" x14ac:dyDescent="0.25">
      <c r="A1778" s="2">
        <v>46013.631793981483</v>
      </c>
      <c r="B1778">
        <v>4373</v>
      </c>
      <c r="C1778" t="s">
        <v>1257</v>
      </c>
      <c r="D1778" s="3">
        <v>46010</v>
      </c>
      <c r="E1778" s="3">
        <v>46264</v>
      </c>
      <c r="F1778" t="s">
        <v>98</v>
      </c>
      <c r="H1778" t="s">
        <v>22</v>
      </c>
      <c r="I1778" t="s">
        <v>548</v>
      </c>
      <c r="K1778" t="s">
        <v>31</v>
      </c>
      <c r="L1778" s="4">
        <v>33</v>
      </c>
      <c r="M1778" t="s">
        <v>1265</v>
      </c>
      <c r="N1778" t="s">
        <v>46</v>
      </c>
      <c r="O1778" s="4">
        <v>640</v>
      </c>
      <c r="P1778">
        <v>0</v>
      </c>
      <c r="Q1778" s="4">
        <v>640</v>
      </c>
      <c r="R1778" s="12">
        <f t="shared" si="27"/>
        <v>21120</v>
      </c>
      <c r="T1778" t="s">
        <v>218</v>
      </c>
      <c r="U1778" t="s">
        <v>1259</v>
      </c>
      <c r="V1778" s="4">
        <v>33</v>
      </c>
      <c r="W1778">
        <v>0</v>
      </c>
    </row>
    <row r="1779" spans="1:23" hidden="1" x14ac:dyDescent="0.25">
      <c r="A1779" s="2">
        <v>46013.631793981483</v>
      </c>
      <c r="B1779">
        <v>4373</v>
      </c>
      <c r="C1779" t="s">
        <v>1257</v>
      </c>
      <c r="D1779" s="3">
        <v>46010</v>
      </c>
      <c r="E1779" s="3">
        <v>46264</v>
      </c>
      <c r="F1779" t="s">
        <v>98</v>
      </c>
      <c r="H1779" t="s">
        <v>22</v>
      </c>
      <c r="I1779" t="s">
        <v>23</v>
      </c>
      <c r="J1779" t="s">
        <v>1490</v>
      </c>
      <c r="K1779" t="s">
        <v>24</v>
      </c>
      <c r="L1779" s="4">
        <v>18</v>
      </c>
      <c r="M1779" t="s">
        <v>1265</v>
      </c>
      <c r="N1779" t="s">
        <v>46</v>
      </c>
      <c r="O1779" s="4">
        <v>80</v>
      </c>
      <c r="P1779">
        <v>0</v>
      </c>
      <c r="Q1779" s="4">
        <v>80</v>
      </c>
      <c r="R1779" s="12">
        <f t="shared" si="27"/>
        <v>1440</v>
      </c>
      <c r="T1779" t="s">
        <v>218</v>
      </c>
      <c r="U1779" t="s">
        <v>1259</v>
      </c>
      <c r="V1779" s="4">
        <v>18</v>
      </c>
      <c r="W1779">
        <v>0</v>
      </c>
    </row>
    <row r="1780" spans="1:23" hidden="1" x14ac:dyDescent="0.25">
      <c r="A1780" s="2">
        <v>46013.631793981483</v>
      </c>
      <c r="B1780">
        <v>4373</v>
      </c>
      <c r="C1780" t="s">
        <v>1257</v>
      </c>
      <c r="D1780" s="3">
        <v>46010</v>
      </c>
      <c r="E1780" s="3">
        <v>46264</v>
      </c>
      <c r="F1780" t="s">
        <v>98</v>
      </c>
      <c r="H1780" t="s">
        <v>22</v>
      </c>
      <c r="I1780" t="s">
        <v>30</v>
      </c>
      <c r="J1780" t="s">
        <v>1490</v>
      </c>
      <c r="K1780" t="s">
        <v>31</v>
      </c>
      <c r="L1780" s="4">
        <v>23</v>
      </c>
      <c r="M1780" t="s">
        <v>1265</v>
      </c>
      <c r="N1780" t="s">
        <v>46</v>
      </c>
      <c r="O1780" s="4">
        <v>70</v>
      </c>
      <c r="P1780">
        <v>0</v>
      </c>
      <c r="Q1780" s="4">
        <v>70</v>
      </c>
      <c r="R1780" s="12">
        <f t="shared" si="27"/>
        <v>1610</v>
      </c>
      <c r="T1780" t="s">
        <v>218</v>
      </c>
      <c r="U1780" t="s">
        <v>1259</v>
      </c>
      <c r="V1780" s="4">
        <v>23</v>
      </c>
      <c r="W1780">
        <v>0</v>
      </c>
    </row>
    <row r="1781" spans="1:23" hidden="1" x14ac:dyDescent="0.25">
      <c r="A1781" s="2">
        <v>46013.631793981483</v>
      </c>
      <c r="B1781">
        <v>4373</v>
      </c>
      <c r="C1781" t="s">
        <v>1257</v>
      </c>
      <c r="D1781" s="3">
        <v>46010</v>
      </c>
      <c r="E1781" s="3">
        <v>46264</v>
      </c>
      <c r="F1781" t="s">
        <v>98</v>
      </c>
      <c r="H1781" t="s">
        <v>22</v>
      </c>
      <c r="I1781" t="s">
        <v>192</v>
      </c>
      <c r="J1781" t="s">
        <v>1490</v>
      </c>
      <c r="K1781" t="s">
        <v>24</v>
      </c>
      <c r="L1781" s="4">
        <v>17</v>
      </c>
      <c r="M1781" t="s">
        <v>1265</v>
      </c>
      <c r="N1781" t="s">
        <v>46</v>
      </c>
      <c r="O1781" s="4">
        <v>100</v>
      </c>
      <c r="P1781">
        <v>0</v>
      </c>
      <c r="Q1781" s="4">
        <v>100</v>
      </c>
      <c r="R1781" s="12">
        <f t="shared" si="27"/>
        <v>1700</v>
      </c>
      <c r="T1781" t="s">
        <v>218</v>
      </c>
      <c r="U1781" t="s">
        <v>1259</v>
      </c>
      <c r="V1781" s="4">
        <v>17</v>
      </c>
      <c r="W1781">
        <v>0</v>
      </c>
    </row>
    <row r="1782" spans="1:23" hidden="1" x14ac:dyDescent="0.25">
      <c r="A1782" s="2">
        <v>46013.631793981483</v>
      </c>
      <c r="B1782">
        <v>4373</v>
      </c>
      <c r="C1782" t="s">
        <v>1257</v>
      </c>
      <c r="D1782" s="3">
        <v>46010</v>
      </c>
      <c r="E1782" s="3">
        <v>46264</v>
      </c>
      <c r="F1782" t="s">
        <v>98</v>
      </c>
      <c r="H1782" t="s">
        <v>22</v>
      </c>
      <c r="I1782" t="s">
        <v>760</v>
      </c>
      <c r="K1782" t="s">
        <v>546</v>
      </c>
      <c r="L1782" s="4">
        <v>790</v>
      </c>
      <c r="M1782" t="s">
        <v>1265</v>
      </c>
      <c r="N1782" t="s">
        <v>46</v>
      </c>
      <c r="O1782" s="4">
        <v>5</v>
      </c>
      <c r="P1782">
        <v>0</v>
      </c>
      <c r="Q1782" s="4">
        <v>5</v>
      </c>
      <c r="R1782" s="12">
        <f t="shared" si="27"/>
        <v>3950</v>
      </c>
      <c r="T1782" t="s">
        <v>218</v>
      </c>
      <c r="U1782" t="s">
        <v>1259</v>
      </c>
      <c r="V1782" s="4">
        <v>790</v>
      </c>
      <c r="W1782">
        <v>0</v>
      </c>
    </row>
    <row r="1783" spans="1:23" hidden="1" x14ac:dyDescent="0.25">
      <c r="A1783" s="2">
        <v>46013.631793981483</v>
      </c>
      <c r="B1783">
        <v>4373</v>
      </c>
      <c r="C1783" t="s">
        <v>1257</v>
      </c>
      <c r="D1783" s="3">
        <v>46010</v>
      </c>
      <c r="E1783" s="3">
        <v>46264</v>
      </c>
      <c r="F1783" t="s">
        <v>98</v>
      </c>
      <c r="G1783" t="s">
        <v>1493</v>
      </c>
      <c r="H1783" t="s">
        <v>22</v>
      </c>
      <c r="I1783" t="s">
        <v>44</v>
      </c>
      <c r="J1783" t="s">
        <v>1491</v>
      </c>
      <c r="K1783" t="s">
        <v>31</v>
      </c>
      <c r="L1783" s="4">
        <v>400</v>
      </c>
      <c r="M1783" t="s">
        <v>1265</v>
      </c>
      <c r="N1783" t="s">
        <v>46</v>
      </c>
      <c r="O1783" s="4">
        <v>5</v>
      </c>
      <c r="P1783">
        <v>0</v>
      </c>
      <c r="Q1783" s="4">
        <v>5</v>
      </c>
      <c r="R1783" s="12">
        <f t="shared" si="27"/>
        <v>2000</v>
      </c>
      <c r="T1783" t="s">
        <v>218</v>
      </c>
      <c r="U1783" t="s">
        <v>1259</v>
      </c>
      <c r="V1783" s="4">
        <v>400</v>
      </c>
      <c r="W1783">
        <v>0</v>
      </c>
    </row>
    <row r="1784" spans="1:23" x14ac:dyDescent="0.25">
      <c r="A1784" s="2">
        <v>46028.463969907411</v>
      </c>
      <c r="B1784">
        <v>4408</v>
      </c>
      <c r="C1784" t="s">
        <v>1257</v>
      </c>
      <c r="D1784" s="3">
        <v>46028</v>
      </c>
      <c r="E1784" s="3">
        <v>46142</v>
      </c>
      <c r="F1784" t="s">
        <v>98</v>
      </c>
      <c r="H1784" t="s">
        <v>22</v>
      </c>
      <c r="I1784" t="s">
        <v>35</v>
      </c>
      <c r="J1784" t="s">
        <v>1490</v>
      </c>
      <c r="K1784" t="s">
        <v>24</v>
      </c>
      <c r="L1784" s="4">
        <v>69</v>
      </c>
      <c r="M1784" t="s">
        <v>1266</v>
      </c>
      <c r="N1784" t="s">
        <v>26</v>
      </c>
      <c r="O1784" s="4">
        <v>15</v>
      </c>
      <c r="P1784">
        <v>0</v>
      </c>
      <c r="Q1784" s="4">
        <v>15</v>
      </c>
      <c r="R1784" s="12">
        <f t="shared" si="27"/>
        <v>1035</v>
      </c>
      <c r="T1784" t="s">
        <v>218</v>
      </c>
      <c r="U1784" t="s">
        <v>1259</v>
      </c>
      <c r="V1784" s="4">
        <v>69</v>
      </c>
      <c r="W1784">
        <v>0</v>
      </c>
    </row>
    <row r="1785" spans="1:23" hidden="1" x14ac:dyDescent="0.25">
      <c r="A1785" s="2">
        <v>46043.327881944446</v>
      </c>
      <c r="B1785">
        <v>4470</v>
      </c>
      <c r="C1785" t="s">
        <v>1257</v>
      </c>
      <c r="D1785" s="3">
        <v>46043</v>
      </c>
      <c r="E1785" s="3">
        <v>46233</v>
      </c>
      <c r="F1785" t="s">
        <v>98</v>
      </c>
      <c r="H1785" t="s">
        <v>22</v>
      </c>
      <c r="I1785" t="s">
        <v>878</v>
      </c>
      <c r="K1785" t="s">
        <v>24</v>
      </c>
      <c r="L1785" s="4">
        <v>49</v>
      </c>
      <c r="M1785" t="s">
        <v>1267</v>
      </c>
      <c r="N1785" t="s">
        <v>46</v>
      </c>
      <c r="O1785" s="4">
        <v>320</v>
      </c>
      <c r="P1785">
        <v>0</v>
      </c>
      <c r="Q1785" s="4">
        <v>320</v>
      </c>
      <c r="R1785" s="12">
        <f t="shared" si="27"/>
        <v>15680</v>
      </c>
      <c r="T1785" t="s">
        <v>218</v>
      </c>
      <c r="U1785" t="s">
        <v>1259</v>
      </c>
      <c r="V1785" s="4">
        <v>49</v>
      </c>
      <c r="W1785">
        <v>0</v>
      </c>
    </row>
    <row r="1786" spans="1:23" hidden="1" x14ac:dyDescent="0.25">
      <c r="A1786" s="2">
        <v>46045.379571759258</v>
      </c>
      <c r="B1786">
        <v>4483</v>
      </c>
      <c r="C1786" t="s">
        <v>1257</v>
      </c>
      <c r="D1786" s="3">
        <v>46045</v>
      </c>
      <c r="E1786" s="3">
        <v>46264</v>
      </c>
      <c r="F1786" t="s">
        <v>98</v>
      </c>
      <c r="G1786" t="s">
        <v>1493</v>
      </c>
      <c r="H1786" t="s">
        <v>22</v>
      </c>
      <c r="I1786" t="s">
        <v>41</v>
      </c>
      <c r="J1786" t="s">
        <v>1491</v>
      </c>
      <c r="K1786" t="s">
        <v>24</v>
      </c>
      <c r="L1786" s="4">
        <v>341</v>
      </c>
      <c r="M1786" t="s">
        <v>1268</v>
      </c>
      <c r="N1786" t="s">
        <v>46</v>
      </c>
      <c r="O1786" s="4">
        <v>16</v>
      </c>
      <c r="P1786">
        <v>0</v>
      </c>
      <c r="Q1786" s="4">
        <v>16</v>
      </c>
      <c r="R1786" s="12">
        <f t="shared" si="27"/>
        <v>5456</v>
      </c>
      <c r="T1786" t="s">
        <v>218</v>
      </c>
      <c r="U1786" t="s">
        <v>1259</v>
      </c>
      <c r="V1786" s="4">
        <v>341</v>
      </c>
      <c r="W1786">
        <v>0</v>
      </c>
    </row>
    <row r="1787" spans="1:23" hidden="1" x14ac:dyDescent="0.25">
      <c r="A1787" s="2">
        <v>46066.722048611111</v>
      </c>
      <c r="B1787">
        <v>4562</v>
      </c>
      <c r="C1787" t="s">
        <v>1257</v>
      </c>
      <c r="D1787" s="3">
        <v>46066</v>
      </c>
      <c r="E1787" s="3">
        <v>46233</v>
      </c>
      <c r="F1787" t="s">
        <v>98</v>
      </c>
      <c r="H1787" t="s">
        <v>22</v>
      </c>
      <c r="I1787" t="s">
        <v>878</v>
      </c>
      <c r="K1787" t="s">
        <v>24</v>
      </c>
      <c r="L1787" s="4">
        <v>49</v>
      </c>
      <c r="M1787" t="s">
        <v>1269</v>
      </c>
      <c r="N1787" t="s">
        <v>46</v>
      </c>
      <c r="O1787" s="4">
        <v>150</v>
      </c>
      <c r="P1787">
        <v>0</v>
      </c>
      <c r="Q1787" s="4">
        <v>150</v>
      </c>
      <c r="R1787" s="12">
        <f t="shared" si="27"/>
        <v>7350</v>
      </c>
      <c r="T1787" t="s">
        <v>218</v>
      </c>
      <c r="U1787" t="s">
        <v>1259</v>
      </c>
      <c r="V1787" s="4">
        <v>49</v>
      </c>
      <c r="W1787">
        <v>0</v>
      </c>
    </row>
    <row r="1788" spans="1:23" hidden="1" x14ac:dyDescent="0.25">
      <c r="A1788" s="2">
        <v>46094.607627314814</v>
      </c>
      <c r="B1788">
        <v>4652</v>
      </c>
      <c r="C1788" t="s">
        <v>1257</v>
      </c>
      <c r="D1788" s="3">
        <v>46094</v>
      </c>
      <c r="E1788" s="3">
        <v>46264</v>
      </c>
      <c r="F1788" t="s">
        <v>98</v>
      </c>
      <c r="H1788" t="s">
        <v>22</v>
      </c>
      <c r="I1788" t="s">
        <v>35</v>
      </c>
      <c r="J1788" t="s">
        <v>1490</v>
      </c>
      <c r="K1788" t="s">
        <v>24</v>
      </c>
      <c r="L1788" s="4">
        <v>69</v>
      </c>
      <c r="M1788" t="s">
        <v>1270</v>
      </c>
      <c r="N1788" t="s">
        <v>46</v>
      </c>
      <c r="O1788" s="4">
        <v>20</v>
      </c>
      <c r="P1788">
        <v>0</v>
      </c>
      <c r="Q1788" s="4">
        <v>20</v>
      </c>
      <c r="R1788" s="12">
        <f t="shared" si="27"/>
        <v>1380</v>
      </c>
      <c r="T1788" t="s">
        <v>218</v>
      </c>
      <c r="U1788" t="s">
        <v>1259</v>
      </c>
      <c r="V1788" s="4">
        <v>69</v>
      </c>
      <c r="W1788">
        <v>0</v>
      </c>
    </row>
    <row r="1789" spans="1:23" hidden="1" x14ac:dyDescent="0.25">
      <c r="A1789" s="2">
        <v>45840.697743055556</v>
      </c>
      <c r="B1789">
        <v>3911</v>
      </c>
      <c r="C1789" t="s">
        <v>1271</v>
      </c>
      <c r="D1789" s="3">
        <v>45840</v>
      </c>
      <c r="E1789" s="3">
        <v>46111</v>
      </c>
      <c r="F1789" t="s">
        <v>21</v>
      </c>
      <c r="G1789" t="s">
        <v>1493</v>
      </c>
      <c r="H1789" t="s">
        <v>22</v>
      </c>
      <c r="I1789" t="s">
        <v>43</v>
      </c>
      <c r="J1789" t="s">
        <v>1491</v>
      </c>
      <c r="K1789" t="s">
        <v>24</v>
      </c>
      <c r="L1789" s="4">
        <v>39</v>
      </c>
      <c r="M1789" t="s">
        <v>1272</v>
      </c>
      <c r="N1789" t="s">
        <v>26</v>
      </c>
      <c r="O1789" s="4">
        <v>531</v>
      </c>
      <c r="P1789">
        <v>0</v>
      </c>
      <c r="Q1789" s="4">
        <v>531</v>
      </c>
      <c r="R1789" s="12">
        <f t="shared" si="27"/>
        <v>20709</v>
      </c>
      <c r="T1789" t="s">
        <v>68</v>
      </c>
      <c r="U1789" t="s">
        <v>1273</v>
      </c>
      <c r="V1789" s="4">
        <v>39</v>
      </c>
      <c r="W1789">
        <v>0</v>
      </c>
    </row>
    <row r="1790" spans="1:23" hidden="1" x14ac:dyDescent="0.25">
      <c r="A1790" s="2">
        <v>45840.697743055556</v>
      </c>
      <c r="B1790">
        <v>3911</v>
      </c>
      <c r="C1790" t="s">
        <v>1271</v>
      </c>
      <c r="D1790" s="3">
        <v>45840</v>
      </c>
      <c r="E1790" s="3">
        <v>46111</v>
      </c>
      <c r="F1790" t="s">
        <v>21</v>
      </c>
      <c r="G1790" t="s">
        <v>1493</v>
      </c>
      <c r="H1790" t="s">
        <v>22</v>
      </c>
      <c r="I1790" t="s">
        <v>40</v>
      </c>
      <c r="J1790" t="s">
        <v>1491</v>
      </c>
      <c r="K1790" t="s">
        <v>24</v>
      </c>
      <c r="L1790" s="4">
        <v>289</v>
      </c>
      <c r="M1790" t="s">
        <v>1272</v>
      </c>
      <c r="N1790" t="s">
        <v>26</v>
      </c>
      <c r="O1790" s="4">
        <v>265</v>
      </c>
      <c r="P1790">
        <v>0</v>
      </c>
      <c r="Q1790" s="4">
        <v>265</v>
      </c>
      <c r="R1790" s="12">
        <f t="shared" si="27"/>
        <v>76585</v>
      </c>
      <c r="T1790" t="s">
        <v>68</v>
      </c>
      <c r="U1790" t="s">
        <v>1273</v>
      </c>
      <c r="V1790" s="4">
        <v>289</v>
      </c>
      <c r="W1790">
        <v>0</v>
      </c>
    </row>
    <row r="1791" spans="1:23" hidden="1" x14ac:dyDescent="0.25">
      <c r="A1791" s="2">
        <v>45840.697743055556</v>
      </c>
      <c r="B1791">
        <v>3911</v>
      </c>
      <c r="C1791" t="s">
        <v>1271</v>
      </c>
      <c r="D1791" s="3">
        <v>45840</v>
      </c>
      <c r="E1791" s="3">
        <v>46111</v>
      </c>
      <c r="F1791" t="s">
        <v>21</v>
      </c>
      <c r="G1791" t="s">
        <v>1493</v>
      </c>
      <c r="H1791" t="s">
        <v>22</v>
      </c>
      <c r="I1791" t="s">
        <v>41</v>
      </c>
      <c r="J1791" t="s">
        <v>1491</v>
      </c>
      <c r="K1791" t="s">
        <v>24</v>
      </c>
      <c r="L1791" s="4">
        <v>288</v>
      </c>
      <c r="M1791" t="s">
        <v>1272</v>
      </c>
      <c r="N1791" t="s">
        <v>26</v>
      </c>
      <c r="O1791" s="4">
        <v>265</v>
      </c>
      <c r="P1791">
        <v>0</v>
      </c>
      <c r="Q1791" s="4">
        <v>265</v>
      </c>
      <c r="R1791" s="12">
        <f t="shared" si="27"/>
        <v>76320</v>
      </c>
      <c r="T1791" t="s">
        <v>68</v>
      </c>
      <c r="U1791" t="s">
        <v>1273</v>
      </c>
      <c r="V1791" s="4">
        <v>288</v>
      </c>
      <c r="W1791">
        <v>0</v>
      </c>
    </row>
    <row r="1792" spans="1:23" hidden="1" x14ac:dyDescent="0.25">
      <c r="A1792" s="2">
        <v>45840.697743055556</v>
      </c>
      <c r="B1792">
        <v>3911</v>
      </c>
      <c r="C1792" t="s">
        <v>1271</v>
      </c>
      <c r="D1792" s="3">
        <v>45840</v>
      </c>
      <c r="E1792" s="3">
        <v>46111</v>
      </c>
      <c r="F1792" t="s">
        <v>21</v>
      </c>
      <c r="G1792" t="s">
        <v>1493</v>
      </c>
      <c r="H1792" t="s">
        <v>22</v>
      </c>
      <c r="I1792" t="s">
        <v>59</v>
      </c>
      <c r="J1792" t="s">
        <v>1491</v>
      </c>
      <c r="K1792" t="s">
        <v>24</v>
      </c>
      <c r="L1792" s="4">
        <v>39</v>
      </c>
      <c r="M1792" t="s">
        <v>1272</v>
      </c>
      <c r="N1792" t="s">
        <v>26</v>
      </c>
      <c r="O1792" s="4">
        <v>531</v>
      </c>
      <c r="P1792">
        <v>0</v>
      </c>
      <c r="Q1792" s="4">
        <v>531</v>
      </c>
      <c r="R1792" s="12">
        <f t="shared" si="27"/>
        <v>20709</v>
      </c>
      <c r="T1792" t="s">
        <v>68</v>
      </c>
      <c r="U1792" t="s">
        <v>1273</v>
      </c>
      <c r="V1792" s="4">
        <v>39</v>
      </c>
      <c r="W1792">
        <v>0</v>
      </c>
    </row>
    <row r="1793" spans="1:23" hidden="1" x14ac:dyDescent="0.25">
      <c r="A1793" s="2">
        <v>45840.697743055556</v>
      </c>
      <c r="B1793">
        <v>3911</v>
      </c>
      <c r="C1793" t="s">
        <v>1271</v>
      </c>
      <c r="D1793" s="3">
        <v>45840</v>
      </c>
      <c r="E1793" s="3">
        <v>46111</v>
      </c>
      <c r="F1793" t="s">
        <v>21</v>
      </c>
      <c r="G1793" t="s">
        <v>1493</v>
      </c>
      <c r="H1793" t="s">
        <v>22</v>
      </c>
      <c r="I1793" t="s">
        <v>38</v>
      </c>
      <c r="J1793" t="s">
        <v>1491</v>
      </c>
      <c r="K1793" t="s">
        <v>24</v>
      </c>
      <c r="L1793" s="4">
        <v>47.25</v>
      </c>
      <c r="M1793" t="s">
        <v>1272</v>
      </c>
      <c r="N1793" t="s">
        <v>26</v>
      </c>
      <c r="O1793" s="4">
        <v>531</v>
      </c>
      <c r="P1793">
        <v>0</v>
      </c>
      <c r="Q1793" s="4">
        <v>531</v>
      </c>
      <c r="R1793" s="12">
        <f t="shared" si="27"/>
        <v>25089.75</v>
      </c>
      <c r="T1793" t="s">
        <v>68</v>
      </c>
      <c r="U1793" t="s">
        <v>1273</v>
      </c>
      <c r="V1793" s="4">
        <v>47.25</v>
      </c>
      <c r="W1793">
        <v>0</v>
      </c>
    </row>
    <row r="1794" spans="1:23" hidden="1" x14ac:dyDescent="0.25">
      <c r="A1794" s="2">
        <v>45840.697743055556</v>
      </c>
      <c r="B1794">
        <v>3911</v>
      </c>
      <c r="C1794" t="s">
        <v>1271</v>
      </c>
      <c r="D1794" s="3">
        <v>45840</v>
      </c>
      <c r="E1794" s="3">
        <v>46111</v>
      </c>
      <c r="F1794" t="s">
        <v>21</v>
      </c>
      <c r="G1794" t="s">
        <v>1493</v>
      </c>
      <c r="H1794" t="s">
        <v>22</v>
      </c>
      <c r="I1794" t="s">
        <v>63</v>
      </c>
      <c r="J1794" t="s">
        <v>1491</v>
      </c>
      <c r="K1794" t="s">
        <v>31</v>
      </c>
      <c r="L1794" s="4">
        <v>182.5</v>
      </c>
      <c r="M1794" t="s">
        <v>1272</v>
      </c>
      <c r="N1794" t="s">
        <v>26</v>
      </c>
      <c r="O1794" s="4">
        <v>530</v>
      </c>
      <c r="P1794">
        <v>0</v>
      </c>
      <c r="Q1794" s="4">
        <v>530</v>
      </c>
      <c r="R1794" s="12">
        <f t="shared" si="27"/>
        <v>96725</v>
      </c>
      <c r="T1794" t="s">
        <v>68</v>
      </c>
      <c r="U1794" t="s">
        <v>1273</v>
      </c>
      <c r="V1794" s="4">
        <v>182.5</v>
      </c>
      <c r="W1794">
        <v>0</v>
      </c>
    </row>
    <row r="1795" spans="1:23" hidden="1" x14ac:dyDescent="0.25">
      <c r="A1795" s="2">
        <v>45840.700023148151</v>
      </c>
      <c r="B1795">
        <v>3912</v>
      </c>
      <c r="C1795" t="s">
        <v>1271</v>
      </c>
      <c r="D1795" s="3">
        <v>45840</v>
      </c>
      <c r="E1795" s="3">
        <v>46264</v>
      </c>
      <c r="F1795" t="s">
        <v>21</v>
      </c>
      <c r="G1795" t="s">
        <v>1493</v>
      </c>
      <c r="H1795" t="s">
        <v>22</v>
      </c>
      <c r="I1795" t="s">
        <v>40</v>
      </c>
      <c r="J1795" t="s">
        <v>1491</v>
      </c>
      <c r="K1795" t="s">
        <v>24</v>
      </c>
      <c r="L1795" s="4">
        <v>289</v>
      </c>
      <c r="M1795" t="s">
        <v>1274</v>
      </c>
      <c r="N1795" t="s">
        <v>46</v>
      </c>
      <c r="O1795" s="4">
        <v>106</v>
      </c>
      <c r="P1795">
        <v>0</v>
      </c>
      <c r="Q1795" s="4">
        <v>106</v>
      </c>
      <c r="R1795" s="12">
        <f t="shared" ref="R1795:R1858" si="28">Q1795*L1795</f>
        <v>30634</v>
      </c>
      <c r="T1795" t="s">
        <v>68</v>
      </c>
      <c r="U1795" t="s">
        <v>1273</v>
      </c>
      <c r="V1795" s="4">
        <v>289</v>
      </c>
      <c r="W1795">
        <v>0</v>
      </c>
    </row>
    <row r="1796" spans="1:23" hidden="1" x14ac:dyDescent="0.25">
      <c r="A1796" s="2">
        <v>45840.700023148151</v>
      </c>
      <c r="B1796">
        <v>3912</v>
      </c>
      <c r="C1796" t="s">
        <v>1271</v>
      </c>
      <c r="D1796" s="3">
        <v>45840</v>
      </c>
      <c r="E1796" s="3">
        <v>46264</v>
      </c>
      <c r="F1796" t="s">
        <v>21</v>
      </c>
      <c r="G1796" t="s">
        <v>1493</v>
      </c>
      <c r="H1796" t="s">
        <v>22</v>
      </c>
      <c r="I1796" t="s">
        <v>41</v>
      </c>
      <c r="J1796" t="s">
        <v>1491</v>
      </c>
      <c r="K1796" t="s">
        <v>24</v>
      </c>
      <c r="L1796" s="4">
        <v>288</v>
      </c>
      <c r="M1796" t="s">
        <v>1274</v>
      </c>
      <c r="N1796" t="s">
        <v>46</v>
      </c>
      <c r="O1796" s="4">
        <v>106</v>
      </c>
      <c r="P1796">
        <v>0</v>
      </c>
      <c r="Q1796" s="4">
        <v>106</v>
      </c>
      <c r="R1796" s="12">
        <f t="shared" si="28"/>
        <v>30528</v>
      </c>
      <c r="T1796" t="s">
        <v>68</v>
      </c>
      <c r="U1796" t="s">
        <v>1273</v>
      </c>
      <c r="V1796" s="4">
        <v>288</v>
      </c>
      <c r="W1796">
        <v>0</v>
      </c>
    </row>
    <row r="1797" spans="1:23" hidden="1" x14ac:dyDescent="0.25">
      <c r="A1797" s="2">
        <v>45840.700023148151</v>
      </c>
      <c r="B1797">
        <v>3912</v>
      </c>
      <c r="C1797" t="s">
        <v>1271</v>
      </c>
      <c r="D1797" s="3">
        <v>45840</v>
      </c>
      <c r="E1797" s="3">
        <v>46264</v>
      </c>
      <c r="F1797" t="s">
        <v>21</v>
      </c>
      <c r="G1797" t="s">
        <v>1493</v>
      </c>
      <c r="H1797" t="s">
        <v>22</v>
      </c>
      <c r="I1797" t="s">
        <v>38</v>
      </c>
      <c r="J1797" t="s">
        <v>1491</v>
      </c>
      <c r="K1797" t="s">
        <v>24</v>
      </c>
      <c r="L1797" s="4">
        <v>47.25</v>
      </c>
      <c r="M1797" t="s">
        <v>1274</v>
      </c>
      <c r="N1797" t="s">
        <v>46</v>
      </c>
      <c r="O1797" s="4">
        <v>531</v>
      </c>
      <c r="P1797">
        <v>0</v>
      </c>
      <c r="Q1797" s="4">
        <v>531</v>
      </c>
      <c r="R1797" s="12">
        <f t="shared" si="28"/>
        <v>25089.75</v>
      </c>
      <c r="T1797" t="s">
        <v>68</v>
      </c>
      <c r="U1797" t="s">
        <v>1273</v>
      </c>
      <c r="V1797" s="4">
        <v>47.25</v>
      </c>
      <c r="W1797">
        <v>0</v>
      </c>
    </row>
    <row r="1798" spans="1:23" hidden="1" x14ac:dyDescent="0.25">
      <c r="A1798" s="2">
        <v>45840.700023148151</v>
      </c>
      <c r="B1798">
        <v>3912</v>
      </c>
      <c r="C1798" t="s">
        <v>1271</v>
      </c>
      <c r="D1798" s="3">
        <v>45840</v>
      </c>
      <c r="E1798" s="3">
        <v>46264</v>
      </c>
      <c r="F1798" t="s">
        <v>21</v>
      </c>
      <c r="G1798" t="s">
        <v>1493</v>
      </c>
      <c r="H1798" t="s">
        <v>22</v>
      </c>
      <c r="I1798" t="s">
        <v>201</v>
      </c>
      <c r="J1798" t="s">
        <v>1491</v>
      </c>
      <c r="K1798" t="s">
        <v>24</v>
      </c>
      <c r="L1798" s="4">
        <v>50</v>
      </c>
      <c r="M1798" t="s">
        <v>1274</v>
      </c>
      <c r="N1798" t="s">
        <v>46</v>
      </c>
      <c r="O1798" s="4">
        <v>5300</v>
      </c>
      <c r="P1798">
        <v>0</v>
      </c>
      <c r="Q1798" s="4">
        <v>5300</v>
      </c>
      <c r="R1798" s="12">
        <f t="shared" si="28"/>
        <v>265000</v>
      </c>
      <c r="T1798" t="s">
        <v>68</v>
      </c>
      <c r="U1798" t="s">
        <v>1273</v>
      </c>
      <c r="V1798" s="4">
        <v>50</v>
      </c>
      <c r="W1798">
        <v>0</v>
      </c>
    </row>
    <row r="1799" spans="1:23" hidden="1" x14ac:dyDescent="0.25">
      <c r="A1799" s="2">
        <v>45840.700023148151</v>
      </c>
      <c r="B1799">
        <v>3912</v>
      </c>
      <c r="C1799" t="s">
        <v>1271</v>
      </c>
      <c r="D1799" s="3">
        <v>45840</v>
      </c>
      <c r="E1799" s="3">
        <v>46264</v>
      </c>
      <c r="F1799" t="s">
        <v>21</v>
      </c>
      <c r="G1799" t="s">
        <v>1493</v>
      </c>
      <c r="H1799" t="s">
        <v>22</v>
      </c>
      <c r="I1799" t="s">
        <v>63</v>
      </c>
      <c r="J1799" t="s">
        <v>1491</v>
      </c>
      <c r="K1799" t="s">
        <v>31</v>
      </c>
      <c r="L1799" s="4">
        <v>182.5</v>
      </c>
      <c r="M1799" t="s">
        <v>1274</v>
      </c>
      <c r="N1799" t="s">
        <v>46</v>
      </c>
      <c r="O1799" s="4">
        <v>424</v>
      </c>
      <c r="P1799">
        <v>0</v>
      </c>
      <c r="Q1799" s="4">
        <v>424</v>
      </c>
      <c r="R1799" s="12">
        <f t="shared" si="28"/>
        <v>77380</v>
      </c>
      <c r="T1799" t="s">
        <v>68</v>
      </c>
      <c r="U1799" t="s">
        <v>1273</v>
      </c>
      <c r="V1799" s="4">
        <v>182.5</v>
      </c>
      <c r="W1799">
        <v>0</v>
      </c>
    </row>
    <row r="1800" spans="1:23" hidden="1" x14ac:dyDescent="0.25">
      <c r="A1800" s="2">
        <v>45993.433738425927</v>
      </c>
      <c r="B1800">
        <v>4315</v>
      </c>
      <c r="C1800" t="s">
        <v>1271</v>
      </c>
      <c r="D1800" s="3">
        <v>45993</v>
      </c>
      <c r="E1800" s="3">
        <v>46111</v>
      </c>
      <c r="F1800" t="s">
        <v>21</v>
      </c>
      <c r="H1800" t="s">
        <v>22</v>
      </c>
      <c r="I1800" t="s">
        <v>1275</v>
      </c>
      <c r="J1800" t="s">
        <v>1490</v>
      </c>
      <c r="K1800" t="s">
        <v>31</v>
      </c>
      <c r="L1800" s="4">
        <v>62</v>
      </c>
      <c r="M1800" t="s">
        <v>1276</v>
      </c>
      <c r="N1800" t="s">
        <v>26</v>
      </c>
      <c r="O1800" s="4">
        <v>125</v>
      </c>
      <c r="P1800">
        <v>0</v>
      </c>
      <c r="Q1800" s="4">
        <v>125</v>
      </c>
      <c r="R1800" s="12">
        <f t="shared" si="28"/>
        <v>7750</v>
      </c>
      <c r="T1800" t="s">
        <v>68</v>
      </c>
      <c r="U1800" t="s">
        <v>1273</v>
      </c>
      <c r="V1800" s="4">
        <v>62</v>
      </c>
      <c r="W1800">
        <v>0</v>
      </c>
    </row>
    <row r="1801" spans="1:23" hidden="1" x14ac:dyDescent="0.25">
      <c r="A1801" s="2">
        <v>45999.73296296296</v>
      </c>
      <c r="B1801">
        <v>4333</v>
      </c>
      <c r="C1801" t="s">
        <v>1271</v>
      </c>
      <c r="D1801" s="3">
        <v>45999</v>
      </c>
      <c r="E1801" s="3">
        <v>46111</v>
      </c>
      <c r="F1801" t="s">
        <v>21</v>
      </c>
      <c r="H1801" t="s">
        <v>22</v>
      </c>
      <c r="I1801" t="s">
        <v>1275</v>
      </c>
      <c r="J1801" t="s">
        <v>1490</v>
      </c>
      <c r="K1801" t="s">
        <v>31</v>
      </c>
      <c r="L1801" s="4">
        <v>62</v>
      </c>
      <c r="M1801" t="s">
        <v>1277</v>
      </c>
      <c r="N1801" t="s">
        <v>26</v>
      </c>
      <c r="O1801" s="4">
        <v>50</v>
      </c>
      <c r="P1801">
        <v>0</v>
      </c>
      <c r="Q1801" s="4">
        <v>50</v>
      </c>
      <c r="R1801" s="12">
        <f t="shared" si="28"/>
        <v>3100</v>
      </c>
      <c r="T1801" t="s">
        <v>68</v>
      </c>
      <c r="U1801" t="s">
        <v>1273</v>
      </c>
      <c r="V1801" s="4">
        <v>62</v>
      </c>
      <c r="W1801">
        <v>0</v>
      </c>
    </row>
    <row r="1802" spans="1:23" hidden="1" x14ac:dyDescent="0.25">
      <c r="A1802" s="2">
        <v>45834.629548611112</v>
      </c>
      <c r="B1802">
        <v>242</v>
      </c>
      <c r="C1802" t="s">
        <v>1278</v>
      </c>
      <c r="D1802" s="3">
        <v>45834</v>
      </c>
      <c r="E1802" s="3">
        <v>45930</v>
      </c>
      <c r="F1802" t="s">
        <v>66</v>
      </c>
      <c r="H1802" t="s">
        <v>484</v>
      </c>
      <c r="I1802" t="s">
        <v>691</v>
      </c>
      <c r="K1802" t="s">
        <v>31</v>
      </c>
      <c r="L1802" s="4">
        <v>23.75</v>
      </c>
      <c r="M1802" t="s">
        <v>1279</v>
      </c>
      <c r="N1802" t="s">
        <v>26</v>
      </c>
      <c r="O1802" s="4">
        <v>388.8</v>
      </c>
      <c r="P1802">
        <v>0</v>
      </c>
      <c r="Q1802" s="4">
        <v>388.8</v>
      </c>
      <c r="R1802" s="12">
        <f t="shared" si="28"/>
        <v>9234</v>
      </c>
      <c r="T1802" t="s">
        <v>486</v>
      </c>
      <c r="U1802" t="s">
        <v>1280</v>
      </c>
      <c r="V1802" s="4">
        <v>23.75</v>
      </c>
      <c r="W1802">
        <v>0</v>
      </c>
    </row>
    <row r="1803" spans="1:23" hidden="1" x14ac:dyDescent="0.25">
      <c r="A1803" s="2">
        <v>45834.629548611112</v>
      </c>
      <c r="B1803">
        <v>242</v>
      </c>
      <c r="C1803" t="s">
        <v>1278</v>
      </c>
      <c r="D1803" s="3">
        <v>45834</v>
      </c>
      <c r="E1803" s="3">
        <v>45930</v>
      </c>
      <c r="F1803" t="s">
        <v>66</v>
      </c>
      <c r="G1803" t="s">
        <v>1494</v>
      </c>
      <c r="H1803" t="s">
        <v>484</v>
      </c>
      <c r="I1803" t="s">
        <v>43</v>
      </c>
      <c r="J1803" t="s">
        <v>1491</v>
      </c>
      <c r="K1803" t="s">
        <v>24</v>
      </c>
      <c r="L1803" s="4">
        <v>36</v>
      </c>
      <c r="M1803" t="s">
        <v>1279</v>
      </c>
      <c r="N1803" t="s">
        <v>26</v>
      </c>
      <c r="O1803" s="4">
        <v>252</v>
      </c>
      <c r="P1803">
        <v>0</v>
      </c>
      <c r="Q1803" s="4">
        <v>252</v>
      </c>
      <c r="R1803" s="12">
        <f t="shared" si="28"/>
        <v>9072</v>
      </c>
      <c r="T1803" t="s">
        <v>486</v>
      </c>
      <c r="U1803" t="s">
        <v>1280</v>
      </c>
      <c r="V1803" s="4">
        <v>36</v>
      </c>
      <c r="W1803">
        <v>0</v>
      </c>
    </row>
    <row r="1804" spans="1:23" hidden="1" x14ac:dyDescent="0.25">
      <c r="A1804" s="2">
        <v>45834.629548611112</v>
      </c>
      <c r="B1804">
        <v>242</v>
      </c>
      <c r="C1804" t="s">
        <v>1278</v>
      </c>
      <c r="D1804" s="3">
        <v>45834</v>
      </c>
      <c r="E1804" s="3">
        <v>45930</v>
      </c>
      <c r="F1804" t="s">
        <v>66</v>
      </c>
      <c r="G1804" t="s">
        <v>1494</v>
      </c>
      <c r="H1804" t="s">
        <v>484</v>
      </c>
      <c r="I1804" t="s">
        <v>63</v>
      </c>
      <c r="J1804" t="s">
        <v>1491</v>
      </c>
      <c r="K1804" t="s">
        <v>31</v>
      </c>
      <c r="L1804" s="4">
        <v>182</v>
      </c>
      <c r="M1804" t="s">
        <v>1279</v>
      </c>
      <c r="N1804" t="s">
        <v>26</v>
      </c>
      <c r="O1804" s="4">
        <v>240</v>
      </c>
      <c r="P1804">
        <v>0</v>
      </c>
      <c r="Q1804" s="4">
        <v>240</v>
      </c>
      <c r="R1804" s="12">
        <f t="shared" si="28"/>
        <v>43680</v>
      </c>
      <c r="T1804" t="s">
        <v>486</v>
      </c>
      <c r="U1804" t="s">
        <v>1280</v>
      </c>
      <c r="V1804" s="4">
        <v>182</v>
      </c>
      <c r="W1804">
        <v>0</v>
      </c>
    </row>
    <row r="1805" spans="1:23" hidden="1" x14ac:dyDescent="0.25">
      <c r="A1805" s="2">
        <v>45834.629548611112</v>
      </c>
      <c r="B1805">
        <v>242</v>
      </c>
      <c r="C1805" t="s">
        <v>1278</v>
      </c>
      <c r="D1805" s="3">
        <v>45834</v>
      </c>
      <c r="E1805" s="3">
        <v>45930</v>
      </c>
      <c r="F1805" t="s">
        <v>66</v>
      </c>
      <c r="H1805" t="s">
        <v>484</v>
      </c>
      <c r="I1805" t="s">
        <v>335</v>
      </c>
      <c r="K1805" t="s">
        <v>24</v>
      </c>
      <c r="L1805" s="4">
        <v>10</v>
      </c>
      <c r="M1805" t="s">
        <v>1279</v>
      </c>
      <c r="N1805" t="s">
        <v>26</v>
      </c>
      <c r="O1805" s="4">
        <v>2900</v>
      </c>
      <c r="P1805">
        <v>0</v>
      </c>
      <c r="Q1805" s="4">
        <v>2900</v>
      </c>
      <c r="R1805" s="12">
        <f t="shared" si="28"/>
        <v>29000</v>
      </c>
      <c r="T1805" t="s">
        <v>486</v>
      </c>
      <c r="U1805" t="s">
        <v>1280</v>
      </c>
      <c r="V1805" s="4">
        <v>10</v>
      </c>
      <c r="W1805">
        <v>0</v>
      </c>
    </row>
    <row r="1806" spans="1:23" hidden="1" x14ac:dyDescent="0.25">
      <c r="A1806" s="2">
        <v>45923.615763888891</v>
      </c>
      <c r="B1806">
        <v>4076</v>
      </c>
      <c r="C1806" t="s">
        <v>1281</v>
      </c>
      <c r="D1806" s="3">
        <v>45923</v>
      </c>
      <c r="E1806" s="3">
        <v>45923</v>
      </c>
      <c r="F1806" t="s">
        <v>79</v>
      </c>
      <c r="H1806" t="s">
        <v>22</v>
      </c>
      <c r="I1806" t="s">
        <v>53</v>
      </c>
      <c r="K1806" t="s">
        <v>24</v>
      </c>
      <c r="L1806" s="4">
        <v>138</v>
      </c>
      <c r="M1806" t="s">
        <v>1282</v>
      </c>
      <c r="N1806" t="s">
        <v>26</v>
      </c>
      <c r="O1806" s="4">
        <v>12</v>
      </c>
      <c r="P1806">
        <v>0</v>
      </c>
      <c r="Q1806" s="4">
        <v>12</v>
      </c>
      <c r="R1806" s="12">
        <f t="shared" si="28"/>
        <v>1656</v>
      </c>
      <c r="T1806" t="s">
        <v>364</v>
      </c>
      <c r="U1806" t="s">
        <v>1283</v>
      </c>
      <c r="V1806" s="4">
        <v>138</v>
      </c>
      <c r="W1806">
        <v>0</v>
      </c>
    </row>
    <row r="1807" spans="1:23" hidden="1" x14ac:dyDescent="0.25">
      <c r="A1807" s="2">
        <v>45923.520416666666</v>
      </c>
      <c r="B1807">
        <v>4075</v>
      </c>
      <c r="C1807" t="s">
        <v>1284</v>
      </c>
      <c r="D1807" s="3">
        <v>45923</v>
      </c>
      <c r="E1807" s="3">
        <v>46111</v>
      </c>
      <c r="F1807" t="s">
        <v>112</v>
      </c>
      <c r="H1807" t="s">
        <v>22</v>
      </c>
      <c r="I1807" t="s">
        <v>96</v>
      </c>
      <c r="K1807" t="s">
        <v>24</v>
      </c>
      <c r="L1807" s="4">
        <v>62</v>
      </c>
      <c r="M1807" t="s">
        <v>1285</v>
      </c>
      <c r="N1807" t="s">
        <v>26</v>
      </c>
      <c r="O1807" s="4">
        <v>100</v>
      </c>
      <c r="P1807">
        <v>0</v>
      </c>
      <c r="Q1807" s="4">
        <v>100</v>
      </c>
      <c r="R1807" s="12">
        <f t="shared" si="28"/>
        <v>6200</v>
      </c>
      <c r="T1807" t="s">
        <v>151</v>
      </c>
      <c r="U1807" t="s">
        <v>1286</v>
      </c>
      <c r="V1807" s="4">
        <v>62</v>
      </c>
      <c r="W1807">
        <v>0</v>
      </c>
    </row>
    <row r="1808" spans="1:23" hidden="1" x14ac:dyDescent="0.25">
      <c r="A1808" s="2">
        <v>46059.68472222222</v>
      </c>
      <c r="B1808">
        <v>531</v>
      </c>
      <c r="C1808" t="s">
        <v>1287</v>
      </c>
      <c r="D1808" s="3">
        <v>46059</v>
      </c>
      <c r="E1808" s="3">
        <v>46063</v>
      </c>
      <c r="F1808" t="s">
        <v>332</v>
      </c>
      <c r="H1808" t="s">
        <v>22</v>
      </c>
      <c r="I1808" t="s">
        <v>80</v>
      </c>
      <c r="K1808" t="s">
        <v>31</v>
      </c>
      <c r="L1808" s="4">
        <v>42</v>
      </c>
      <c r="M1808" t="s">
        <v>1288</v>
      </c>
      <c r="N1808" t="s">
        <v>46</v>
      </c>
      <c r="O1808" s="4">
        <v>510</v>
      </c>
      <c r="P1808">
        <v>0</v>
      </c>
      <c r="Q1808" s="4">
        <v>510</v>
      </c>
      <c r="R1808" s="12">
        <f t="shared" si="28"/>
        <v>21420</v>
      </c>
      <c r="T1808" t="s">
        <v>136</v>
      </c>
      <c r="U1808" t="s">
        <v>1289</v>
      </c>
      <c r="V1808" s="4">
        <v>42</v>
      </c>
      <c r="W1808">
        <v>0</v>
      </c>
    </row>
    <row r="1809" spans="1:23" hidden="1" x14ac:dyDescent="0.25">
      <c r="A1809" s="2">
        <v>45906.345983796295</v>
      </c>
      <c r="B1809">
        <v>4016</v>
      </c>
      <c r="C1809" t="s">
        <v>1290</v>
      </c>
      <c r="D1809" s="3">
        <v>45906</v>
      </c>
      <c r="E1809" s="3">
        <v>46111</v>
      </c>
      <c r="F1809" t="s">
        <v>79</v>
      </c>
      <c r="G1809" t="s">
        <v>1493</v>
      </c>
      <c r="H1809" t="s">
        <v>22</v>
      </c>
      <c r="I1809" t="s">
        <v>101</v>
      </c>
      <c r="J1809" t="s">
        <v>1491</v>
      </c>
      <c r="K1809" t="s">
        <v>31</v>
      </c>
      <c r="L1809" s="4">
        <v>410</v>
      </c>
      <c r="M1809" t="s">
        <v>1291</v>
      </c>
      <c r="N1809" t="s">
        <v>26</v>
      </c>
      <c r="O1809" s="4">
        <v>125</v>
      </c>
      <c r="P1809">
        <v>0</v>
      </c>
      <c r="Q1809" s="4">
        <v>125</v>
      </c>
      <c r="R1809" s="12">
        <f t="shared" si="28"/>
        <v>51250</v>
      </c>
      <c r="U1809" t="s">
        <v>1292</v>
      </c>
      <c r="V1809" s="4">
        <v>410</v>
      </c>
      <c r="W1809">
        <v>0</v>
      </c>
    </row>
    <row r="1810" spans="1:23" hidden="1" x14ac:dyDescent="0.25">
      <c r="A1810" s="2">
        <v>45906.345983796295</v>
      </c>
      <c r="B1810">
        <v>4016</v>
      </c>
      <c r="C1810" t="s">
        <v>1290</v>
      </c>
      <c r="D1810" s="3">
        <v>45906</v>
      </c>
      <c r="E1810" s="3">
        <v>46111</v>
      </c>
      <c r="F1810" t="s">
        <v>79</v>
      </c>
      <c r="G1810" t="s">
        <v>1493</v>
      </c>
      <c r="H1810" t="s">
        <v>22</v>
      </c>
      <c r="I1810" t="s">
        <v>41</v>
      </c>
      <c r="J1810" t="s">
        <v>1491</v>
      </c>
      <c r="K1810" t="s">
        <v>24</v>
      </c>
      <c r="L1810" s="4">
        <v>200</v>
      </c>
      <c r="M1810" t="s">
        <v>1291</v>
      </c>
      <c r="N1810" t="s">
        <v>26</v>
      </c>
      <c r="O1810" s="4">
        <v>250</v>
      </c>
      <c r="P1810">
        <v>0</v>
      </c>
      <c r="Q1810" s="4">
        <v>250</v>
      </c>
      <c r="R1810" s="12">
        <f t="shared" si="28"/>
        <v>50000</v>
      </c>
      <c r="U1810" t="s">
        <v>1292</v>
      </c>
      <c r="V1810" s="4">
        <v>200</v>
      </c>
      <c r="W1810">
        <v>0</v>
      </c>
    </row>
    <row r="1811" spans="1:23" hidden="1" x14ac:dyDescent="0.25">
      <c r="A1811" s="2">
        <v>45906.37703703704</v>
      </c>
      <c r="B1811">
        <v>4017</v>
      </c>
      <c r="C1811" t="s">
        <v>1290</v>
      </c>
      <c r="D1811" s="3">
        <v>45906</v>
      </c>
      <c r="E1811" s="3">
        <v>46142</v>
      </c>
      <c r="F1811" t="s">
        <v>79</v>
      </c>
      <c r="G1811" t="s">
        <v>1493</v>
      </c>
      <c r="H1811" t="s">
        <v>22</v>
      </c>
      <c r="I1811" t="s">
        <v>38</v>
      </c>
      <c r="J1811" t="s">
        <v>1491</v>
      </c>
      <c r="K1811" t="s">
        <v>24</v>
      </c>
      <c r="L1811" s="4">
        <v>40</v>
      </c>
      <c r="M1811" t="s">
        <v>1293</v>
      </c>
      <c r="N1811" t="s">
        <v>26</v>
      </c>
      <c r="O1811" s="4">
        <v>48</v>
      </c>
      <c r="P1811">
        <v>0</v>
      </c>
      <c r="Q1811" s="4">
        <v>48</v>
      </c>
      <c r="R1811" s="12">
        <f t="shared" si="28"/>
        <v>1920</v>
      </c>
      <c r="U1811" t="s">
        <v>1292</v>
      </c>
      <c r="V1811" s="4">
        <v>40</v>
      </c>
      <c r="W1811">
        <v>0</v>
      </c>
    </row>
    <row r="1812" spans="1:23" hidden="1" x14ac:dyDescent="0.25">
      <c r="A1812" s="2">
        <v>45906.37703703704</v>
      </c>
      <c r="B1812">
        <v>4017</v>
      </c>
      <c r="C1812" t="s">
        <v>1290</v>
      </c>
      <c r="D1812" s="3">
        <v>45906</v>
      </c>
      <c r="E1812" s="3">
        <v>46142</v>
      </c>
      <c r="F1812" t="s">
        <v>79</v>
      </c>
      <c r="G1812" t="s">
        <v>1493</v>
      </c>
      <c r="H1812" t="s">
        <v>22</v>
      </c>
      <c r="I1812" t="s">
        <v>40</v>
      </c>
      <c r="J1812" t="s">
        <v>1491</v>
      </c>
      <c r="K1812" t="s">
        <v>24</v>
      </c>
      <c r="L1812" s="4">
        <v>200</v>
      </c>
      <c r="M1812" t="s">
        <v>1293</v>
      </c>
      <c r="N1812" t="s">
        <v>26</v>
      </c>
      <c r="O1812" s="4">
        <v>15</v>
      </c>
      <c r="P1812">
        <v>0</v>
      </c>
      <c r="Q1812" s="4">
        <v>15</v>
      </c>
      <c r="R1812" s="12">
        <f t="shared" si="28"/>
        <v>3000</v>
      </c>
      <c r="U1812" t="s">
        <v>1292</v>
      </c>
      <c r="V1812" s="4">
        <v>200</v>
      </c>
      <c r="W1812">
        <v>0</v>
      </c>
    </row>
    <row r="1813" spans="1:23" hidden="1" x14ac:dyDescent="0.25">
      <c r="A1813" s="2">
        <v>45910.399178240739</v>
      </c>
      <c r="B1813">
        <v>4020</v>
      </c>
      <c r="C1813" t="s">
        <v>1290</v>
      </c>
      <c r="D1813" s="3">
        <v>45910</v>
      </c>
      <c r="E1813" s="3">
        <v>46142</v>
      </c>
      <c r="F1813" t="s">
        <v>79</v>
      </c>
      <c r="G1813" t="s">
        <v>1493</v>
      </c>
      <c r="H1813" t="s">
        <v>22</v>
      </c>
      <c r="I1813" t="s">
        <v>41</v>
      </c>
      <c r="J1813" t="s">
        <v>1491</v>
      </c>
      <c r="K1813" t="s">
        <v>24</v>
      </c>
      <c r="L1813" s="4">
        <v>206</v>
      </c>
      <c r="M1813" t="s">
        <v>1294</v>
      </c>
      <c r="N1813" t="s">
        <v>26</v>
      </c>
      <c r="O1813" s="4">
        <v>420</v>
      </c>
      <c r="P1813">
        <v>0</v>
      </c>
      <c r="Q1813" s="4">
        <v>420</v>
      </c>
      <c r="R1813" s="12">
        <f t="shared" si="28"/>
        <v>86520</v>
      </c>
      <c r="U1813" t="s">
        <v>1292</v>
      </c>
      <c r="V1813" s="4">
        <v>206</v>
      </c>
      <c r="W1813">
        <v>0</v>
      </c>
    </row>
    <row r="1814" spans="1:23" hidden="1" x14ac:dyDescent="0.25">
      <c r="A1814" s="2">
        <v>45910.399178240739</v>
      </c>
      <c r="B1814">
        <v>4020</v>
      </c>
      <c r="C1814" t="s">
        <v>1290</v>
      </c>
      <c r="D1814" s="3">
        <v>45910</v>
      </c>
      <c r="E1814" s="3">
        <v>46142</v>
      </c>
      <c r="F1814" t="s">
        <v>79</v>
      </c>
      <c r="G1814" t="s">
        <v>1493</v>
      </c>
      <c r="H1814" t="s">
        <v>22</v>
      </c>
      <c r="I1814" t="s">
        <v>40</v>
      </c>
      <c r="J1814" t="s">
        <v>1491</v>
      </c>
      <c r="K1814" t="s">
        <v>24</v>
      </c>
      <c r="L1814" s="4">
        <v>206</v>
      </c>
      <c r="M1814" t="s">
        <v>1294</v>
      </c>
      <c r="N1814" t="s">
        <v>26</v>
      </c>
      <c r="O1814" s="4">
        <v>324</v>
      </c>
      <c r="P1814">
        <v>0</v>
      </c>
      <c r="Q1814" s="4">
        <v>324</v>
      </c>
      <c r="R1814" s="12">
        <f t="shared" si="28"/>
        <v>66744</v>
      </c>
      <c r="U1814" t="s">
        <v>1292</v>
      </c>
      <c r="V1814" s="4">
        <v>206</v>
      </c>
      <c r="W1814">
        <v>0</v>
      </c>
    </row>
    <row r="1815" spans="1:23" hidden="1" x14ac:dyDescent="0.25">
      <c r="A1815" s="2">
        <v>45913.408750000002</v>
      </c>
      <c r="B1815">
        <v>4036</v>
      </c>
      <c r="C1815" t="s">
        <v>1290</v>
      </c>
      <c r="D1815" s="3">
        <v>45913</v>
      </c>
      <c r="E1815" s="3">
        <v>46142</v>
      </c>
      <c r="F1815" t="s">
        <v>79</v>
      </c>
      <c r="G1815" t="s">
        <v>1493</v>
      </c>
      <c r="H1815" t="s">
        <v>22</v>
      </c>
      <c r="I1815" t="s">
        <v>40</v>
      </c>
      <c r="J1815" t="s">
        <v>1491</v>
      </c>
      <c r="K1815" t="s">
        <v>24</v>
      </c>
      <c r="L1815" s="4">
        <v>206</v>
      </c>
      <c r="M1815" t="s">
        <v>1295</v>
      </c>
      <c r="N1815" t="s">
        <v>26</v>
      </c>
      <c r="O1815" s="4">
        <v>120</v>
      </c>
      <c r="P1815">
        <v>0</v>
      </c>
      <c r="Q1815" s="4">
        <v>120</v>
      </c>
      <c r="R1815" s="12">
        <f t="shared" si="28"/>
        <v>24720</v>
      </c>
      <c r="U1815" t="s">
        <v>1292</v>
      </c>
      <c r="V1815" s="4">
        <v>206</v>
      </c>
      <c r="W1815">
        <v>0</v>
      </c>
    </row>
    <row r="1816" spans="1:23" hidden="1" x14ac:dyDescent="0.25">
      <c r="A1816" s="2">
        <v>45913.408750000002</v>
      </c>
      <c r="B1816">
        <v>4036</v>
      </c>
      <c r="C1816" t="s">
        <v>1290</v>
      </c>
      <c r="D1816" s="3">
        <v>45913</v>
      </c>
      <c r="E1816" s="3">
        <v>46142</v>
      </c>
      <c r="F1816" t="s">
        <v>79</v>
      </c>
      <c r="G1816" t="s">
        <v>1493</v>
      </c>
      <c r="H1816" t="s">
        <v>22</v>
      </c>
      <c r="I1816" t="s">
        <v>41</v>
      </c>
      <c r="J1816" t="s">
        <v>1491</v>
      </c>
      <c r="K1816" t="s">
        <v>24</v>
      </c>
      <c r="L1816" s="4">
        <v>206</v>
      </c>
      <c r="M1816" t="s">
        <v>1295</v>
      </c>
      <c r="N1816" t="s">
        <v>26</v>
      </c>
      <c r="O1816" s="4">
        <v>36</v>
      </c>
      <c r="P1816">
        <v>0</v>
      </c>
      <c r="Q1816" s="4">
        <v>36</v>
      </c>
      <c r="R1816" s="12">
        <f t="shared" si="28"/>
        <v>7416</v>
      </c>
      <c r="U1816" t="s">
        <v>1292</v>
      </c>
      <c r="V1816" s="4">
        <v>206</v>
      </c>
      <c r="W1816">
        <v>0</v>
      </c>
    </row>
    <row r="1817" spans="1:23" hidden="1" x14ac:dyDescent="0.25">
      <c r="A1817" s="2">
        <v>45916.327766203707</v>
      </c>
      <c r="B1817">
        <v>4043</v>
      </c>
      <c r="C1817" t="s">
        <v>1290</v>
      </c>
      <c r="D1817" s="3">
        <v>45916</v>
      </c>
      <c r="E1817" s="3">
        <v>46142</v>
      </c>
      <c r="F1817" t="s">
        <v>79</v>
      </c>
      <c r="G1817" t="s">
        <v>1493</v>
      </c>
      <c r="H1817" t="s">
        <v>22</v>
      </c>
      <c r="I1817" t="s">
        <v>41</v>
      </c>
      <c r="J1817" t="s">
        <v>1491</v>
      </c>
      <c r="K1817" t="s">
        <v>24</v>
      </c>
      <c r="L1817" s="4">
        <v>206</v>
      </c>
      <c r="M1817" t="s">
        <v>1296</v>
      </c>
      <c r="N1817" t="s">
        <v>26</v>
      </c>
      <c r="O1817" s="4">
        <v>60</v>
      </c>
      <c r="P1817">
        <v>0</v>
      </c>
      <c r="Q1817" s="4">
        <v>60</v>
      </c>
      <c r="R1817" s="12">
        <f t="shared" si="28"/>
        <v>12360</v>
      </c>
      <c r="U1817" t="s">
        <v>1292</v>
      </c>
      <c r="V1817" s="4">
        <v>206</v>
      </c>
      <c r="W1817">
        <v>0</v>
      </c>
    </row>
    <row r="1818" spans="1:23" hidden="1" x14ac:dyDescent="0.25">
      <c r="A1818" s="2">
        <v>45943.557013888887</v>
      </c>
      <c r="B1818">
        <v>4155</v>
      </c>
      <c r="C1818" t="s">
        <v>1290</v>
      </c>
      <c r="D1818" s="3">
        <v>45943</v>
      </c>
      <c r="E1818" s="3">
        <v>46142</v>
      </c>
      <c r="F1818" t="s">
        <v>79</v>
      </c>
      <c r="G1818" t="s">
        <v>1493</v>
      </c>
      <c r="H1818" t="s">
        <v>22</v>
      </c>
      <c r="I1818" t="s">
        <v>44</v>
      </c>
      <c r="J1818" t="s">
        <v>1491</v>
      </c>
      <c r="K1818" t="s">
        <v>31</v>
      </c>
      <c r="L1818" s="4">
        <v>285</v>
      </c>
      <c r="M1818" t="s">
        <v>1297</v>
      </c>
      <c r="N1818" t="s">
        <v>26</v>
      </c>
      <c r="O1818" s="4">
        <v>2</v>
      </c>
      <c r="P1818">
        <v>0</v>
      </c>
      <c r="Q1818" s="4">
        <v>2</v>
      </c>
      <c r="R1818" s="12">
        <f t="shared" si="28"/>
        <v>570</v>
      </c>
      <c r="U1818" t="s">
        <v>1292</v>
      </c>
      <c r="V1818" s="4">
        <v>285</v>
      </c>
      <c r="W1818">
        <v>0</v>
      </c>
    </row>
    <row r="1819" spans="1:23" hidden="1" x14ac:dyDescent="0.25">
      <c r="A1819" s="2">
        <v>45943.557013888887</v>
      </c>
      <c r="B1819">
        <v>4155</v>
      </c>
      <c r="C1819" t="s">
        <v>1290</v>
      </c>
      <c r="D1819" s="3">
        <v>45943</v>
      </c>
      <c r="E1819" s="3">
        <v>46142</v>
      </c>
      <c r="F1819" t="s">
        <v>79</v>
      </c>
      <c r="G1819" t="s">
        <v>1493</v>
      </c>
      <c r="H1819" t="s">
        <v>22</v>
      </c>
      <c r="I1819" t="s">
        <v>43</v>
      </c>
      <c r="J1819" t="s">
        <v>1491</v>
      </c>
      <c r="K1819" t="s">
        <v>24</v>
      </c>
      <c r="L1819" s="4">
        <v>34</v>
      </c>
      <c r="M1819" t="s">
        <v>1297</v>
      </c>
      <c r="N1819" t="s">
        <v>26</v>
      </c>
      <c r="O1819" s="4">
        <v>12</v>
      </c>
      <c r="P1819">
        <v>0</v>
      </c>
      <c r="Q1819" s="4">
        <v>12</v>
      </c>
      <c r="R1819" s="12">
        <f t="shared" si="28"/>
        <v>408</v>
      </c>
      <c r="U1819" t="s">
        <v>1292</v>
      </c>
      <c r="V1819" s="4">
        <v>34</v>
      </c>
      <c r="W1819">
        <v>0</v>
      </c>
    </row>
    <row r="1820" spans="1:23" hidden="1" x14ac:dyDescent="0.25">
      <c r="A1820" s="2">
        <v>45943.557013888887</v>
      </c>
      <c r="B1820">
        <v>4155</v>
      </c>
      <c r="C1820" t="s">
        <v>1290</v>
      </c>
      <c r="D1820" s="3">
        <v>45943</v>
      </c>
      <c r="E1820" s="3">
        <v>46142</v>
      </c>
      <c r="F1820" t="s">
        <v>79</v>
      </c>
      <c r="G1820" t="s">
        <v>1493</v>
      </c>
      <c r="H1820" t="s">
        <v>22</v>
      </c>
      <c r="I1820" t="s">
        <v>38</v>
      </c>
      <c r="J1820" t="s">
        <v>1491</v>
      </c>
      <c r="K1820" t="s">
        <v>24</v>
      </c>
      <c r="L1820" s="4">
        <v>36</v>
      </c>
      <c r="M1820" t="s">
        <v>1297</v>
      </c>
      <c r="N1820" t="s">
        <v>26</v>
      </c>
      <c r="O1820" s="4">
        <v>3</v>
      </c>
      <c r="P1820">
        <v>0</v>
      </c>
      <c r="Q1820" s="4">
        <v>3</v>
      </c>
      <c r="R1820" s="12">
        <f t="shared" si="28"/>
        <v>108</v>
      </c>
      <c r="U1820" t="s">
        <v>1292</v>
      </c>
      <c r="V1820" s="4">
        <v>36</v>
      </c>
      <c r="W1820">
        <v>0</v>
      </c>
    </row>
    <row r="1821" spans="1:23" hidden="1" x14ac:dyDescent="0.25">
      <c r="A1821" s="2">
        <v>45943.557013888887</v>
      </c>
      <c r="B1821">
        <v>4155</v>
      </c>
      <c r="C1821" t="s">
        <v>1290</v>
      </c>
      <c r="D1821" s="3">
        <v>45943</v>
      </c>
      <c r="E1821" s="3">
        <v>46142</v>
      </c>
      <c r="F1821" t="s">
        <v>79</v>
      </c>
      <c r="G1821" t="s">
        <v>1493</v>
      </c>
      <c r="H1821" t="s">
        <v>22</v>
      </c>
      <c r="I1821" t="s">
        <v>101</v>
      </c>
      <c r="J1821" t="s">
        <v>1491</v>
      </c>
      <c r="K1821" t="s">
        <v>31</v>
      </c>
      <c r="L1821" s="4">
        <v>390</v>
      </c>
      <c r="M1821" t="s">
        <v>1297</v>
      </c>
      <c r="N1821" t="s">
        <v>26</v>
      </c>
      <c r="O1821" s="4">
        <v>62</v>
      </c>
      <c r="P1821">
        <v>0</v>
      </c>
      <c r="Q1821" s="4">
        <v>62</v>
      </c>
      <c r="R1821" s="12">
        <f t="shared" si="28"/>
        <v>24180</v>
      </c>
      <c r="U1821" t="s">
        <v>1292</v>
      </c>
      <c r="V1821" s="4">
        <v>390</v>
      </c>
      <c r="W1821">
        <v>0</v>
      </c>
    </row>
    <row r="1822" spans="1:23" hidden="1" x14ac:dyDescent="0.25">
      <c r="A1822" s="2">
        <v>45947.676701388889</v>
      </c>
      <c r="B1822">
        <v>4176</v>
      </c>
      <c r="C1822" t="s">
        <v>1290</v>
      </c>
      <c r="D1822" s="3">
        <v>45947</v>
      </c>
      <c r="E1822" s="3">
        <v>46142</v>
      </c>
      <c r="F1822" t="s">
        <v>79</v>
      </c>
      <c r="G1822" t="s">
        <v>1493</v>
      </c>
      <c r="H1822" t="s">
        <v>22</v>
      </c>
      <c r="I1822" t="s">
        <v>101</v>
      </c>
      <c r="J1822" t="s">
        <v>1491</v>
      </c>
      <c r="K1822" t="s">
        <v>31</v>
      </c>
      <c r="L1822" s="4">
        <v>390</v>
      </c>
      <c r="M1822" t="s">
        <v>1298</v>
      </c>
      <c r="N1822" t="s">
        <v>26</v>
      </c>
      <c r="O1822" s="4">
        <v>30</v>
      </c>
      <c r="P1822">
        <v>0</v>
      </c>
      <c r="Q1822" s="4">
        <v>30</v>
      </c>
      <c r="R1822" s="12">
        <f t="shared" si="28"/>
        <v>11700</v>
      </c>
      <c r="U1822" t="s">
        <v>1292</v>
      </c>
      <c r="V1822" s="4">
        <v>390</v>
      </c>
      <c r="W1822">
        <v>0</v>
      </c>
    </row>
    <row r="1823" spans="1:23" hidden="1" x14ac:dyDescent="0.25">
      <c r="A1823" s="2">
        <v>46050.352986111109</v>
      </c>
      <c r="B1823">
        <v>4499</v>
      </c>
      <c r="C1823" t="s">
        <v>1290</v>
      </c>
      <c r="D1823" s="3">
        <v>46050</v>
      </c>
      <c r="E1823" s="3">
        <v>46142</v>
      </c>
      <c r="F1823" t="s">
        <v>79</v>
      </c>
      <c r="H1823" t="s">
        <v>22</v>
      </c>
      <c r="I1823" t="s">
        <v>600</v>
      </c>
      <c r="K1823" t="s">
        <v>24</v>
      </c>
      <c r="L1823" s="4">
        <v>72.25</v>
      </c>
      <c r="M1823" t="s">
        <v>1299</v>
      </c>
      <c r="N1823" t="s">
        <v>26</v>
      </c>
      <c r="O1823" s="4">
        <v>325</v>
      </c>
      <c r="P1823">
        <v>0</v>
      </c>
      <c r="Q1823" s="4">
        <v>325</v>
      </c>
      <c r="R1823" s="12">
        <f t="shared" si="28"/>
        <v>23481.25</v>
      </c>
      <c r="U1823" t="s">
        <v>1292</v>
      </c>
      <c r="V1823" s="4">
        <v>72.25</v>
      </c>
      <c r="W1823">
        <v>0</v>
      </c>
    </row>
    <row r="1824" spans="1:23" hidden="1" x14ac:dyDescent="0.25">
      <c r="A1824" s="2">
        <v>46015.436643518522</v>
      </c>
      <c r="B1824">
        <v>467</v>
      </c>
      <c r="C1824" t="s">
        <v>1300</v>
      </c>
      <c r="D1824" s="3">
        <v>46014</v>
      </c>
      <c r="E1824" s="3">
        <v>46264</v>
      </c>
      <c r="F1824" t="s">
        <v>418</v>
      </c>
      <c r="G1824" t="s">
        <v>1494</v>
      </c>
      <c r="H1824" t="s">
        <v>22</v>
      </c>
      <c r="I1824" t="s">
        <v>63</v>
      </c>
      <c r="J1824" t="s">
        <v>1491</v>
      </c>
      <c r="K1824" t="s">
        <v>31</v>
      </c>
      <c r="L1824" s="4">
        <v>195</v>
      </c>
      <c r="M1824" t="s">
        <v>1301</v>
      </c>
      <c r="N1824" t="s">
        <v>46</v>
      </c>
      <c r="O1824" s="4">
        <v>68</v>
      </c>
      <c r="P1824">
        <v>0</v>
      </c>
      <c r="Q1824" s="4">
        <v>68</v>
      </c>
      <c r="R1824" s="12">
        <f t="shared" si="28"/>
        <v>13260</v>
      </c>
      <c r="T1824" t="s">
        <v>125</v>
      </c>
      <c r="U1824" t="s">
        <v>1302</v>
      </c>
      <c r="V1824" s="4">
        <v>195</v>
      </c>
      <c r="W1824">
        <v>0</v>
      </c>
    </row>
    <row r="1825" spans="1:23" hidden="1" x14ac:dyDescent="0.25">
      <c r="A1825" s="2">
        <v>46081.659548611111</v>
      </c>
      <c r="B1825">
        <v>4617</v>
      </c>
      <c r="C1825" t="s">
        <v>1303</v>
      </c>
      <c r="D1825" s="3">
        <v>46081</v>
      </c>
      <c r="E1825" s="3">
        <v>46142</v>
      </c>
      <c r="F1825" t="s">
        <v>21</v>
      </c>
      <c r="H1825" t="s">
        <v>22</v>
      </c>
      <c r="I1825" t="s">
        <v>29</v>
      </c>
      <c r="J1825" t="s">
        <v>1490</v>
      </c>
      <c r="K1825" t="s">
        <v>24</v>
      </c>
      <c r="L1825" s="4">
        <v>155</v>
      </c>
      <c r="M1825" t="s">
        <v>1304</v>
      </c>
      <c r="N1825" t="s">
        <v>46</v>
      </c>
      <c r="O1825" s="4">
        <v>40</v>
      </c>
      <c r="P1825">
        <v>0</v>
      </c>
      <c r="Q1825" s="4">
        <v>40</v>
      </c>
      <c r="R1825" s="12">
        <f t="shared" si="28"/>
        <v>6200</v>
      </c>
      <c r="T1825" t="s">
        <v>136</v>
      </c>
      <c r="U1825" t="s">
        <v>1305</v>
      </c>
      <c r="V1825" s="4">
        <v>155</v>
      </c>
      <c r="W1825">
        <v>0</v>
      </c>
    </row>
    <row r="1826" spans="1:23" hidden="1" x14ac:dyDescent="0.25">
      <c r="A1826" s="2">
        <v>46081.659548611111</v>
      </c>
      <c r="B1826">
        <v>4617</v>
      </c>
      <c r="C1826" t="s">
        <v>1303</v>
      </c>
      <c r="D1826" s="3">
        <v>46081</v>
      </c>
      <c r="E1826" s="3">
        <v>46142</v>
      </c>
      <c r="F1826" t="s">
        <v>21</v>
      </c>
      <c r="H1826" t="s">
        <v>22</v>
      </c>
      <c r="I1826" t="s">
        <v>192</v>
      </c>
      <c r="J1826" t="s">
        <v>1490</v>
      </c>
      <c r="K1826" t="s">
        <v>24</v>
      </c>
      <c r="L1826" s="4">
        <v>17</v>
      </c>
      <c r="M1826" t="s">
        <v>1304</v>
      </c>
      <c r="N1826" t="s">
        <v>46</v>
      </c>
      <c r="O1826" s="4">
        <v>500</v>
      </c>
      <c r="P1826">
        <v>0</v>
      </c>
      <c r="Q1826" s="4">
        <v>500</v>
      </c>
      <c r="R1826" s="12">
        <f t="shared" si="28"/>
        <v>8500</v>
      </c>
      <c r="T1826" t="s">
        <v>136</v>
      </c>
      <c r="U1826" t="s">
        <v>1305</v>
      </c>
      <c r="V1826" s="4">
        <v>17</v>
      </c>
      <c r="W1826">
        <v>0</v>
      </c>
    </row>
    <row r="1827" spans="1:23" hidden="1" x14ac:dyDescent="0.25">
      <c r="A1827" s="2">
        <v>45950.640740740739</v>
      </c>
      <c r="B1827">
        <v>4187</v>
      </c>
      <c r="C1827" t="s">
        <v>1306</v>
      </c>
      <c r="D1827" s="3">
        <v>45950</v>
      </c>
      <c r="E1827" s="3">
        <v>45960</v>
      </c>
      <c r="F1827" t="s">
        <v>103</v>
      </c>
      <c r="H1827" t="s">
        <v>22</v>
      </c>
      <c r="I1827" t="s">
        <v>80</v>
      </c>
      <c r="K1827" t="s">
        <v>31</v>
      </c>
      <c r="L1827" s="4">
        <v>34</v>
      </c>
      <c r="M1827" t="s">
        <v>1307</v>
      </c>
      <c r="N1827" t="s">
        <v>26</v>
      </c>
      <c r="O1827" s="4">
        <v>105</v>
      </c>
      <c r="P1827">
        <v>0</v>
      </c>
      <c r="Q1827" s="4">
        <v>105</v>
      </c>
      <c r="R1827" s="12">
        <f t="shared" si="28"/>
        <v>3570</v>
      </c>
      <c r="T1827" t="s">
        <v>218</v>
      </c>
      <c r="U1827" t="s">
        <v>1308</v>
      </c>
      <c r="V1827" s="4">
        <v>34</v>
      </c>
      <c r="W1827">
        <v>0</v>
      </c>
    </row>
    <row r="1828" spans="1:23" hidden="1" x14ac:dyDescent="0.25">
      <c r="A1828" s="2">
        <v>45888.353460648148</v>
      </c>
      <c r="B1828">
        <v>265</v>
      </c>
      <c r="C1828" t="s">
        <v>1309</v>
      </c>
      <c r="D1828" s="3">
        <v>45888</v>
      </c>
      <c r="E1828" s="3">
        <v>46142</v>
      </c>
      <c r="F1828" t="s">
        <v>324</v>
      </c>
      <c r="H1828" t="s">
        <v>22</v>
      </c>
      <c r="I1828" t="s">
        <v>502</v>
      </c>
      <c r="K1828" t="s">
        <v>105</v>
      </c>
      <c r="L1828" s="4">
        <v>950</v>
      </c>
      <c r="M1828" t="s">
        <v>1310</v>
      </c>
      <c r="N1828" t="s">
        <v>26</v>
      </c>
      <c r="O1828" s="4">
        <v>200</v>
      </c>
      <c r="P1828" s="4">
        <v>10</v>
      </c>
      <c r="Q1828" s="4">
        <v>190</v>
      </c>
      <c r="R1828" s="12">
        <f t="shared" si="28"/>
        <v>180500</v>
      </c>
      <c r="T1828" t="s">
        <v>337</v>
      </c>
      <c r="U1828" t="s">
        <v>1311</v>
      </c>
      <c r="V1828" s="4">
        <v>950</v>
      </c>
      <c r="W1828">
        <v>0</v>
      </c>
    </row>
    <row r="1829" spans="1:23" hidden="1" x14ac:dyDescent="0.25">
      <c r="A1829" s="2">
        <v>45817.587766203702</v>
      </c>
      <c r="B1829">
        <v>3884</v>
      </c>
      <c r="C1829" t="s">
        <v>1312</v>
      </c>
      <c r="D1829" s="3">
        <v>45811</v>
      </c>
      <c r="E1829" s="3">
        <v>46111</v>
      </c>
      <c r="F1829" t="s">
        <v>21</v>
      </c>
      <c r="H1829" t="s">
        <v>22</v>
      </c>
      <c r="I1829" t="s">
        <v>42</v>
      </c>
      <c r="J1829" t="s">
        <v>1490</v>
      </c>
      <c r="K1829" t="s">
        <v>24</v>
      </c>
      <c r="L1829" s="4">
        <v>240</v>
      </c>
      <c r="M1829" t="s">
        <v>1313</v>
      </c>
      <c r="N1829" t="s">
        <v>26</v>
      </c>
      <c r="O1829" s="4">
        <v>250</v>
      </c>
      <c r="P1829">
        <v>0</v>
      </c>
      <c r="Q1829" s="4">
        <v>250</v>
      </c>
      <c r="R1829" s="12">
        <f t="shared" si="28"/>
        <v>60000</v>
      </c>
      <c r="T1829" t="s">
        <v>27</v>
      </c>
      <c r="U1829" t="s">
        <v>1314</v>
      </c>
      <c r="V1829" s="4">
        <v>240</v>
      </c>
      <c r="W1829">
        <v>0</v>
      </c>
    </row>
    <row r="1830" spans="1:23" hidden="1" x14ac:dyDescent="0.25">
      <c r="A1830" s="2">
        <v>45817.587766203702</v>
      </c>
      <c r="B1830">
        <v>3884</v>
      </c>
      <c r="C1830" t="s">
        <v>1312</v>
      </c>
      <c r="D1830" s="3">
        <v>45811</v>
      </c>
      <c r="E1830" s="3">
        <v>46111</v>
      </c>
      <c r="F1830" t="s">
        <v>21</v>
      </c>
      <c r="H1830" t="s">
        <v>22</v>
      </c>
      <c r="I1830" t="s">
        <v>35</v>
      </c>
      <c r="J1830" t="s">
        <v>1490</v>
      </c>
      <c r="K1830" t="s">
        <v>24</v>
      </c>
      <c r="L1830" s="4">
        <v>70</v>
      </c>
      <c r="M1830" t="s">
        <v>1313</v>
      </c>
      <c r="N1830" t="s">
        <v>26</v>
      </c>
      <c r="O1830" s="4">
        <v>750</v>
      </c>
      <c r="P1830">
        <v>0</v>
      </c>
      <c r="Q1830" s="4">
        <v>750</v>
      </c>
      <c r="R1830" s="12">
        <f t="shared" si="28"/>
        <v>52500</v>
      </c>
      <c r="T1830" t="s">
        <v>27</v>
      </c>
      <c r="U1830" t="s">
        <v>1314</v>
      </c>
      <c r="V1830" s="4">
        <v>70</v>
      </c>
      <c r="W1830">
        <v>0</v>
      </c>
    </row>
    <row r="1831" spans="1:23" hidden="1" x14ac:dyDescent="0.25">
      <c r="A1831" s="2">
        <v>45817.587766203702</v>
      </c>
      <c r="B1831">
        <v>3884</v>
      </c>
      <c r="C1831" t="s">
        <v>1312</v>
      </c>
      <c r="D1831" s="3">
        <v>45811</v>
      </c>
      <c r="E1831" s="3">
        <v>46111</v>
      </c>
      <c r="F1831" t="s">
        <v>21</v>
      </c>
      <c r="G1831" t="s">
        <v>1493</v>
      </c>
      <c r="H1831" t="s">
        <v>22</v>
      </c>
      <c r="I1831" t="s">
        <v>38</v>
      </c>
      <c r="J1831" t="s">
        <v>1491</v>
      </c>
      <c r="K1831" t="s">
        <v>24</v>
      </c>
      <c r="L1831" s="4">
        <v>52</v>
      </c>
      <c r="M1831" t="s">
        <v>1313</v>
      </c>
      <c r="N1831" t="s">
        <v>26</v>
      </c>
      <c r="O1831" s="4">
        <v>252</v>
      </c>
      <c r="P1831">
        <v>0</v>
      </c>
      <c r="Q1831" s="4">
        <v>252</v>
      </c>
      <c r="R1831" s="12">
        <f t="shared" si="28"/>
        <v>13104</v>
      </c>
      <c r="T1831" t="s">
        <v>27</v>
      </c>
      <c r="U1831" t="s">
        <v>1314</v>
      </c>
      <c r="V1831" s="4">
        <v>52</v>
      </c>
      <c r="W1831">
        <v>0</v>
      </c>
    </row>
    <row r="1832" spans="1:23" hidden="1" x14ac:dyDescent="0.25">
      <c r="A1832" s="2">
        <v>45817.587766203702</v>
      </c>
      <c r="B1832">
        <v>3884</v>
      </c>
      <c r="C1832" t="s">
        <v>1312</v>
      </c>
      <c r="D1832" s="3">
        <v>45811</v>
      </c>
      <c r="E1832" s="3">
        <v>46111</v>
      </c>
      <c r="F1832" t="s">
        <v>21</v>
      </c>
      <c r="G1832" t="s">
        <v>1493</v>
      </c>
      <c r="H1832" t="s">
        <v>22</v>
      </c>
      <c r="I1832" t="s">
        <v>43</v>
      </c>
      <c r="J1832" t="s">
        <v>1491</v>
      </c>
      <c r="K1832" t="s">
        <v>24</v>
      </c>
      <c r="L1832" s="4">
        <v>46</v>
      </c>
      <c r="M1832" t="s">
        <v>1313</v>
      </c>
      <c r="N1832" t="s">
        <v>26</v>
      </c>
      <c r="O1832" s="4">
        <v>252</v>
      </c>
      <c r="P1832">
        <v>0</v>
      </c>
      <c r="Q1832" s="4">
        <v>252</v>
      </c>
      <c r="R1832" s="12">
        <f t="shared" si="28"/>
        <v>11592</v>
      </c>
      <c r="T1832" t="s">
        <v>27</v>
      </c>
      <c r="U1832" t="s">
        <v>1314</v>
      </c>
      <c r="V1832" s="4">
        <v>46</v>
      </c>
      <c r="W1832">
        <v>0</v>
      </c>
    </row>
    <row r="1833" spans="1:23" hidden="1" x14ac:dyDescent="0.25">
      <c r="A1833" s="2">
        <v>45817.587766203702</v>
      </c>
      <c r="B1833">
        <v>3884</v>
      </c>
      <c r="C1833" t="s">
        <v>1312</v>
      </c>
      <c r="D1833" s="3">
        <v>45811</v>
      </c>
      <c r="E1833" s="3">
        <v>46111</v>
      </c>
      <c r="F1833" t="s">
        <v>21</v>
      </c>
      <c r="G1833" t="s">
        <v>1493</v>
      </c>
      <c r="H1833" t="s">
        <v>22</v>
      </c>
      <c r="I1833" t="s">
        <v>41</v>
      </c>
      <c r="J1833" t="s">
        <v>1491</v>
      </c>
      <c r="K1833" t="s">
        <v>24</v>
      </c>
      <c r="L1833" s="4">
        <v>340</v>
      </c>
      <c r="M1833" t="s">
        <v>1313</v>
      </c>
      <c r="N1833" t="s">
        <v>26</v>
      </c>
      <c r="O1833" s="4">
        <v>126</v>
      </c>
      <c r="P1833">
        <v>0</v>
      </c>
      <c r="Q1833" s="4">
        <v>126</v>
      </c>
      <c r="R1833" s="12">
        <f t="shared" si="28"/>
        <v>42840</v>
      </c>
      <c r="T1833" t="s">
        <v>27</v>
      </c>
      <c r="U1833" t="s">
        <v>1314</v>
      </c>
      <c r="V1833" s="4">
        <v>340</v>
      </c>
      <c r="W1833">
        <v>0</v>
      </c>
    </row>
    <row r="1834" spans="1:23" hidden="1" x14ac:dyDescent="0.25">
      <c r="A1834" s="2">
        <v>45817.587766203702</v>
      </c>
      <c r="B1834">
        <v>3884</v>
      </c>
      <c r="C1834" t="s">
        <v>1312</v>
      </c>
      <c r="D1834" s="3">
        <v>45811</v>
      </c>
      <c r="E1834" s="3">
        <v>46111</v>
      </c>
      <c r="F1834" t="s">
        <v>21</v>
      </c>
      <c r="G1834" t="s">
        <v>1493</v>
      </c>
      <c r="H1834" t="s">
        <v>22</v>
      </c>
      <c r="I1834" t="s">
        <v>40</v>
      </c>
      <c r="J1834" t="s">
        <v>1491</v>
      </c>
      <c r="K1834" t="s">
        <v>24</v>
      </c>
      <c r="L1834" s="4">
        <v>340</v>
      </c>
      <c r="M1834" t="s">
        <v>1313</v>
      </c>
      <c r="N1834" t="s">
        <v>26</v>
      </c>
      <c r="O1834" s="4">
        <v>100</v>
      </c>
      <c r="P1834">
        <v>0</v>
      </c>
      <c r="Q1834" s="4">
        <v>100</v>
      </c>
      <c r="R1834" s="12">
        <f t="shared" si="28"/>
        <v>34000</v>
      </c>
      <c r="T1834" t="s">
        <v>27</v>
      </c>
      <c r="U1834" t="s">
        <v>1314</v>
      </c>
      <c r="V1834" s="4">
        <v>340</v>
      </c>
      <c r="W1834">
        <v>0</v>
      </c>
    </row>
    <row r="1835" spans="1:23" hidden="1" x14ac:dyDescent="0.25">
      <c r="A1835" s="2">
        <v>45817.587766203702</v>
      </c>
      <c r="B1835">
        <v>3884</v>
      </c>
      <c r="C1835" t="s">
        <v>1312</v>
      </c>
      <c r="D1835" s="3">
        <v>45811</v>
      </c>
      <c r="E1835" s="3">
        <v>46111</v>
      </c>
      <c r="F1835" t="s">
        <v>21</v>
      </c>
      <c r="G1835" t="s">
        <v>1493</v>
      </c>
      <c r="H1835" t="s">
        <v>22</v>
      </c>
      <c r="I1835" t="s">
        <v>63</v>
      </c>
      <c r="J1835" t="s">
        <v>1491</v>
      </c>
      <c r="K1835" t="s">
        <v>31</v>
      </c>
      <c r="L1835" s="4">
        <v>195</v>
      </c>
      <c r="M1835" t="s">
        <v>1313</v>
      </c>
      <c r="N1835" t="s">
        <v>26</v>
      </c>
      <c r="O1835" s="4">
        <v>252</v>
      </c>
      <c r="P1835">
        <v>0</v>
      </c>
      <c r="Q1835" s="4">
        <v>252</v>
      </c>
      <c r="R1835" s="12">
        <f t="shared" si="28"/>
        <v>49140</v>
      </c>
      <c r="T1835" t="s">
        <v>27</v>
      </c>
      <c r="U1835" t="s">
        <v>1314</v>
      </c>
      <c r="V1835" s="4">
        <v>195</v>
      </c>
      <c r="W1835">
        <v>0</v>
      </c>
    </row>
    <row r="1836" spans="1:23" hidden="1" x14ac:dyDescent="0.25">
      <c r="A1836" s="2">
        <v>45817.590532407405</v>
      </c>
      <c r="B1836">
        <v>3885</v>
      </c>
      <c r="C1836" t="s">
        <v>1312</v>
      </c>
      <c r="D1836" s="3">
        <v>45811</v>
      </c>
      <c r="E1836" s="3">
        <v>46264</v>
      </c>
      <c r="F1836" t="s">
        <v>21</v>
      </c>
      <c r="G1836" t="s">
        <v>1493</v>
      </c>
      <c r="H1836" t="s">
        <v>22</v>
      </c>
      <c r="I1836" t="s">
        <v>40</v>
      </c>
      <c r="J1836" t="s">
        <v>1491</v>
      </c>
      <c r="K1836" t="s">
        <v>24</v>
      </c>
      <c r="L1836" s="4">
        <v>340</v>
      </c>
      <c r="M1836" t="s">
        <v>1315</v>
      </c>
      <c r="N1836" t="s">
        <v>46</v>
      </c>
      <c r="O1836" s="4">
        <v>25</v>
      </c>
      <c r="P1836">
        <v>0</v>
      </c>
      <c r="Q1836" s="4">
        <v>25</v>
      </c>
      <c r="R1836" s="12">
        <f t="shared" si="28"/>
        <v>8500</v>
      </c>
      <c r="T1836" t="s">
        <v>27</v>
      </c>
      <c r="U1836" t="s">
        <v>1314</v>
      </c>
      <c r="V1836" s="4">
        <v>340</v>
      </c>
      <c r="W1836">
        <v>0</v>
      </c>
    </row>
    <row r="1837" spans="1:23" hidden="1" x14ac:dyDescent="0.25">
      <c r="A1837" s="2">
        <v>45817.590532407405</v>
      </c>
      <c r="B1837">
        <v>3885</v>
      </c>
      <c r="C1837" t="s">
        <v>1312</v>
      </c>
      <c r="D1837" s="3">
        <v>45811</v>
      </c>
      <c r="E1837" s="3">
        <v>46264</v>
      </c>
      <c r="F1837" t="s">
        <v>21</v>
      </c>
      <c r="G1837" t="s">
        <v>1493</v>
      </c>
      <c r="H1837" t="s">
        <v>22</v>
      </c>
      <c r="I1837" t="s">
        <v>41</v>
      </c>
      <c r="J1837" t="s">
        <v>1491</v>
      </c>
      <c r="K1837" t="s">
        <v>24</v>
      </c>
      <c r="L1837" s="4">
        <v>340</v>
      </c>
      <c r="M1837" t="s">
        <v>1315</v>
      </c>
      <c r="N1837" t="s">
        <v>46</v>
      </c>
      <c r="O1837" s="4">
        <v>25</v>
      </c>
      <c r="P1837">
        <v>0</v>
      </c>
      <c r="Q1837" s="4">
        <v>25</v>
      </c>
      <c r="R1837" s="12">
        <f t="shared" si="28"/>
        <v>8500</v>
      </c>
      <c r="T1837" t="s">
        <v>27</v>
      </c>
      <c r="U1837" t="s">
        <v>1314</v>
      </c>
      <c r="V1837" s="4">
        <v>340</v>
      </c>
      <c r="W1837">
        <v>0</v>
      </c>
    </row>
    <row r="1838" spans="1:23" hidden="1" x14ac:dyDescent="0.25">
      <c r="A1838" s="2">
        <v>45817.590532407405</v>
      </c>
      <c r="B1838">
        <v>3885</v>
      </c>
      <c r="C1838" t="s">
        <v>1312</v>
      </c>
      <c r="D1838" s="3">
        <v>45811</v>
      </c>
      <c r="E1838" s="3">
        <v>46264</v>
      </c>
      <c r="F1838" t="s">
        <v>21</v>
      </c>
      <c r="G1838" t="s">
        <v>1493</v>
      </c>
      <c r="H1838" t="s">
        <v>22</v>
      </c>
      <c r="I1838" t="s">
        <v>63</v>
      </c>
      <c r="J1838" t="s">
        <v>1491</v>
      </c>
      <c r="K1838" t="s">
        <v>31</v>
      </c>
      <c r="L1838" s="4">
        <v>195</v>
      </c>
      <c r="M1838" t="s">
        <v>1315</v>
      </c>
      <c r="N1838" t="s">
        <v>46</v>
      </c>
      <c r="O1838" s="4">
        <v>100</v>
      </c>
      <c r="P1838">
        <v>0</v>
      </c>
      <c r="Q1838" s="4">
        <v>100</v>
      </c>
      <c r="R1838" s="12">
        <f t="shared" si="28"/>
        <v>19500</v>
      </c>
      <c r="T1838" t="s">
        <v>27</v>
      </c>
      <c r="U1838" t="s">
        <v>1314</v>
      </c>
      <c r="V1838" s="4">
        <v>195</v>
      </c>
      <c r="W1838">
        <v>0</v>
      </c>
    </row>
    <row r="1839" spans="1:23" hidden="1" x14ac:dyDescent="0.25">
      <c r="A1839" s="2">
        <v>45817.590532407405</v>
      </c>
      <c r="B1839">
        <v>3885</v>
      </c>
      <c r="C1839" t="s">
        <v>1312</v>
      </c>
      <c r="D1839" s="3">
        <v>45811</v>
      </c>
      <c r="E1839" s="3">
        <v>46264</v>
      </c>
      <c r="F1839" t="s">
        <v>21</v>
      </c>
      <c r="H1839" t="s">
        <v>22</v>
      </c>
      <c r="I1839" t="s">
        <v>35</v>
      </c>
      <c r="J1839" t="s">
        <v>1490</v>
      </c>
      <c r="K1839" t="s">
        <v>24</v>
      </c>
      <c r="L1839" s="4">
        <v>70</v>
      </c>
      <c r="M1839" t="s">
        <v>1315</v>
      </c>
      <c r="N1839" t="s">
        <v>46</v>
      </c>
      <c r="O1839" s="4">
        <v>750</v>
      </c>
      <c r="P1839">
        <v>0</v>
      </c>
      <c r="Q1839" s="4">
        <v>750</v>
      </c>
      <c r="R1839" s="12">
        <f t="shared" si="28"/>
        <v>52500</v>
      </c>
      <c r="T1839" t="s">
        <v>27</v>
      </c>
      <c r="U1839" t="s">
        <v>1314</v>
      </c>
      <c r="V1839" s="4">
        <v>70</v>
      </c>
      <c r="W1839">
        <v>0</v>
      </c>
    </row>
    <row r="1840" spans="1:23" hidden="1" x14ac:dyDescent="0.25">
      <c r="A1840" s="2">
        <v>45817.590532407405</v>
      </c>
      <c r="B1840">
        <v>3885</v>
      </c>
      <c r="C1840" t="s">
        <v>1312</v>
      </c>
      <c r="D1840" s="3">
        <v>45811</v>
      </c>
      <c r="E1840" s="3">
        <v>46264</v>
      </c>
      <c r="F1840" t="s">
        <v>21</v>
      </c>
      <c r="H1840" t="s">
        <v>22</v>
      </c>
      <c r="I1840" t="s">
        <v>42</v>
      </c>
      <c r="J1840" t="s">
        <v>1490</v>
      </c>
      <c r="K1840" t="s">
        <v>24</v>
      </c>
      <c r="L1840" s="4">
        <v>240</v>
      </c>
      <c r="M1840" t="s">
        <v>1315</v>
      </c>
      <c r="N1840" t="s">
        <v>46</v>
      </c>
      <c r="O1840" s="4">
        <v>125</v>
      </c>
      <c r="P1840">
        <v>0</v>
      </c>
      <c r="Q1840" s="4">
        <v>125</v>
      </c>
      <c r="R1840" s="12">
        <f t="shared" si="28"/>
        <v>30000</v>
      </c>
      <c r="T1840" t="s">
        <v>27</v>
      </c>
      <c r="U1840" t="s">
        <v>1314</v>
      </c>
      <c r="V1840" s="4">
        <v>240</v>
      </c>
      <c r="W1840">
        <v>0</v>
      </c>
    </row>
    <row r="1841" spans="1:23" hidden="1" x14ac:dyDescent="0.25">
      <c r="A1841" s="2">
        <v>45817.590532407405</v>
      </c>
      <c r="B1841">
        <v>3885</v>
      </c>
      <c r="C1841" t="s">
        <v>1312</v>
      </c>
      <c r="D1841" s="3">
        <v>45811</v>
      </c>
      <c r="E1841" s="3">
        <v>46264</v>
      </c>
      <c r="F1841" t="s">
        <v>21</v>
      </c>
      <c r="G1841" t="s">
        <v>1493</v>
      </c>
      <c r="H1841" t="s">
        <v>22</v>
      </c>
      <c r="I1841" t="s">
        <v>38</v>
      </c>
      <c r="J1841" t="s">
        <v>1491</v>
      </c>
      <c r="K1841" t="s">
        <v>24</v>
      </c>
      <c r="L1841" s="4">
        <v>52</v>
      </c>
      <c r="M1841" t="s">
        <v>1315</v>
      </c>
      <c r="N1841" t="s">
        <v>46</v>
      </c>
      <c r="O1841" s="4">
        <v>126</v>
      </c>
      <c r="P1841">
        <v>0</v>
      </c>
      <c r="Q1841" s="4">
        <v>126</v>
      </c>
      <c r="R1841" s="12">
        <f t="shared" si="28"/>
        <v>6552</v>
      </c>
      <c r="T1841" t="s">
        <v>27</v>
      </c>
      <c r="U1841" t="s">
        <v>1314</v>
      </c>
      <c r="V1841" s="4">
        <v>52</v>
      </c>
      <c r="W1841">
        <v>0</v>
      </c>
    </row>
    <row r="1842" spans="1:23" hidden="1" x14ac:dyDescent="0.25">
      <c r="A1842" s="2">
        <v>45817.60193287037</v>
      </c>
      <c r="B1842">
        <v>3887</v>
      </c>
      <c r="C1842" t="s">
        <v>1312</v>
      </c>
      <c r="D1842" s="3">
        <v>45817</v>
      </c>
      <c r="E1842" s="3">
        <v>46325</v>
      </c>
      <c r="F1842" t="s">
        <v>21</v>
      </c>
      <c r="H1842" t="s">
        <v>22</v>
      </c>
      <c r="I1842" t="s">
        <v>29</v>
      </c>
      <c r="J1842" t="s">
        <v>1490</v>
      </c>
      <c r="K1842" t="s">
        <v>24</v>
      </c>
      <c r="L1842" s="4">
        <v>160</v>
      </c>
      <c r="M1842" t="s">
        <v>1316</v>
      </c>
      <c r="N1842" t="s">
        <v>46</v>
      </c>
      <c r="O1842" s="4">
        <v>260</v>
      </c>
      <c r="P1842">
        <v>0</v>
      </c>
      <c r="Q1842" s="4">
        <v>260</v>
      </c>
      <c r="R1842" s="12">
        <f t="shared" si="28"/>
        <v>41600</v>
      </c>
      <c r="T1842" t="s">
        <v>27</v>
      </c>
      <c r="U1842" t="s">
        <v>1314</v>
      </c>
      <c r="V1842" s="4">
        <v>160</v>
      </c>
      <c r="W1842">
        <v>0</v>
      </c>
    </row>
    <row r="1843" spans="1:23" hidden="1" x14ac:dyDescent="0.25">
      <c r="A1843" s="2">
        <v>45817.60193287037</v>
      </c>
      <c r="B1843">
        <v>3887</v>
      </c>
      <c r="C1843" t="s">
        <v>1312</v>
      </c>
      <c r="D1843" s="3">
        <v>45817</v>
      </c>
      <c r="E1843" s="3">
        <v>46325</v>
      </c>
      <c r="F1843" t="s">
        <v>21</v>
      </c>
      <c r="H1843" t="s">
        <v>22</v>
      </c>
      <c r="I1843" t="s">
        <v>1317</v>
      </c>
      <c r="K1843" t="s">
        <v>24</v>
      </c>
      <c r="L1843" s="4">
        <v>65</v>
      </c>
      <c r="M1843" t="s">
        <v>1316</v>
      </c>
      <c r="N1843" t="s">
        <v>46</v>
      </c>
      <c r="O1843" s="4">
        <v>1250</v>
      </c>
      <c r="P1843">
        <v>0</v>
      </c>
      <c r="Q1843" s="4">
        <v>1250</v>
      </c>
      <c r="R1843" s="12">
        <f t="shared" si="28"/>
        <v>81250</v>
      </c>
      <c r="T1843" t="s">
        <v>27</v>
      </c>
      <c r="U1843" t="s">
        <v>1314</v>
      </c>
      <c r="V1843" s="4">
        <v>65</v>
      </c>
      <c r="W1843">
        <v>0</v>
      </c>
    </row>
    <row r="1844" spans="1:23" hidden="1" x14ac:dyDescent="0.25">
      <c r="A1844" s="2">
        <v>45817.60193287037</v>
      </c>
      <c r="B1844">
        <v>3887</v>
      </c>
      <c r="C1844" t="s">
        <v>1312</v>
      </c>
      <c r="D1844" s="3">
        <v>45817</v>
      </c>
      <c r="E1844" s="3">
        <v>46325</v>
      </c>
      <c r="F1844" t="s">
        <v>21</v>
      </c>
      <c r="H1844" t="s">
        <v>22</v>
      </c>
      <c r="I1844" t="s">
        <v>280</v>
      </c>
      <c r="K1844" t="s">
        <v>24</v>
      </c>
      <c r="L1844" s="4">
        <v>24</v>
      </c>
      <c r="M1844" t="s">
        <v>1316</v>
      </c>
      <c r="N1844" t="s">
        <v>46</v>
      </c>
      <c r="O1844" s="4">
        <v>1200</v>
      </c>
      <c r="P1844">
        <v>0</v>
      </c>
      <c r="Q1844" s="4">
        <v>1200</v>
      </c>
      <c r="R1844" s="12">
        <f t="shared" si="28"/>
        <v>28800</v>
      </c>
      <c r="T1844" t="s">
        <v>27</v>
      </c>
      <c r="U1844" t="s">
        <v>1314</v>
      </c>
      <c r="V1844" s="4">
        <v>24</v>
      </c>
      <c r="W1844">
        <v>0</v>
      </c>
    </row>
    <row r="1845" spans="1:23" hidden="1" x14ac:dyDescent="0.25">
      <c r="A1845" s="2">
        <v>45817.60193287037</v>
      </c>
      <c r="B1845">
        <v>3887</v>
      </c>
      <c r="C1845" t="s">
        <v>1312</v>
      </c>
      <c r="D1845" s="3">
        <v>45817</v>
      </c>
      <c r="E1845" s="3">
        <v>46325</v>
      </c>
      <c r="F1845" t="s">
        <v>21</v>
      </c>
      <c r="H1845" t="s">
        <v>22</v>
      </c>
      <c r="I1845" t="s">
        <v>278</v>
      </c>
      <c r="K1845" t="s">
        <v>24</v>
      </c>
      <c r="L1845" s="4">
        <v>24</v>
      </c>
      <c r="M1845" t="s">
        <v>1316</v>
      </c>
      <c r="N1845" t="s">
        <v>46</v>
      </c>
      <c r="O1845" s="4">
        <v>60</v>
      </c>
      <c r="P1845">
        <v>0</v>
      </c>
      <c r="Q1845" s="4">
        <v>60</v>
      </c>
      <c r="R1845" s="12">
        <f t="shared" si="28"/>
        <v>1440</v>
      </c>
      <c r="T1845" t="s">
        <v>27</v>
      </c>
      <c r="U1845" t="s">
        <v>1314</v>
      </c>
      <c r="V1845" s="4">
        <v>24</v>
      </c>
      <c r="W1845">
        <v>0</v>
      </c>
    </row>
    <row r="1846" spans="1:23" hidden="1" x14ac:dyDescent="0.25">
      <c r="A1846" s="2">
        <v>45985.408715277779</v>
      </c>
      <c r="B1846">
        <v>4292</v>
      </c>
      <c r="C1846" t="s">
        <v>1312</v>
      </c>
      <c r="D1846" s="3">
        <v>45985</v>
      </c>
      <c r="E1846" s="3">
        <v>46111</v>
      </c>
      <c r="F1846" t="s">
        <v>21</v>
      </c>
      <c r="H1846" t="s">
        <v>22</v>
      </c>
      <c r="I1846" t="s">
        <v>738</v>
      </c>
      <c r="K1846" t="s">
        <v>24</v>
      </c>
      <c r="L1846" s="4">
        <v>62</v>
      </c>
      <c r="M1846" t="s">
        <v>1318</v>
      </c>
      <c r="N1846" t="s">
        <v>26</v>
      </c>
      <c r="O1846" s="4">
        <v>200</v>
      </c>
      <c r="P1846">
        <v>0</v>
      </c>
      <c r="Q1846" s="4">
        <v>200</v>
      </c>
      <c r="R1846" s="12">
        <f t="shared" si="28"/>
        <v>12400</v>
      </c>
      <c r="T1846" t="s">
        <v>27</v>
      </c>
      <c r="U1846" t="s">
        <v>1314</v>
      </c>
      <c r="V1846" s="4">
        <v>62</v>
      </c>
      <c r="W1846">
        <v>0</v>
      </c>
    </row>
    <row r="1847" spans="1:23" hidden="1" x14ac:dyDescent="0.25">
      <c r="A1847" s="2">
        <v>45957.444155092591</v>
      </c>
      <c r="B1847">
        <v>387</v>
      </c>
      <c r="C1847" t="s">
        <v>1319</v>
      </c>
      <c r="D1847" s="3">
        <v>45946</v>
      </c>
      <c r="E1847" s="3">
        <v>46142</v>
      </c>
      <c r="F1847" t="s">
        <v>418</v>
      </c>
      <c r="G1847" t="s">
        <v>1494</v>
      </c>
      <c r="H1847" t="s">
        <v>22</v>
      </c>
      <c r="I1847" t="s">
        <v>41</v>
      </c>
      <c r="J1847" t="s">
        <v>1491</v>
      </c>
      <c r="K1847" t="s">
        <v>24</v>
      </c>
      <c r="L1847" s="4">
        <v>320</v>
      </c>
      <c r="M1847" t="s">
        <v>1320</v>
      </c>
      <c r="N1847" t="s">
        <v>26</v>
      </c>
      <c r="O1847" s="4">
        <v>5</v>
      </c>
      <c r="P1847">
        <v>0</v>
      </c>
      <c r="Q1847" s="4">
        <v>5</v>
      </c>
      <c r="R1847" s="12">
        <f t="shared" si="28"/>
        <v>1600</v>
      </c>
      <c r="T1847" t="s">
        <v>136</v>
      </c>
      <c r="U1847" t="s">
        <v>1321</v>
      </c>
      <c r="V1847" s="4">
        <v>320</v>
      </c>
      <c r="W1847">
        <v>0</v>
      </c>
    </row>
    <row r="1848" spans="1:23" hidden="1" x14ac:dyDescent="0.25">
      <c r="A1848" s="2">
        <v>45957.444155092591</v>
      </c>
      <c r="B1848">
        <v>387</v>
      </c>
      <c r="C1848" t="s">
        <v>1319</v>
      </c>
      <c r="D1848" s="3">
        <v>45946</v>
      </c>
      <c r="E1848" s="3">
        <v>46142</v>
      </c>
      <c r="F1848" t="s">
        <v>418</v>
      </c>
      <c r="H1848" t="s">
        <v>22</v>
      </c>
      <c r="I1848" t="s">
        <v>42</v>
      </c>
      <c r="J1848" t="s">
        <v>1490</v>
      </c>
      <c r="K1848" t="s">
        <v>24</v>
      </c>
      <c r="L1848" s="4">
        <v>230</v>
      </c>
      <c r="M1848" t="s">
        <v>1320</v>
      </c>
      <c r="N1848" t="s">
        <v>26</v>
      </c>
      <c r="O1848" s="4">
        <v>5</v>
      </c>
      <c r="P1848">
        <v>0</v>
      </c>
      <c r="Q1848" s="4">
        <v>5</v>
      </c>
      <c r="R1848" s="12">
        <f t="shared" si="28"/>
        <v>1150</v>
      </c>
      <c r="T1848" t="s">
        <v>136</v>
      </c>
      <c r="U1848" t="s">
        <v>1321</v>
      </c>
      <c r="V1848" s="4">
        <v>230</v>
      </c>
      <c r="W1848">
        <v>0</v>
      </c>
    </row>
    <row r="1849" spans="1:23" hidden="1" x14ac:dyDescent="0.25">
      <c r="A1849" s="2">
        <v>45957.444155092591</v>
      </c>
      <c r="B1849">
        <v>387</v>
      </c>
      <c r="C1849" t="s">
        <v>1319</v>
      </c>
      <c r="D1849" s="3">
        <v>45946</v>
      </c>
      <c r="E1849" s="3">
        <v>46142</v>
      </c>
      <c r="F1849" t="s">
        <v>418</v>
      </c>
      <c r="G1849" t="s">
        <v>1494</v>
      </c>
      <c r="H1849" t="s">
        <v>22</v>
      </c>
      <c r="I1849" t="s">
        <v>40</v>
      </c>
      <c r="J1849" t="s">
        <v>1491</v>
      </c>
      <c r="K1849" t="s">
        <v>24</v>
      </c>
      <c r="L1849" s="4">
        <v>320</v>
      </c>
      <c r="M1849" t="s">
        <v>1320</v>
      </c>
      <c r="N1849" t="s">
        <v>26</v>
      </c>
      <c r="O1849" s="4">
        <v>5</v>
      </c>
      <c r="P1849">
        <v>0</v>
      </c>
      <c r="Q1849" s="4">
        <v>5</v>
      </c>
      <c r="R1849" s="12">
        <f t="shared" si="28"/>
        <v>1600</v>
      </c>
      <c r="T1849" t="s">
        <v>136</v>
      </c>
      <c r="U1849" t="s">
        <v>1321</v>
      </c>
      <c r="V1849" s="4">
        <v>320</v>
      </c>
      <c r="W1849">
        <v>0</v>
      </c>
    </row>
    <row r="1850" spans="1:23" hidden="1" x14ac:dyDescent="0.25">
      <c r="A1850" s="2">
        <v>45957.444155092591</v>
      </c>
      <c r="B1850">
        <v>387</v>
      </c>
      <c r="C1850" t="s">
        <v>1319</v>
      </c>
      <c r="D1850" s="3">
        <v>45946</v>
      </c>
      <c r="E1850" s="3">
        <v>46142</v>
      </c>
      <c r="F1850" t="s">
        <v>418</v>
      </c>
      <c r="G1850" t="s">
        <v>1494</v>
      </c>
      <c r="H1850" t="s">
        <v>22</v>
      </c>
      <c r="I1850" t="s">
        <v>43</v>
      </c>
      <c r="J1850" t="s">
        <v>1491</v>
      </c>
      <c r="K1850" t="s">
        <v>24</v>
      </c>
      <c r="L1850" s="4">
        <v>40</v>
      </c>
      <c r="M1850" t="s">
        <v>1320</v>
      </c>
      <c r="N1850" t="s">
        <v>26</v>
      </c>
      <c r="O1850" s="4">
        <v>45</v>
      </c>
      <c r="P1850">
        <v>0</v>
      </c>
      <c r="Q1850" s="4">
        <v>45</v>
      </c>
      <c r="R1850" s="12">
        <f t="shared" si="28"/>
        <v>1800</v>
      </c>
      <c r="T1850" t="s">
        <v>136</v>
      </c>
      <c r="U1850" t="s">
        <v>1321</v>
      </c>
      <c r="V1850" s="4">
        <v>40</v>
      </c>
      <c r="W1850">
        <v>0</v>
      </c>
    </row>
    <row r="1851" spans="1:23" hidden="1" x14ac:dyDescent="0.25">
      <c r="A1851" s="2">
        <v>45957.444155092591</v>
      </c>
      <c r="B1851">
        <v>387</v>
      </c>
      <c r="C1851" t="s">
        <v>1319</v>
      </c>
      <c r="D1851" s="3">
        <v>45946</v>
      </c>
      <c r="E1851" s="3">
        <v>46142</v>
      </c>
      <c r="F1851" t="s">
        <v>418</v>
      </c>
      <c r="G1851" t="s">
        <v>1494</v>
      </c>
      <c r="H1851" t="s">
        <v>22</v>
      </c>
      <c r="I1851" t="s">
        <v>44</v>
      </c>
      <c r="J1851" t="s">
        <v>1491</v>
      </c>
      <c r="K1851" t="s">
        <v>31</v>
      </c>
      <c r="L1851" s="4">
        <v>390</v>
      </c>
      <c r="M1851" t="s">
        <v>1320</v>
      </c>
      <c r="N1851" t="s">
        <v>26</v>
      </c>
      <c r="O1851" s="4">
        <v>5</v>
      </c>
      <c r="P1851">
        <v>0</v>
      </c>
      <c r="Q1851" s="4">
        <v>5</v>
      </c>
      <c r="R1851" s="12">
        <f t="shared" si="28"/>
        <v>1950</v>
      </c>
      <c r="T1851" t="s">
        <v>136</v>
      </c>
      <c r="U1851" t="s">
        <v>1321</v>
      </c>
      <c r="V1851" s="4">
        <v>390</v>
      </c>
      <c r="W1851">
        <v>0</v>
      </c>
    </row>
    <row r="1852" spans="1:23" hidden="1" x14ac:dyDescent="0.25">
      <c r="A1852" s="2">
        <v>45957.444155092591</v>
      </c>
      <c r="B1852">
        <v>387</v>
      </c>
      <c r="C1852" t="s">
        <v>1319</v>
      </c>
      <c r="D1852" s="3">
        <v>45946</v>
      </c>
      <c r="E1852" s="3">
        <v>46142</v>
      </c>
      <c r="F1852" t="s">
        <v>418</v>
      </c>
      <c r="G1852" t="s">
        <v>1494</v>
      </c>
      <c r="H1852" t="s">
        <v>22</v>
      </c>
      <c r="I1852" t="s">
        <v>38</v>
      </c>
      <c r="J1852" t="s">
        <v>1491</v>
      </c>
      <c r="K1852" t="s">
        <v>24</v>
      </c>
      <c r="L1852" s="4">
        <v>53</v>
      </c>
      <c r="M1852" t="s">
        <v>1320</v>
      </c>
      <c r="N1852" t="s">
        <v>26</v>
      </c>
      <c r="O1852" s="4">
        <v>9</v>
      </c>
      <c r="P1852">
        <v>0</v>
      </c>
      <c r="Q1852" s="4">
        <v>9</v>
      </c>
      <c r="R1852" s="12">
        <f t="shared" si="28"/>
        <v>477</v>
      </c>
      <c r="T1852" t="s">
        <v>136</v>
      </c>
      <c r="U1852" t="s">
        <v>1321</v>
      </c>
      <c r="V1852" s="4">
        <v>53</v>
      </c>
      <c r="W1852">
        <v>0</v>
      </c>
    </row>
    <row r="1853" spans="1:23" hidden="1" x14ac:dyDescent="0.25">
      <c r="A1853" s="2">
        <v>46048.360243055555</v>
      </c>
      <c r="B1853">
        <v>514</v>
      </c>
      <c r="C1853" t="s">
        <v>1319</v>
      </c>
      <c r="D1853" s="3">
        <v>46048</v>
      </c>
      <c r="E1853" s="3">
        <v>46264</v>
      </c>
      <c r="F1853" t="s">
        <v>418</v>
      </c>
      <c r="G1853" t="s">
        <v>1494</v>
      </c>
      <c r="H1853" t="s">
        <v>22</v>
      </c>
      <c r="I1853" t="s">
        <v>40</v>
      </c>
      <c r="J1853" t="s">
        <v>1491</v>
      </c>
      <c r="K1853" t="s">
        <v>24</v>
      </c>
      <c r="L1853" s="4">
        <v>340</v>
      </c>
      <c r="M1853" t="s">
        <v>1322</v>
      </c>
      <c r="N1853" t="s">
        <v>46</v>
      </c>
      <c r="O1853" s="4">
        <v>19</v>
      </c>
      <c r="P1853">
        <v>0</v>
      </c>
      <c r="Q1853" s="4">
        <v>19</v>
      </c>
      <c r="R1853" s="12">
        <f t="shared" si="28"/>
        <v>6460</v>
      </c>
      <c r="T1853" t="s">
        <v>136</v>
      </c>
      <c r="U1853" t="s">
        <v>1321</v>
      </c>
      <c r="V1853" s="4">
        <v>340</v>
      </c>
      <c r="W1853">
        <v>0</v>
      </c>
    </row>
    <row r="1854" spans="1:23" hidden="1" x14ac:dyDescent="0.25">
      <c r="A1854" s="2">
        <v>46048.360243055555</v>
      </c>
      <c r="B1854">
        <v>514</v>
      </c>
      <c r="C1854" t="s">
        <v>1319</v>
      </c>
      <c r="D1854" s="3">
        <v>46048</v>
      </c>
      <c r="E1854" s="3">
        <v>46264</v>
      </c>
      <c r="F1854" t="s">
        <v>418</v>
      </c>
      <c r="G1854" t="s">
        <v>1494</v>
      </c>
      <c r="H1854" t="s">
        <v>22</v>
      </c>
      <c r="I1854" t="s">
        <v>41</v>
      </c>
      <c r="J1854" t="s">
        <v>1491</v>
      </c>
      <c r="K1854" t="s">
        <v>24</v>
      </c>
      <c r="L1854" s="4">
        <v>350</v>
      </c>
      <c r="M1854" t="s">
        <v>1322</v>
      </c>
      <c r="N1854" t="s">
        <v>46</v>
      </c>
      <c r="O1854" s="4">
        <v>38</v>
      </c>
      <c r="P1854">
        <v>0</v>
      </c>
      <c r="Q1854" s="4">
        <v>38</v>
      </c>
      <c r="R1854" s="12">
        <f t="shared" si="28"/>
        <v>13300</v>
      </c>
      <c r="T1854" t="s">
        <v>136</v>
      </c>
      <c r="U1854" t="s">
        <v>1321</v>
      </c>
      <c r="V1854" s="4">
        <v>350</v>
      </c>
      <c r="W1854">
        <v>0</v>
      </c>
    </row>
    <row r="1855" spans="1:23" hidden="1" x14ac:dyDescent="0.25">
      <c r="A1855" s="2">
        <v>46048.360243055555</v>
      </c>
      <c r="B1855">
        <v>514</v>
      </c>
      <c r="C1855" t="s">
        <v>1319</v>
      </c>
      <c r="D1855" s="3">
        <v>46048</v>
      </c>
      <c r="E1855" s="3">
        <v>46264</v>
      </c>
      <c r="F1855" t="s">
        <v>418</v>
      </c>
      <c r="G1855" t="s">
        <v>1494</v>
      </c>
      <c r="H1855" t="s">
        <v>22</v>
      </c>
      <c r="I1855" t="s">
        <v>38</v>
      </c>
      <c r="J1855" t="s">
        <v>1491</v>
      </c>
      <c r="K1855" t="s">
        <v>24</v>
      </c>
      <c r="L1855" s="4">
        <v>57</v>
      </c>
      <c r="M1855" t="s">
        <v>1322</v>
      </c>
      <c r="N1855" t="s">
        <v>46</v>
      </c>
      <c r="O1855" s="4">
        <v>141</v>
      </c>
      <c r="P1855">
        <v>0</v>
      </c>
      <c r="Q1855" s="4">
        <v>141</v>
      </c>
      <c r="R1855" s="12">
        <f t="shared" si="28"/>
        <v>8037</v>
      </c>
      <c r="T1855" t="s">
        <v>136</v>
      </c>
      <c r="U1855" t="s">
        <v>1321</v>
      </c>
      <c r="V1855" s="4">
        <v>57</v>
      </c>
      <c r="W1855">
        <v>0</v>
      </c>
    </row>
    <row r="1856" spans="1:23" hidden="1" x14ac:dyDescent="0.25">
      <c r="A1856" s="2">
        <v>46048.360243055555</v>
      </c>
      <c r="B1856">
        <v>514</v>
      </c>
      <c r="C1856" t="s">
        <v>1319</v>
      </c>
      <c r="D1856" s="3">
        <v>46048</v>
      </c>
      <c r="E1856" s="3">
        <v>46264</v>
      </c>
      <c r="F1856" t="s">
        <v>418</v>
      </c>
      <c r="G1856" t="s">
        <v>1494</v>
      </c>
      <c r="H1856" t="s">
        <v>22</v>
      </c>
      <c r="I1856" t="s">
        <v>44</v>
      </c>
      <c r="J1856" t="s">
        <v>1491</v>
      </c>
      <c r="K1856" t="s">
        <v>31</v>
      </c>
      <c r="L1856" s="4">
        <v>390</v>
      </c>
      <c r="M1856" t="s">
        <v>1322</v>
      </c>
      <c r="N1856" t="s">
        <v>46</v>
      </c>
      <c r="O1856" s="4">
        <v>50</v>
      </c>
      <c r="P1856">
        <v>0</v>
      </c>
      <c r="Q1856" s="4">
        <v>50</v>
      </c>
      <c r="R1856" s="12">
        <f t="shared" si="28"/>
        <v>19500</v>
      </c>
      <c r="T1856" t="s">
        <v>136</v>
      </c>
      <c r="U1856" t="s">
        <v>1321</v>
      </c>
      <c r="V1856" s="4">
        <v>390</v>
      </c>
      <c r="W1856">
        <v>0</v>
      </c>
    </row>
    <row r="1857" spans="1:23" hidden="1" x14ac:dyDescent="0.25">
      <c r="A1857" s="2">
        <v>46048.360243055555</v>
      </c>
      <c r="B1857">
        <v>514</v>
      </c>
      <c r="C1857" t="s">
        <v>1319</v>
      </c>
      <c r="D1857" s="3">
        <v>46048</v>
      </c>
      <c r="E1857" s="3">
        <v>46264</v>
      </c>
      <c r="F1857" t="s">
        <v>418</v>
      </c>
      <c r="H1857" t="s">
        <v>22</v>
      </c>
      <c r="I1857" t="s">
        <v>42</v>
      </c>
      <c r="J1857" t="s">
        <v>1490</v>
      </c>
      <c r="K1857" t="s">
        <v>24</v>
      </c>
      <c r="L1857" s="4">
        <v>220</v>
      </c>
      <c r="M1857" t="s">
        <v>1322</v>
      </c>
      <c r="N1857" t="s">
        <v>46</v>
      </c>
      <c r="O1857" s="4">
        <v>75</v>
      </c>
      <c r="P1857">
        <v>0</v>
      </c>
      <c r="Q1857" s="4">
        <v>75</v>
      </c>
      <c r="R1857" s="12">
        <f t="shared" si="28"/>
        <v>16500</v>
      </c>
      <c r="T1857" t="s">
        <v>136</v>
      </c>
      <c r="U1857" t="s">
        <v>1321</v>
      </c>
      <c r="V1857" s="4">
        <v>220</v>
      </c>
      <c r="W1857">
        <v>0</v>
      </c>
    </row>
    <row r="1858" spans="1:23" hidden="1" x14ac:dyDescent="0.25">
      <c r="A1858" s="2">
        <v>46074.422500000001</v>
      </c>
      <c r="B1858">
        <v>561</v>
      </c>
      <c r="C1858" t="s">
        <v>1319</v>
      </c>
      <c r="D1858" s="3">
        <v>46074</v>
      </c>
      <c r="E1858" s="3">
        <v>46264</v>
      </c>
      <c r="F1858" t="s">
        <v>418</v>
      </c>
      <c r="G1858" t="s">
        <v>1494</v>
      </c>
      <c r="H1858" t="s">
        <v>22</v>
      </c>
      <c r="I1858" t="s">
        <v>44</v>
      </c>
      <c r="J1858" t="s">
        <v>1491</v>
      </c>
      <c r="K1858" t="s">
        <v>31</v>
      </c>
      <c r="L1858" s="4">
        <v>390</v>
      </c>
      <c r="M1858" t="s">
        <v>1323</v>
      </c>
      <c r="N1858" t="s">
        <v>46</v>
      </c>
      <c r="O1858" s="4">
        <v>6</v>
      </c>
      <c r="P1858">
        <v>0</v>
      </c>
      <c r="Q1858" s="4">
        <v>6</v>
      </c>
      <c r="R1858" s="12">
        <f t="shared" si="28"/>
        <v>2340</v>
      </c>
      <c r="T1858" t="s">
        <v>136</v>
      </c>
      <c r="U1858" t="s">
        <v>1321</v>
      </c>
      <c r="V1858" s="4">
        <v>390</v>
      </c>
      <c r="W1858">
        <v>0</v>
      </c>
    </row>
    <row r="1859" spans="1:23" hidden="1" x14ac:dyDescent="0.25">
      <c r="A1859" s="2">
        <v>45916.545613425929</v>
      </c>
      <c r="B1859">
        <v>300</v>
      </c>
      <c r="C1859" t="s">
        <v>1324</v>
      </c>
      <c r="D1859" s="3">
        <v>45916</v>
      </c>
      <c r="E1859" s="3">
        <v>46111</v>
      </c>
      <c r="F1859" t="s">
        <v>66</v>
      </c>
      <c r="H1859" t="s">
        <v>22</v>
      </c>
      <c r="I1859" t="s">
        <v>502</v>
      </c>
      <c r="K1859" t="s">
        <v>105</v>
      </c>
      <c r="L1859" s="4">
        <v>831</v>
      </c>
      <c r="M1859" t="s">
        <v>1325</v>
      </c>
      <c r="N1859" t="s">
        <v>26</v>
      </c>
      <c r="O1859" s="4">
        <v>10</v>
      </c>
      <c r="P1859">
        <v>0</v>
      </c>
      <c r="Q1859" s="4">
        <v>10</v>
      </c>
      <c r="R1859" s="12">
        <f t="shared" ref="R1859:R1922" si="29">Q1859*L1859</f>
        <v>8310</v>
      </c>
      <c r="T1859" t="s">
        <v>405</v>
      </c>
      <c r="U1859" t="s">
        <v>1326</v>
      </c>
      <c r="V1859" s="4">
        <v>831</v>
      </c>
      <c r="W1859">
        <v>0</v>
      </c>
    </row>
    <row r="1860" spans="1:23" x14ac:dyDescent="0.25">
      <c r="A1860" s="2">
        <v>45758.31622685185</v>
      </c>
      <c r="B1860">
        <v>3803</v>
      </c>
      <c r="C1860" t="s">
        <v>1327</v>
      </c>
      <c r="D1860" s="3">
        <v>45758</v>
      </c>
      <c r="E1860" s="3">
        <v>46142</v>
      </c>
      <c r="F1860" t="s">
        <v>98</v>
      </c>
      <c r="H1860" t="s">
        <v>22</v>
      </c>
      <c r="I1860" t="s">
        <v>104</v>
      </c>
      <c r="K1860" t="s">
        <v>105</v>
      </c>
      <c r="L1860" s="4">
        <v>1900</v>
      </c>
      <c r="M1860" t="s">
        <v>1328</v>
      </c>
      <c r="N1860" t="s">
        <v>26</v>
      </c>
      <c r="O1860" s="4">
        <v>60</v>
      </c>
      <c r="P1860">
        <v>0</v>
      </c>
      <c r="Q1860" s="4">
        <v>60</v>
      </c>
      <c r="R1860" s="12">
        <f t="shared" si="29"/>
        <v>114000</v>
      </c>
      <c r="T1860" t="s">
        <v>151</v>
      </c>
      <c r="U1860" t="s">
        <v>1329</v>
      </c>
      <c r="V1860" s="4">
        <v>1900</v>
      </c>
      <c r="W1860">
        <v>0</v>
      </c>
    </row>
    <row r="1861" spans="1:23" hidden="1" x14ac:dyDescent="0.25">
      <c r="A1861" s="2">
        <v>45919.567118055558</v>
      </c>
      <c r="B1861">
        <v>4061</v>
      </c>
      <c r="C1861" t="s">
        <v>1330</v>
      </c>
      <c r="D1861" s="3">
        <v>45919</v>
      </c>
      <c r="E1861" s="3">
        <v>46142</v>
      </c>
      <c r="F1861" t="s">
        <v>112</v>
      </c>
      <c r="G1861" t="s">
        <v>1493</v>
      </c>
      <c r="H1861" t="s">
        <v>22</v>
      </c>
      <c r="I1861" t="s">
        <v>63</v>
      </c>
      <c r="J1861" t="s">
        <v>1491</v>
      </c>
      <c r="K1861" t="s">
        <v>31</v>
      </c>
      <c r="L1861" s="4">
        <v>200</v>
      </c>
      <c r="M1861" t="s">
        <v>1331</v>
      </c>
      <c r="N1861" t="s">
        <v>26</v>
      </c>
      <c r="O1861" s="4">
        <v>32</v>
      </c>
      <c r="P1861">
        <v>0</v>
      </c>
      <c r="Q1861" s="4">
        <v>32</v>
      </c>
      <c r="R1861" s="12">
        <f t="shared" si="29"/>
        <v>6400</v>
      </c>
      <c r="T1861" t="s">
        <v>151</v>
      </c>
      <c r="U1861" t="s">
        <v>1332</v>
      </c>
      <c r="V1861" s="4">
        <v>200</v>
      </c>
      <c r="W1861">
        <v>0</v>
      </c>
    </row>
    <row r="1862" spans="1:23" x14ac:dyDescent="0.25">
      <c r="A1862" s="2">
        <v>45923.465636574074</v>
      </c>
      <c r="B1862">
        <v>4071</v>
      </c>
      <c r="C1862" t="s">
        <v>1333</v>
      </c>
      <c r="D1862" s="3">
        <v>45923</v>
      </c>
      <c r="E1862" s="3">
        <v>46142</v>
      </c>
      <c r="F1862" t="s">
        <v>98</v>
      </c>
      <c r="G1862" t="s">
        <v>1493</v>
      </c>
      <c r="H1862" t="s">
        <v>22</v>
      </c>
      <c r="I1862" t="s">
        <v>38</v>
      </c>
      <c r="J1862" t="s">
        <v>1491</v>
      </c>
      <c r="K1862" t="s">
        <v>24</v>
      </c>
      <c r="L1862" s="4">
        <v>46</v>
      </c>
      <c r="M1862" t="s">
        <v>1334</v>
      </c>
      <c r="N1862" t="s">
        <v>26</v>
      </c>
      <c r="O1862" s="4">
        <v>6</v>
      </c>
      <c r="P1862">
        <v>0</v>
      </c>
      <c r="Q1862" s="4">
        <v>6</v>
      </c>
      <c r="R1862" s="12">
        <f t="shared" si="29"/>
        <v>276</v>
      </c>
      <c r="T1862" t="s">
        <v>27</v>
      </c>
      <c r="U1862" t="s">
        <v>1335</v>
      </c>
      <c r="V1862" s="4">
        <v>46</v>
      </c>
      <c r="W1862">
        <v>0</v>
      </c>
    </row>
    <row r="1863" spans="1:23" x14ac:dyDescent="0.25">
      <c r="A1863" s="2">
        <v>45923.465636574074</v>
      </c>
      <c r="B1863">
        <v>4071</v>
      </c>
      <c r="C1863" t="s">
        <v>1333</v>
      </c>
      <c r="D1863" s="3">
        <v>45923</v>
      </c>
      <c r="E1863" s="3">
        <v>46142</v>
      </c>
      <c r="F1863" t="s">
        <v>98</v>
      </c>
      <c r="G1863" t="s">
        <v>1493</v>
      </c>
      <c r="H1863" t="s">
        <v>22</v>
      </c>
      <c r="I1863" t="s">
        <v>40</v>
      </c>
      <c r="J1863" t="s">
        <v>1491</v>
      </c>
      <c r="K1863" t="s">
        <v>24</v>
      </c>
      <c r="L1863" s="4">
        <v>341</v>
      </c>
      <c r="M1863" t="s">
        <v>1334</v>
      </c>
      <c r="N1863" t="s">
        <v>26</v>
      </c>
      <c r="O1863" s="4">
        <v>4</v>
      </c>
      <c r="P1863">
        <v>0</v>
      </c>
      <c r="Q1863" s="4">
        <v>4</v>
      </c>
      <c r="R1863" s="12">
        <f t="shared" si="29"/>
        <v>1364</v>
      </c>
      <c r="T1863" t="s">
        <v>27</v>
      </c>
      <c r="U1863" t="s">
        <v>1335</v>
      </c>
      <c r="V1863" s="4">
        <v>341</v>
      </c>
      <c r="W1863">
        <v>0</v>
      </c>
    </row>
    <row r="1864" spans="1:23" x14ac:dyDescent="0.25">
      <c r="A1864" s="2">
        <v>45923.465636574074</v>
      </c>
      <c r="B1864">
        <v>4071</v>
      </c>
      <c r="C1864" t="s">
        <v>1333</v>
      </c>
      <c r="D1864" s="3">
        <v>45923</v>
      </c>
      <c r="E1864" s="3">
        <v>46142</v>
      </c>
      <c r="F1864" t="s">
        <v>98</v>
      </c>
      <c r="G1864" t="s">
        <v>1493</v>
      </c>
      <c r="H1864" t="s">
        <v>22</v>
      </c>
      <c r="I1864" t="s">
        <v>43</v>
      </c>
      <c r="J1864" t="s">
        <v>1491</v>
      </c>
      <c r="K1864" t="s">
        <v>24</v>
      </c>
      <c r="L1864" s="4">
        <v>46</v>
      </c>
      <c r="M1864" t="s">
        <v>1334</v>
      </c>
      <c r="N1864" t="s">
        <v>26</v>
      </c>
      <c r="O1864" s="4">
        <v>12</v>
      </c>
      <c r="P1864">
        <v>0</v>
      </c>
      <c r="Q1864" s="4">
        <v>12</v>
      </c>
      <c r="R1864" s="12">
        <f t="shared" si="29"/>
        <v>552</v>
      </c>
      <c r="T1864" t="s">
        <v>27</v>
      </c>
      <c r="U1864" t="s">
        <v>1335</v>
      </c>
      <c r="V1864" s="4">
        <v>46</v>
      </c>
      <c r="W1864">
        <v>0</v>
      </c>
    </row>
    <row r="1865" spans="1:23" x14ac:dyDescent="0.25">
      <c r="A1865" s="2">
        <v>45923.465636574074</v>
      </c>
      <c r="B1865">
        <v>4071</v>
      </c>
      <c r="C1865" t="s">
        <v>1333</v>
      </c>
      <c r="D1865" s="3">
        <v>45923</v>
      </c>
      <c r="E1865" s="3">
        <v>46142</v>
      </c>
      <c r="F1865" t="s">
        <v>98</v>
      </c>
      <c r="H1865" t="s">
        <v>22</v>
      </c>
      <c r="I1865" t="s">
        <v>42</v>
      </c>
      <c r="J1865" t="s">
        <v>1490</v>
      </c>
      <c r="K1865" t="s">
        <v>24</v>
      </c>
      <c r="L1865" s="4">
        <v>240</v>
      </c>
      <c r="M1865" t="s">
        <v>1334</v>
      </c>
      <c r="N1865" t="s">
        <v>26</v>
      </c>
      <c r="O1865" s="4">
        <v>5</v>
      </c>
      <c r="P1865">
        <v>0</v>
      </c>
      <c r="Q1865" s="4">
        <v>5</v>
      </c>
      <c r="R1865" s="12">
        <f t="shared" si="29"/>
        <v>1200</v>
      </c>
      <c r="T1865" t="s">
        <v>27</v>
      </c>
      <c r="U1865" t="s">
        <v>1335</v>
      </c>
      <c r="V1865" s="4">
        <v>240</v>
      </c>
      <c r="W1865">
        <v>0</v>
      </c>
    </row>
    <row r="1866" spans="1:23" x14ac:dyDescent="0.25">
      <c r="A1866" s="2">
        <v>45923.465636574074</v>
      </c>
      <c r="B1866">
        <v>4071</v>
      </c>
      <c r="C1866" t="s">
        <v>1333</v>
      </c>
      <c r="D1866" s="3">
        <v>45923</v>
      </c>
      <c r="E1866" s="3">
        <v>46142</v>
      </c>
      <c r="F1866" t="s">
        <v>98</v>
      </c>
      <c r="G1866" t="s">
        <v>1493</v>
      </c>
      <c r="H1866" t="s">
        <v>22</v>
      </c>
      <c r="I1866" t="s">
        <v>44</v>
      </c>
      <c r="J1866" t="s">
        <v>1491</v>
      </c>
      <c r="K1866" t="s">
        <v>31</v>
      </c>
      <c r="L1866" s="4">
        <v>390</v>
      </c>
      <c r="M1866" t="s">
        <v>1334</v>
      </c>
      <c r="N1866" t="s">
        <v>26</v>
      </c>
      <c r="O1866" s="4">
        <v>2</v>
      </c>
      <c r="P1866">
        <v>0</v>
      </c>
      <c r="Q1866" s="4">
        <v>2</v>
      </c>
      <c r="R1866" s="12">
        <f t="shared" si="29"/>
        <v>780</v>
      </c>
      <c r="T1866" t="s">
        <v>27</v>
      </c>
      <c r="U1866" t="s">
        <v>1335</v>
      </c>
      <c r="V1866" s="4">
        <v>390</v>
      </c>
      <c r="W1866">
        <v>0</v>
      </c>
    </row>
    <row r="1867" spans="1:23" x14ac:dyDescent="0.25">
      <c r="A1867" s="2">
        <v>45923.465636574074</v>
      </c>
      <c r="B1867">
        <v>4071</v>
      </c>
      <c r="C1867" t="s">
        <v>1333</v>
      </c>
      <c r="D1867" s="3">
        <v>45923</v>
      </c>
      <c r="E1867" s="3">
        <v>46142</v>
      </c>
      <c r="F1867" t="s">
        <v>98</v>
      </c>
      <c r="G1867" t="s">
        <v>1493</v>
      </c>
      <c r="H1867" t="s">
        <v>22</v>
      </c>
      <c r="I1867" t="s">
        <v>41</v>
      </c>
      <c r="J1867" t="s">
        <v>1491</v>
      </c>
      <c r="K1867" t="s">
        <v>24</v>
      </c>
      <c r="L1867" s="4">
        <v>341</v>
      </c>
      <c r="M1867" t="s">
        <v>1334</v>
      </c>
      <c r="N1867" t="s">
        <v>26</v>
      </c>
      <c r="O1867" s="4">
        <v>4</v>
      </c>
      <c r="P1867">
        <v>0</v>
      </c>
      <c r="Q1867" s="4">
        <v>4</v>
      </c>
      <c r="R1867" s="12">
        <f t="shared" si="29"/>
        <v>1364</v>
      </c>
      <c r="T1867" t="s">
        <v>27</v>
      </c>
      <c r="U1867" t="s">
        <v>1335</v>
      </c>
      <c r="V1867" s="4">
        <v>341</v>
      </c>
      <c r="W1867">
        <v>0</v>
      </c>
    </row>
    <row r="1868" spans="1:23" hidden="1" x14ac:dyDescent="0.25">
      <c r="A1868" s="2">
        <v>45901.456990740742</v>
      </c>
      <c r="B1868">
        <v>280</v>
      </c>
      <c r="C1868" t="s">
        <v>1336</v>
      </c>
      <c r="D1868" s="3">
        <v>45901</v>
      </c>
      <c r="E1868" s="3">
        <v>46111</v>
      </c>
      <c r="F1868" t="s">
        <v>66</v>
      </c>
      <c r="G1868" t="s">
        <v>1494</v>
      </c>
      <c r="H1868" t="s">
        <v>484</v>
      </c>
      <c r="I1868" t="s">
        <v>63</v>
      </c>
      <c r="J1868" t="s">
        <v>1491</v>
      </c>
      <c r="K1868" t="s">
        <v>31</v>
      </c>
      <c r="L1868" s="4">
        <v>190</v>
      </c>
      <c r="M1868" t="s">
        <v>1337</v>
      </c>
      <c r="N1868" t="s">
        <v>26</v>
      </c>
      <c r="O1868" s="4">
        <v>30</v>
      </c>
      <c r="P1868">
        <v>0</v>
      </c>
      <c r="Q1868" s="4">
        <v>30</v>
      </c>
      <c r="R1868" s="12">
        <f t="shared" si="29"/>
        <v>5700</v>
      </c>
      <c r="T1868" t="s">
        <v>486</v>
      </c>
      <c r="U1868" t="s">
        <v>1338</v>
      </c>
      <c r="V1868" s="4">
        <v>190</v>
      </c>
      <c r="W1868">
        <v>0</v>
      </c>
    </row>
    <row r="1869" spans="1:23" hidden="1" x14ac:dyDescent="0.25">
      <c r="A1869" s="2">
        <v>45901.456990740742</v>
      </c>
      <c r="B1869">
        <v>280</v>
      </c>
      <c r="C1869" t="s">
        <v>1336</v>
      </c>
      <c r="D1869" s="3">
        <v>45901</v>
      </c>
      <c r="E1869" s="3">
        <v>46111</v>
      </c>
      <c r="F1869" t="s">
        <v>66</v>
      </c>
      <c r="H1869" t="s">
        <v>484</v>
      </c>
      <c r="I1869" t="s">
        <v>328</v>
      </c>
      <c r="K1869" t="s">
        <v>24</v>
      </c>
      <c r="L1869" s="4">
        <v>78</v>
      </c>
      <c r="M1869" t="s">
        <v>1337</v>
      </c>
      <c r="N1869" t="s">
        <v>26</v>
      </c>
      <c r="O1869" s="4">
        <v>20</v>
      </c>
      <c r="P1869">
        <v>0</v>
      </c>
      <c r="Q1869" s="4">
        <v>20</v>
      </c>
      <c r="R1869" s="12">
        <f t="shared" si="29"/>
        <v>1560</v>
      </c>
      <c r="T1869" t="s">
        <v>486</v>
      </c>
      <c r="U1869" t="s">
        <v>1338</v>
      </c>
      <c r="V1869" s="4">
        <v>78</v>
      </c>
      <c r="W1869">
        <v>0</v>
      </c>
    </row>
    <row r="1870" spans="1:23" hidden="1" x14ac:dyDescent="0.25">
      <c r="A1870" s="2">
        <v>45761.426793981482</v>
      </c>
      <c r="B1870">
        <v>181</v>
      </c>
      <c r="C1870" t="s">
        <v>1339</v>
      </c>
      <c r="D1870" s="3">
        <v>45761</v>
      </c>
      <c r="E1870" s="3">
        <v>45761</v>
      </c>
      <c r="F1870" t="s">
        <v>66</v>
      </c>
      <c r="H1870" t="s">
        <v>22</v>
      </c>
      <c r="I1870" t="s">
        <v>134</v>
      </c>
      <c r="K1870" t="s">
        <v>105</v>
      </c>
      <c r="L1870" s="4">
        <v>1200</v>
      </c>
      <c r="M1870" t="s">
        <v>1340</v>
      </c>
      <c r="N1870" t="s">
        <v>26</v>
      </c>
      <c r="O1870" s="4">
        <v>1</v>
      </c>
      <c r="P1870">
        <v>0</v>
      </c>
      <c r="Q1870" s="4">
        <v>1</v>
      </c>
      <c r="R1870" s="12">
        <f t="shared" si="29"/>
        <v>1200</v>
      </c>
      <c r="T1870" t="s">
        <v>125</v>
      </c>
      <c r="U1870" t="s">
        <v>1341</v>
      </c>
      <c r="V1870" s="4">
        <v>1200</v>
      </c>
      <c r="W1870">
        <v>0</v>
      </c>
    </row>
    <row r="1871" spans="1:23" hidden="1" x14ac:dyDescent="0.25">
      <c r="A1871" s="2">
        <v>45828.582546296297</v>
      </c>
      <c r="B1871">
        <v>234</v>
      </c>
      <c r="C1871" t="s">
        <v>1339</v>
      </c>
      <c r="D1871" s="3">
        <v>45828</v>
      </c>
      <c r="E1871" s="3">
        <v>45868</v>
      </c>
      <c r="F1871" t="s">
        <v>66</v>
      </c>
      <c r="H1871" t="s">
        <v>22</v>
      </c>
      <c r="I1871" t="s">
        <v>134</v>
      </c>
      <c r="K1871" t="s">
        <v>105</v>
      </c>
      <c r="L1871" s="4">
        <v>1060</v>
      </c>
      <c r="M1871" t="s">
        <v>1342</v>
      </c>
      <c r="N1871" t="s">
        <v>26</v>
      </c>
      <c r="O1871" s="4">
        <v>50</v>
      </c>
      <c r="P1871">
        <v>0</v>
      </c>
      <c r="Q1871" s="4">
        <v>50</v>
      </c>
      <c r="R1871" s="12">
        <f t="shared" si="29"/>
        <v>53000</v>
      </c>
      <c r="T1871" t="s">
        <v>125</v>
      </c>
      <c r="U1871" t="s">
        <v>1341</v>
      </c>
      <c r="V1871" s="4">
        <v>1060</v>
      </c>
      <c r="W1871">
        <v>0</v>
      </c>
    </row>
    <row r="1872" spans="1:23" hidden="1" x14ac:dyDescent="0.25">
      <c r="A1872" s="2">
        <v>46070.349270833336</v>
      </c>
      <c r="B1872">
        <v>551</v>
      </c>
      <c r="C1872" t="s">
        <v>1339</v>
      </c>
      <c r="D1872" s="3">
        <v>46070</v>
      </c>
      <c r="E1872" s="3">
        <v>46264</v>
      </c>
      <c r="F1872" t="s">
        <v>66</v>
      </c>
      <c r="G1872" t="s">
        <v>1494</v>
      </c>
      <c r="H1872" t="s">
        <v>22</v>
      </c>
      <c r="I1872" t="s">
        <v>75</v>
      </c>
      <c r="J1872" t="s">
        <v>1491</v>
      </c>
      <c r="K1872" t="s">
        <v>24</v>
      </c>
      <c r="L1872" s="4">
        <v>35</v>
      </c>
      <c r="M1872" t="s">
        <v>1343</v>
      </c>
      <c r="N1872" t="s">
        <v>46</v>
      </c>
      <c r="O1872" s="4">
        <v>380</v>
      </c>
      <c r="P1872">
        <v>0</v>
      </c>
      <c r="Q1872" s="4">
        <v>380</v>
      </c>
      <c r="R1872" s="12">
        <f t="shared" si="29"/>
        <v>13300</v>
      </c>
      <c r="T1872" t="s">
        <v>125</v>
      </c>
      <c r="U1872" t="s">
        <v>1341</v>
      </c>
      <c r="V1872" s="4">
        <v>35</v>
      </c>
      <c r="W1872">
        <v>0</v>
      </c>
    </row>
    <row r="1873" spans="1:23" hidden="1" x14ac:dyDescent="0.25">
      <c r="A1873" s="2">
        <v>46014.570775462962</v>
      </c>
      <c r="B1873">
        <v>464</v>
      </c>
      <c r="C1873" t="s">
        <v>1344</v>
      </c>
      <c r="D1873" s="3">
        <v>46014</v>
      </c>
      <c r="E1873" s="3">
        <v>46015</v>
      </c>
      <c r="F1873" t="s">
        <v>66</v>
      </c>
      <c r="H1873" t="s">
        <v>484</v>
      </c>
      <c r="I1873" t="s">
        <v>96</v>
      </c>
      <c r="K1873" t="s">
        <v>24</v>
      </c>
      <c r="L1873" s="4">
        <v>80</v>
      </c>
      <c r="M1873" t="s">
        <v>1345</v>
      </c>
      <c r="N1873" t="s">
        <v>26</v>
      </c>
      <c r="O1873" s="4">
        <v>5</v>
      </c>
      <c r="P1873">
        <v>0</v>
      </c>
      <c r="Q1873" s="4">
        <v>5</v>
      </c>
      <c r="R1873" s="12">
        <f t="shared" si="29"/>
        <v>400</v>
      </c>
      <c r="T1873" t="s">
        <v>486</v>
      </c>
      <c r="U1873" t="s">
        <v>1346</v>
      </c>
      <c r="V1873" s="4">
        <v>80</v>
      </c>
      <c r="W1873">
        <v>0</v>
      </c>
    </row>
    <row r="1874" spans="1:23" hidden="1" x14ac:dyDescent="0.25">
      <c r="A1874" s="2">
        <v>46021.405300925922</v>
      </c>
      <c r="B1874">
        <v>472</v>
      </c>
      <c r="C1874" t="s">
        <v>1344</v>
      </c>
      <c r="D1874" s="3">
        <v>46021</v>
      </c>
      <c r="E1874" s="3">
        <v>46022</v>
      </c>
      <c r="F1874" t="s">
        <v>66</v>
      </c>
      <c r="H1874" t="s">
        <v>484</v>
      </c>
      <c r="I1874" t="s">
        <v>96</v>
      </c>
      <c r="K1874" t="s">
        <v>24</v>
      </c>
      <c r="L1874" s="4">
        <v>80</v>
      </c>
      <c r="M1874" t="s">
        <v>1347</v>
      </c>
      <c r="N1874" t="s">
        <v>26</v>
      </c>
      <c r="O1874" s="4">
        <v>10</v>
      </c>
      <c r="P1874">
        <v>0</v>
      </c>
      <c r="Q1874" s="4">
        <v>10</v>
      </c>
      <c r="R1874" s="12">
        <f t="shared" si="29"/>
        <v>800</v>
      </c>
      <c r="T1874" t="s">
        <v>486</v>
      </c>
      <c r="U1874" t="s">
        <v>1346</v>
      </c>
      <c r="V1874" s="4">
        <v>80</v>
      </c>
      <c r="W1874">
        <v>0</v>
      </c>
    </row>
    <row r="1875" spans="1:23" hidden="1" x14ac:dyDescent="0.25">
      <c r="A1875" s="2">
        <v>46058.299027777779</v>
      </c>
      <c r="B1875">
        <v>4527</v>
      </c>
      <c r="C1875" t="s">
        <v>1348</v>
      </c>
      <c r="D1875" s="3">
        <v>46057</v>
      </c>
      <c r="E1875" s="3">
        <v>46111</v>
      </c>
      <c r="F1875" t="s">
        <v>112</v>
      </c>
      <c r="G1875" t="s">
        <v>1493</v>
      </c>
      <c r="H1875" t="s">
        <v>22</v>
      </c>
      <c r="I1875" t="s">
        <v>75</v>
      </c>
      <c r="J1875" t="s">
        <v>1491</v>
      </c>
      <c r="K1875" t="s">
        <v>24</v>
      </c>
      <c r="L1875" s="4">
        <v>45</v>
      </c>
      <c r="M1875" t="s">
        <v>1349</v>
      </c>
      <c r="N1875" t="s">
        <v>46</v>
      </c>
      <c r="O1875" s="4">
        <v>50</v>
      </c>
      <c r="P1875">
        <v>0</v>
      </c>
      <c r="Q1875" s="4">
        <v>50</v>
      </c>
      <c r="R1875" s="12">
        <f t="shared" si="29"/>
        <v>2250</v>
      </c>
      <c r="T1875" t="s">
        <v>151</v>
      </c>
      <c r="U1875" t="s">
        <v>1350</v>
      </c>
      <c r="V1875" s="4">
        <v>45</v>
      </c>
      <c r="W1875">
        <v>0</v>
      </c>
    </row>
    <row r="1876" spans="1:23" x14ac:dyDescent="0.25">
      <c r="A1876" s="2">
        <v>45965.639236111114</v>
      </c>
      <c r="B1876">
        <v>4235</v>
      </c>
      <c r="C1876" t="s">
        <v>1351</v>
      </c>
      <c r="D1876" s="3">
        <v>45965</v>
      </c>
      <c r="E1876" s="3">
        <v>46142</v>
      </c>
      <c r="F1876" t="s">
        <v>98</v>
      </c>
      <c r="H1876" t="s">
        <v>22</v>
      </c>
      <c r="I1876" t="s">
        <v>29</v>
      </c>
      <c r="J1876" t="s">
        <v>1490</v>
      </c>
      <c r="K1876" t="s">
        <v>24</v>
      </c>
      <c r="L1876" s="4">
        <v>155</v>
      </c>
      <c r="M1876" t="s">
        <v>1352</v>
      </c>
      <c r="N1876" t="s">
        <v>26</v>
      </c>
      <c r="O1876" s="4">
        <v>280</v>
      </c>
      <c r="P1876">
        <v>0</v>
      </c>
      <c r="Q1876" s="4">
        <v>280</v>
      </c>
      <c r="R1876" s="12">
        <f t="shared" si="29"/>
        <v>43400</v>
      </c>
      <c r="T1876" t="s">
        <v>27</v>
      </c>
      <c r="U1876" t="s">
        <v>1353</v>
      </c>
      <c r="V1876" s="4">
        <v>155</v>
      </c>
      <c r="W1876">
        <v>0</v>
      </c>
    </row>
    <row r="1877" spans="1:23" x14ac:dyDescent="0.25">
      <c r="A1877" s="2">
        <v>45965.639236111114</v>
      </c>
      <c r="B1877">
        <v>4235</v>
      </c>
      <c r="C1877" t="s">
        <v>1351</v>
      </c>
      <c r="D1877" s="3">
        <v>45965</v>
      </c>
      <c r="E1877" s="3">
        <v>46142</v>
      </c>
      <c r="F1877" t="s">
        <v>98</v>
      </c>
      <c r="H1877" t="s">
        <v>22</v>
      </c>
      <c r="I1877" t="s">
        <v>32</v>
      </c>
      <c r="J1877" t="s">
        <v>1490</v>
      </c>
      <c r="K1877" t="s">
        <v>24</v>
      </c>
      <c r="L1877" s="4">
        <v>22</v>
      </c>
      <c r="M1877" t="s">
        <v>1352</v>
      </c>
      <c r="N1877" t="s">
        <v>26</v>
      </c>
      <c r="O1877" s="4">
        <v>500</v>
      </c>
      <c r="P1877">
        <v>0</v>
      </c>
      <c r="Q1877" s="4">
        <v>500</v>
      </c>
      <c r="R1877" s="12">
        <f t="shared" si="29"/>
        <v>11000</v>
      </c>
      <c r="T1877" t="s">
        <v>27</v>
      </c>
      <c r="U1877" t="s">
        <v>1353</v>
      </c>
      <c r="V1877" s="4">
        <v>22</v>
      </c>
      <c r="W1877">
        <v>0</v>
      </c>
    </row>
    <row r="1878" spans="1:23" x14ac:dyDescent="0.25">
      <c r="A1878" s="2">
        <v>45965.639236111114</v>
      </c>
      <c r="B1878">
        <v>4235</v>
      </c>
      <c r="C1878" t="s">
        <v>1351</v>
      </c>
      <c r="D1878" s="3">
        <v>45965</v>
      </c>
      <c r="E1878" s="3">
        <v>46142</v>
      </c>
      <c r="F1878" t="s">
        <v>98</v>
      </c>
      <c r="H1878" t="s">
        <v>22</v>
      </c>
      <c r="I1878" t="s">
        <v>35</v>
      </c>
      <c r="J1878" t="s">
        <v>1490</v>
      </c>
      <c r="K1878" t="s">
        <v>24</v>
      </c>
      <c r="L1878" s="4">
        <v>69</v>
      </c>
      <c r="M1878" t="s">
        <v>1352</v>
      </c>
      <c r="N1878" t="s">
        <v>26</v>
      </c>
      <c r="O1878" s="4">
        <v>100</v>
      </c>
      <c r="P1878">
        <v>0</v>
      </c>
      <c r="Q1878" s="4">
        <v>100</v>
      </c>
      <c r="R1878" s="12">
        <f t="shared" si="29"/>
        <v>6900</v>
      </c>
      <c r="T1878" t="s">
        <v>27</v>
      </c>
      <c r="U1878" t="s">
        <v>1353</v>
      </c>
      <c r="V1878" s="4">
        <v>69</v>
      </c>
      <c r="W1878">
        <v>0</v>
      </c>
    </row>
    <row r="1879" spans="1:23" x14ac:dyDescent="0.25">
      <c r="A1879" s="2">
        <v>45987.624837962961</v>
      </c>
      <c r="B1879">
        <v>4303</v>
      </c>
      <c r="C1879" t="s">
        <v>1351</v>
      </c>
      <c r="D1879" s="3">
        <v>45987</v>
      </c>
      <c r="E1879" s="3">
        <v>46142</v>
      </c>
      <c r="F1879" t="s">
        <v>98</v>
      </c>
      <c r="H1879" t="s">
        <v>22</v>
      </c>
      <c r="I1879" t="s">
        <v>35</v>
      </c>
      <c r="J1879" t="s">
        <v>1490</v>
      </c>
      <c r="K1879" t="s">
        <v>24</v>
      </c>
      <c r="L1879" s="4">
        <v>69</v>
      </c>
      <c r="M1879" t="s">
        <v>1354</v>
      </c>
      <c r="N1879" t="s">
        <v>26</v>
      </c>
      <c r="O1879" s="4">
        <v>200</v>
      </c>
      <c r="P1879">
        <v>0</v>
      </c>
      <c r="Q1879" s="4">
        <v>200</v>
      </c>
      <c r="R1879" s="12">
        <f t="shared" si="29"/>
        <v>13800</v>
      </c>
      <c r="T1879" t="s">
        <v>27</v>
      </c>
      <c r="U1879" t="s">
        <v>1353</v>
      </c>
      <c r="V1879" s="4">
        <v>69</v>
      </c>
      <c r="W1879">
        <v>0</v>
      </c>
    </row>
    <row r="1880" spans="1:23" x14ac:dyDescent="0.25">
      <c r="A1880" s="2">
        <v>46006.408993055556</v>
      </c>
      <c r="B1880">
        <v>4352</v>
      </c>
      <c r="C1880" t="s">
        <v>1351</v>
      </c>
      <c r="D1880" s="3">
        <v>46004</v>
      </c>
      <c r="E1880" s="3">
        <v>46142</v>
      </c>
      <c r="F1880" t="s">
        <v>98</v>
      </c>
      <c r="H1880" t="s">
        <v>22</v>
      </c>
      <c r="I1880" t="s">
        <v>131</v>
      </c>
      <c r="J1880" t="s">
        <v>1490</v>
      </c>
      <c r="K1880" t="s">
        <v>24</v>
      </c>
      <c r="L1880" s="4">
        <v>192</v>
      </c>
      <c r="M1880" t="s">
        <v>1355</v>
      </c>
      <c r="N1880" t="s">
        <v>26</v>
      </c>
      <c r="O1880" s="4">
        <v>5</v>
      </c>
      <c r="P1880">
        <v>0</v>
      </c>
      <c r="Q1880" s="4">
        <v>5</v>
      </c>
      <c r="R1880" s="12">
        <f t="shared" si="29"/>
        <v>960</v>
      </c>
      <c r="T1880" t="s">
        <v>27</v>
      </c>
      <c r="U1880" t="s">
        <v>1353</v>
      </c>
      <c r="V1880" s="4">
        <v>192</v>
      </c>
      <c r="W1880">
        <v>0</v>
      </c>
    </row>
    <row r="1881" spans="1:23" x14ac:dyDescent="0.25">
      <c r="A1881" s="2">
        <v>46006.408993055556</v>
      </c>
      <c r="B1881">
        <v>4352</v>
      </c>
      <c r="C1881" t="s">
        <v>1351</v>
      </c>
      <c r="D1881" s="3">
        <v>46004</v>
      </c>
      <c r="E1881" s="3">
        <v>46142</v>
      </c>
      <c r="F1881" t="s">
        <v>98</v>
      </c>
      <c r="H1881" t="s">
        <v>22</v>
      </c>
      <c r="I1881" t="s">
        <v>35</v>
      </c>
      <c r="J1881" t="s">
        <v>1490</v>
      </c>
      <c r="K1881" t="s">
        <v>24</v>
      </c>
      <c r="L1881" s="4">
        <v>69</v>
      </c>
      <c r="M1881" t="s">
        <v>1355</v>
      </c>
      <c r="N1881" t="s">
        <v>26</v>
      </c>
      <c r="O1881" s="4">
        <v>100</v>
      </c>
      <c r="P1881">
        <v>0</v>
      </c>
      <c r="Q1881" s="4">
        <v>100</v>
      </c>
      <c r="R1881" s="12">
        <f t="shared" si="29"/>
        <v>6900</v>
      </c>
      <c r="T1881" t="s">
        <v>27</v>
      </c>
      <c r="U1881" t="s">
        <v>1353</v>
      </c>
      <c r="V1881" s="4">
        <v>69</v>
      </c>
      <c r="W1881">
        <v>0</v>
      </c>
    </row>
    <row r="1882" spans="1:23" hidden="1" x14ac:dyDescent="0.25">
      <c r="A1882" s="2">
        <v>46020.362754629627</v>
      </c>
      <c r="B1882">
        <v>4382</v>
      </c>
      <c r="C1882" t="s">
        <v>1351</v>
      </c>
      <c r="D1882" s="3">
        <v>46015</v>
      </c>
      <c r="E1882" s="3">
        <v>46264</v>
      </c>
      <c r="F1882" t="s">
        <v>98</v>
      </c>
      <c r="H1882" t="s">
        <v>22</v>
      </c>
      <c r="I1882" t="s">
        <v>1133</v>
      </c>
      <c r="K1882" t="s">
        <v>546</v>
      </c>
      <c r="L1882" s="4">
        <v>620</v>
      </c>
      <c r="M1882" t="s">
        <v>1356</v>
      </c>
      <c r="N1882" t="s">
        <v>46</v>
      </c>
      <c r="O1882" s="4">
        <v>300</v>
      </c>
      <c r="P1882">
        <v>0</v>
      </c>
      <c r="Q1882" s="4">
        <v>300</v>
      </c>
      <c r="R1882" s="12">
        <f t="shared" si="29"/>
        <v>186000</v>
      </c>
      <c r="T1882" t="s">
        <v>27</v>
      </c>
      <c r="U1882" t="s">
        <v>1353</v>
      </c>
      <c r="V1882" s="4">
        <v>620</v>
      </c>
      <c r="W1882">
        <v>0</v>
      </c>
    </row>
    <row r="1883" spans="1:23" hidden="1" x14ac:dyDescent="0.25">
      <c r="A1883" s="2">
        <v>46020.362754629627</v>
      </c>
      <c r="B1883">
        <v>4382</v>
      </c>
      <c r="C1883" t="s">
        <v>1351</v>
      </c>
      <c r="D1883" s="3">
        <v>46015</v>
      </c>
      <c r="E1883" s="3">
        <v>46264</v>
      </c>
      <c r="F1883" t="s">
        <v>98</v>
      </c>
      <c r="H1883" t="s">
        <v>22</v>
      </c>
      <c r="I1883" t="s">
        <v>1098</v>
      </c>
      <c r="K1883" t="s">
        <v>546</v>
      </c>
      <c r="L1883" s="4">
        <v>620</v>
      </c>
      <c r="M1883" t="s">
        <v>1356</v>
      </c>
      <c r="N1883" t="s">
        <v>46</v>
      </c>
      <c r="O1883" s="4">
        <v>10</v>
      </c>
      <c r="P1883">
        <v>0</v>
      </c>
      <c r="Q1883" s="4">
        <v>10</v>
      </c>
      <c r="R1883" s="12">
        <f t="shared" si="29"/>
        <v>6200</v>
      </c>
      <c r="T1883" t="s">
        <v>27</v>
      </c>
      <c r="U1883" t="s">
        <v>1353</v>
      </c>
      <c r="V1883" s="4">
        <v>620</v>
      </c>
      <c r="W1883">
        <v>0</v>
      </c>
    </row>
    <row r="1884" spans="1:23" x14ac:dyDescent="0.25">
      <c r="A1884" s="2">
        <v>46037.443171296298</v>
      </c>
      <c r="B1884">
        <v>4451</v>
      </c>
      <c r="C1884" t="s">
        <v>1351</v>
      </c>
      <c r="D1884" s="3">
        <v>46037</v>
      </c>
      <c r="E1884" s="3">
        <v>46142</v>
      </c>
      <c r="F1884" t="s">
        <v>98</v>
      </c>
      <c r="H1884" t="s">
        <v>22</v>
      </c>
      <c r="I1884" t="s">
        <v>35</v>
      </c>
      <c r="J1884" t="s">
        <v>1490</v>
      </c>
      <c r="K1884" t="s">
        <v>24</v>
      </c>
      <c r="L1884" s="4">
        <v>69</v>
      </c>
      <c r="M1884" t="s">
        <v>1357</v>
      </c>
      <c r="N1884" t="s">
        <v>26</v>
      </c>
      <c r="O1884" s="4">
        <v>100</v>
      </c>
      <c r="P1884">
        <v>0</v>
      </c>
      <c r="Q1884" s="4">
        <v>100</v>
      </c>
      <c r="R1884" s="12">
        <f t="shared" si="29"/>
        <v>6900</v>
      </c>
      <c r="T1884" t="s">
        <v>27</v>
      </c>
      <c r="U1884" t="s">
        <v>1353</v>
      </c>
      <c r="V1884" s="4">
        <v>69</v>
      </c>
      <c r="W1884">
        <v>0</v>
      </c>
    </row>
    <row r="1885" spans="1:23" x14ac:dyDescent="0.25">
      <c r="A1885" s="2">
        <v>46037.443171296298</v>
      </c>
      <c r="B1885">
        <v>4451</v>
      </c>
      <c r="C1885" t="s">
        <v>1351</v>
      </c>
      <c r="D1885" s="3">
        <v>46037</v>
      </c>
      <c r="E1885" s="3">
        <v>46142</v>
      </c>
      <c r="F1885" t="s">
        <v>98</v>
      </c>
      <c r="H1885" t="s">
        <v>22</v>
      </c>
      <c r="I1885" t="s">
        <v>335</v>
      </c>
      <c r="K1885" t="s">
        <v>24</v>
      </c>
      <c r="L1885" s="4">
        <v>11.5</v>
      </c>
      <c r="M1885" t="s">
        <v>1357</v>
      </c>
      <c r="N1885" t="s">
        <v>26</v>
      </c>
      <c r="O1885" s="4">
        <v>600</v>
      </c>
      <c r="P1885">
        <v>0</v>
      </c>
      <c r="Q1885" s="4">
        <v>600</v>
      </c>
      <c r="R1885" s="12">
        <f t="shared" si="29"/>
        <v>6900</v>
      </c>
      <c r="T1885" t="s">
        <v>27</v>
      </c>
      <c r="U1885" t="s">
        <v>1353</v>
      </c>
      <c r="V1885" s="4">
        <v>11.5</v>
      </c>
      <c r="W1885">
        <v>0</v>
      </c>
    </row>
    <row r="1886" spans="1:23" hidden="1" x14ac:dyDescent="0.25">
      <c r="A1886" s="2">
        <v>46050.460555555554</v>
      </c>
      <c r="B1886">
        <v>4503</v>
      </c>
      <c r="C1886" t="s">
        <v>1351</v>
      </c>
      <c r="D1886" s="3">
        <v>46050</v>
      </c>
      <c r="E1886" s="3">
        <v>46142</v>
      </c>
      <c r="F1886" t="s">
        <v>98</v>
      </c>
      <c r="H1886" t="s">
        <v>22</v>
      </c>
      <c r="I1886" t="s">
        <v>335</v>
      </c>
      <c r="K1886" t="s">
        <v>24</v>
      </c>
      <c r="L1886" s="4">
        <v>12</v>
      </c>
      <c r="M1886" t="s">
        <v>1358</v>
      </c>
      <c r="N1886" t="s">
        <v>46</v>
      </c>
      <c r="O1886" s="4">
        <v>700</v>
      </c>
      <c r="P1886">
        <v>0</v>
      </c>
      <c r="Q1886" s="4">
        <v>700</v>
      </c>
      <c r="R1886" s="12">
        <f t="shared" si="29"/>
        <v>8400</v>
      </c>
      <c r="T1886" t="s">
        <v>27</v>
      </c>
      <c r="U1886" t="s">
        <v>1353</v>
      </c>
      <c r="V1886" s="4">
        <v>12</v>
      </c>
      <c r="W1886">
        <v>0</v>
      </c>
    </row>
    <row r="1887" spans="1:23" hidden="1" x14ac:dyDescent="0.25">
      <c r="A1887" s="2">
        <v>46052.434664351851</v>
      </c>
      <c r="B1887">
        <v>4510</v>
      </c>
      <c r="C1887" t="s">
        <v>1351</v>
      </c>
      <c r="D1887" s="3">
        <v>46052</v>
      </c>
      <c r="E1887" s="3">
        <v>46264</v>
      </c>
      <c r="F1887" t="s">
        <v>98</v>
      </c>
      <c r="G1887" t="s">
        <v>1493</v>
      </c>
      <c r="H1887" t="s">
        <v>22</v>
      </c>
      <c r="I1887" t="s">
        <v>40</v>
      </c>
      <c r="J1887" t="s">
        <v>1491</v>
      </c>
      <c r="K1887" t="s">
        <v>24</v>
      </c>
      <c r="L1887" s="4">
        <v>340.97222199999999</v>
      </c>
      <c r="M1887" t="s">
        <v>1359</v>
      </c>
      <c r="N1887" t="s">
        <v>46</v>
      </c>
      <c r="O1887" s="4">
        <v>36</v>
      </c>
      <c r="P1887">
        <v>0</v>
      </c>
      <c r="Q1887" s="4">
        <v>36</v>
      </c>
      <c r="R1887" s="12">
        <f t="shared" si="29"/>
        <v>12274.999991999999</v>
      </c>
      <c r="T1887" t="s">
        <v>27</v>
      </c>
      <c r="U1887" t="s">
        <v>1353</v>
      </c>
      <c r="V1887" s="4">
        <v>340.97222199999999</v>
      </c>
      <c r="W1887">
        <v>0</v>
      </c>
    </row>
    <row r="1888" spans="1:23" hidden="1" x14ac:dyDescent="0.25">
      <c r="A1888" s="2">
        <v>46052.434664351851</v>
      </c>
      <c r="B1888">
        <v>4510</v>
      </c>
      <c r="C1888" t="s">
        <v>1351</v>
      </c>
      <c r="D1888" s="3">
        <v>46052</v>
      </c>
      <c r="E1888" s="3">
        <v>46264</v>
      </c>
      <c r="F1888" t="s">
        <v>98</v>
      </c>
      <c r="G1888" t="s">
        <v>1493</v>
      </c>
      <c r="H1888" t="s">
        <v>22</v>
      </c>
      <c r="I1888" t="s">
        <v>38</v>
      </c>
      <c r="J1888" t="s">
        <v>1491</v>
      </c>
      <c r="K1888" t="s">
        <v>24</v>
      </c>
      <c r="L1888" s="4">
        <v>42</v>
      </c>
      <c r="M1888" t="s">
        <v>1359</v>
      </c>
      <c r="N1888" t="s">
        <v>46</v>
      </c>
      <c r="O1888" s="4">
        <v>120</v>
      </c>
      <c r="P1888">
        <v>0</v>
      </c>
      <c r="Q1888" s="4">
        <v>120</v>
      </c>
      <c r="R1888" s="12">
        <f t="shared" si="29"/>
        <v>5040</v>
      </c>
      <c r="T1888" t="s">
        <v>27</v>
      </c>
      <c r="U1888" t="s">
        <v>1353</v>
      </c>
      <c r="V1888" s="4">
        <v>42</v>
      </c>
      <c r="W1888">
        <v>0</v>
      </c>
    </row>
    <row r="1889" spans="1:23" hidden="1" x14ac:dyDescent="0.25">
      <c r="A1889" s="2">
        <v>46052.434664351851</v>
      </c>
      <c r="B1889">
        <v>4510</v>
      </c>
      <c r="C1889" t="s">
        <v>1351</v>
      </c>
      <c r="D1889" s="3">
        <v>46052</v>
      </c>
      <c r="E1889" s="3">
        <v>46264</v>
      </c>
      <c r="F1889" t="s">
        <v>98</v>
      </c>
      <c r="G1889" t="s">
        <v>1493</v>
      </c>
      <c r="H1889" t="s">
        <v>22</v>
      </c>
      <c r="I1889" t="s">
        <v>41</v>
      </c>
      <c r="J1889" t="s">
        <v>1491</v>
      </c>
      <c r="K1889" t="s">
        <v>24</v>
      </c>
      <c r="L1889" s="4">
        <v>340.97222199999999</v>
      </c>
      <c r="M1889" t="s">
        <v>1359</v>
      </c>
      <c r="N1889" t="s">
        <v>46</v>
      </c>
      <c r="O1889" s="4">
        <v>36</v>
      </c>
      <c r="P1889">
        <v>0</v>
      </c>
      <c r="Q1889" s="4">
        <v>36</v>
      </c>
      <c r="R1889" s="12">
        <f t="shared" si="29"/>
        <v>12274.999991999999</v>
      </c>
      <c r="T1889" t="s">
        <v>27</v>
      </c>
      <c r="U1889" t="s">
        <v>1353</v>
      </c>
      <c r="V1889" s="4">
        <v>340.97222199999999</v>
      </c>
      <c r="W1889">
        <v>0</v>
      </c>
    </row>
    <row r="1890" spans="1:23" hidden="1" x14ac:dyDescent="0.25">
      <c r="A1890" s="2">
        <v>46052.434664351851</v>
      </c>
      <c r="B1890">
        <v>4510</v>
      </c>
      <c r="C1890" t="s">
        <v>1351</v>
      </c>
      <c r="D1890" s="3">
        <v>46052</v>
      </c>
      <c r="E1890" s="3">
        <v>46264</v>
      </c>
      <c r="F1890" t="s">
        <v>98</v>
      </c>
      <c r="H1890" t="s">
        <v>22</v>
      </c>
      <c r="I1890" t="s">
        <v>35</v>
      </c>
      <c r="J1890" t="s">
        <v>1490</v>
      </c>
      <c r="K1890" t="s">
        <v>24</v>
      </c>
      <c r="L1890" s="4">
        <v>69</v>
      </c>
      <c r="M1890" t="s">
        <v>1359</v>
      </c>
      <c r="N1890" t="s">
        <v>46</v>
      </c>
      <c r="O1890" s="4">
        <v>100</v>
      </c>
      <c r="P1890">
        <v>0</v>
      </c>
      <c r="Q1890" s="4">
        <v>100</v>
      </c>
      <c r="R1890" s="12">
        <f t="shared" si="29"/>
        <v>6900</v>
      </c>
      <c r="T1890" t="s">
        <v>27</v>
      </c>
      <c r="U1890" t="s">
        <v>1353</v>
      </c>
      <c r="V1890" s="4">
        <v>69</v>
      </c>
      <c r="W1890">
        <v>0</v>
      </c>
    </row>
    <row r="1891" spans="1:23" hidden="1" x14ac:dyDescent="0.25">
      <c r="A1891" s="2">
        <v>46052.434664351851</v>
      </c>
      <c r="B1891">
        <v>4510</v>
      </c>
      <c r="C1891" t="s">
        <v>1351</v>
      </c>
      <c r="D1891" s="3">
        <v>46052</v>
      </c>
      <c r="E1891" s="3">
        <v>46264</v>
      </c>
      <c r="F1891" t="s">
        <v>98</v>
      </c>
      <c r="H1891" t="s">
        <v>22</v>
      </c>
      <c r="I1891" t="s">
        <v>42</v>
      </c>
      <c r="J1891" t="s">
        <v>1490</v>
      </c>
      <c r="K1891" t="s">
        <v>24</v>
      </c>
      <c r="L1891" s="4">
        <v>210</v>
      </c>
      <c r="M1891" t="s">
        <v>1359</v>
      </c>
      <c r="N1891" t="s">
        <v>46</v>
      </c>
      <c r="O1891" s="4">
        <v>60</v>
      </c>
      <c r="P1891">
        <v>0</v>
      </c>
      <c r="Q1891" s="4">
        <v>60</v>
      </c>
      <c r="R1891" s="12">
        <f t="shared" si="29"/>
        <v>12600</v>
      </c>
      <c r="T1891" t="s">
        <v>27</v>
      </c>
      <c r="U1891" t="s">
        <v>1353</v>
      </c>
      <c r="V1891" s="4">
        <v>210</v>
      </c>
      <c r="W1891">
        <v>0</v>
      </c>
    </row>
    <row r="1892" spans="1:23" hidden="1" x14ac:dyDescent="0.25">
      <c r="A1892" s="2">
        <v>46069.328587962962</v>
      </c>
      <c r="B1892">
        <v>4567</v>
      </c>
      <c r="C1892" t="s">
        <v>1351</v>
      </c>
      <c r="D1892" s="3">
        <v>46069</v>
      </c>
      <c r="E1892" s="3">
        <v>46264</v>
      </c>
      <c r="F1892" t="s">
        <v>98</v>
      </c>
      <c r="H1892" t="s">
        <v>22</v>
      </c>
      <c r="I1892" t="s">
        <v>335</v>
      </c>
      <c r="K1892" t="s">
        <v>24</v>
      </c>
      <c r="L1892" s="4">
        <v>12</v>
      </c>
      <c r="M1892" t="s">
        <v>1360</v>
      </c>
      <c r="N1892" t="s">
        <v>46</v>
      </c>
      <c r="O1892" s="4">
        <v>425</v>
      </c>
      <c r="P1892">
        <v>0</v>
      </c>
      <c r="Q1892" s="4">
        <v>425</v>
      </c>
      <c r="R1892" s="12">
        <f t="shared" si="29"/>
        <v>5100</v>
      </c>
      <c r="T1892" t="s">
        <v>27</v>
      </c>
      <c r="U1892" t="s">
        <v>1353</v>
      </c>
      <c r="V1892" s="4">
        <v>12</v>
      </c>
      <c r="W1892">
        <v>0</v>
      </c>
    </row>
    <row r="1893" spans="1:23" hidden="1" x14ac:dyDescent="0.25">
      <c r="A1893" s="2">
        <v>46073.480613425927</v>
      </c>
      <c r="B1893">
        <v>4590</v>
      </c>
      <c r="C1893" t="s">
        <v>1351</v>
      </c>
      <c r="D1893" s="3">
        <v>46073</v>
      </c>
      <c r="E1893" s="3">
        <v>46264</v>
      </c>
      <c r="F1893" t="s">
        <v>98</v>
      </c>
      <c r="G1893" t="s">
        <v>1493</v>
      </c>
      <c r="H1893" t="s">
        <v>22</v>
      </c>
      <c r="I1893" t="s">
        <v>38</v>
      </c>
      <c r="J1893" t="s">
        <v>1491</v>
      </c>
      <c r="K1893" t="s">
        <v>24</v>
      </c>
      <c r="L1893" s="4">
        <v>42</v>
      </c>
      <c r="M1893" t="s">
        <v>1361</v>
      </c>
      <c r="N1893" t="s">
        <v>46</v>
      </c>
      <c r="O1893" s="4">
        <v>42</v>
      </c>
      <c r="P1893" s="4">
        <v>18</v>
      </c>
      <c r="Q1893" s="4">
        <v>24</v>
      </c>
      <c r="R1893" s="12">
        <f t="shared" si="29"/>
        <v>1008</v>
      </c>
      <c r="T1893" t="s">
        <v>27</v>
      </c>
      <c r="U1893" t="s">
        <v>1353</v>
      </c>
      <c r="V1893" s="4">
        <v>42</v>
      </c>
      <c r="W1893">
        <v>0</v>
      </c>
    </row>
    <row r="1894" spans="1:23" hidden="1" x14ac:dyDescent="0.25">
      <c r="A1894" s="2">
        <v>46073.480613425927</v>
      </c>
      <c r="B1894">
        <v>4590</v>
      </c>
      <c r="C1894" t="s">
        <v>1351</v>
      </c>
      <c r="D1894" s="3">
        <v>46073</v>
      </c>
      <c r="E1894" s="3">
        <v>46264</v>
      </c>
      <c r="F1894" t="s">
        <v>98</v>
      </c>
      <c r="G1894" t="s">
        <v>1493</v>
      </c>
      <c r="H1894" t="s">
        <v>22</v>
      </c>
      <c r="I1894" t="s">
        <v>40</v>
      </c>
      <c r="J1894" t="s">
        <v>1491</v>
      </c>
      <c r="K1894" t="s">
        <v>24</v>
      </c>
      <c r="L1894" s="4">
        <v>341</v>
      </c>
      <c r="M1894" t="s">
        <v>1361</v>
      </c>
      <c r="N1894" t="s">
        <v>46</v>
      </c>
      <c r="O1894" s="4">
        <v>15</v>
      </c>
      <c r="P1894">
        <v>0</v>
      </c>
      <c r="Q1894" s="4">
        <v>15</v>
      </c>
      <c r="R1894" s="12">
        <f t="shared" si="29"/>
        <v>5115</v>
      </c>
      <c r="T1894" t="s">
        <v>27</v>
      </c>
      <c r="U1894" t="s">
        <v>1353</v>
      </c>
      <c r="V1894" s="4">
        <v>341</v>
      </c>
      <c r="W1894">
        <v>0</v>
      </c>
    </row>
    <row r="1895" spans="1:23" hidden="1" x14ac:dyDescent="0.25">
      <c r="A1895" s="2">
        <v>46073.480613425927</v>
      </c>
      <c r="B1895">
        <v>4590</v>
      </c>
      <c r="C1895" t="s">
        <v>1351</v>
      </c>
      <c r="D1895" s="3">
        <v>46073</v>
      </c>
      <c r="E1895" s="3">
        <v>46264</v>
      </c>
      <c r="F1895" t="s">
        <v>98</v>
      </c>
      <c r="H1895" t="s">
        <v>22</v>
      </c>
      <c r="I1895" t="s">
        <v>42</v>
      </c>
      <c r="J1895" t="s">
        <v>1490</v>
      </c>
      <c r="K1895" t="s">
        <v>24</v>
      </c>
      <c r="L1895" s="4">
        <v>210</v>
      </c>
      <c r="M1895" t="s">
        <v>1361</v>
      </c>
      <c r="N1895" t="s">
        <v>46</v>
      </c>
      <c r="O1895" s="4">
        <v>20</v>
      </c>
      <c r="P1895">
        <v>0</v>
      </c>
      <c r="Q1895" s="4">
        <v>20</v>
      </c>
      <c r="R1895" s="12">
        <f t="shared" si="29"/>
        <v>4200</v>
      </c>
      <c r="T1895" t="s">
        <v>27</v>
      </c>
      <c r="U1895" t="s">
        <v>1353</v>
      </c>
      <c r="V1895" s="4">
        <v>210</v>
      </c>
      <c r="W1895">
        <v>0</v>
      </c>
    </row>
    <row r="1896" spans="1:23" hidden="1" x14ac:dyDescent="0.25">
      <c r="A1896" s="2">
        <v>46073.480613425927</v>
      </c>
      <c r="B1896">
        <v>4590</v>
      </c>
      <c r="C1896" t="s">
        <v>1351</v>
      </c>
      <c r="D1896" s="3">
        <v>46073</v>
      </c>
      <c r="E1896" s="3">
        <v>46264</v>
      </c>
      <c r="F1896" t="s">
        <v>98</v>
      </c>
      <c r="G1896" t="s">
        <v>1493</v>
      </c>
      <c r="H1896" t="s">
        <v>22</v>
      </c>
      <c r="I1896" t="s">
        <v>41</v>
      </c>
      <c r="J1896" t="s">
        <v>1491</v>
      </c>
      <c r="K1896" t="s">
        <v>24</v>
      </c>
      <c r="L1896" s="4">
        <v>341</v>
      </c>
      <c r="M1896" t="s">
        <v>1361</v>
      </c>
      <c r="N1896" t="s">
        <v>46</v>
      </c>
      <c r="O1896" s="4">
        <v>15</v>
      </c>
      <c r="P1896">
        <v>0</v>
      </c>
      <c r="Q1896" s="4">
        <v>15</v>
      </c>
      <c r="R1896" s="12">
        <f t="shared" si="29"/>
        <v>5115</v>
      </c>
      <c r="T1896" t="s">
        <v>27</v>
      </c>
      <c r="U1896" t="s">
        <v>1353</v>
      </c>
      <c r="V1896" s="4">
        <v>341</v>
      </c>
      <c r="W1896">
        <v>0</v>
      </c>
    </row>
    <row r="1897" spans="1:23" hidden="1" x14ac:dyDescent="0.25">
      <c r="A1897" s="2">
        <v>46078.46702546296</v>
      </c>
      <c r="B1897">
        <v>4610</v>
      </c>
      <c r="C1897" t="s">
        <v>1351</v>
      </c>
      <c r="D1897" s="3">
        <v>46078</v>
      </c>
      <c r="E1897" s="3">
        <v>46079</v>
      </c>
      <c r="F1897" t="s">
        <v>98</v>
      </c>
      <c r="H1897" t="s">
        <v>22</v>
      </c>
      <c r="I1897" t="s">
        <v>335</v>
      </c>
      <c r="K1897" t="s">
        <v>24</v>
      </c>
      <c r="L1897" s="4">
        <v>12</v>
      </c>
      <c r="M1897" t="s">
        <v>1362</v>
      </c>
      <c r="N1897" t="s">
        <v>46</v>
      </c>
      <c r="O1897" s="4">
        <v>500</v>
      </c>
      <c r="P1897">
        <v>0</v>
      </c>
      <c r="Q1897" s="4">
        <v>500</v>
      </c>
      <c r="R1897" s="12">
        <f t="shared" si="29"/>
        <v>6000</v>
      </c>
      <c r="T1897" t="s">
        <v>27</v>
      </c>
      <c r="U1897" t="s">
        <v>1353</v>
      </c>
      <c r="V1897" s="4">
        <v>12</v>
      </c>
      <c r="W1897">
        <v>0</v>
      </c>
    </row>
    <row r="1898" spans="1:23" hidden="1" x14ac:dyDescent="0.25">
      <c r="A1898" s="2">
        <v>46078.46702546296</v>
      </c>
      <c r="B1898">
        <v>4610</v>
      </c>
      <c r="C1898" t="s">
        <v>1351</v>
      </c>
      <c r="D1898" s="3">
        <v>46078</v>
      </c>
      <c r="E1898" s="3">
        <v>46079</v>
      </c>
      <c r="F1898" t="s">
        <v>98</v>
      </c>
      <c r="H1898" t="s">
        <v>22</v>
      </c>
      <c r="I1898" t="s">
        <v>35</v>
      </c>
      <c r="J1898" t="s">
        <v>1490</v>
      </c>
      <c r="K1898" t="s">
        <v>24</v>
      </c>
      <c r="L1898" s="4">
        <v>69</v>
      </c>
      <c r="M1898" t="s">
        <v>1362</v>
      </c>
      <c r="N1898" t="s">
        <v>46</v>
      </c>
      <c r="O1898" s="4">
        <v>100</v>
      </c>
      <c r="P1898">
        <v>0</v>
      </c>
      <c r="Q1898" s="4">
        <v>100</v>
      </c>
      <c r="R1898" s="12">
        <f t="shared" si="29"/>
        <v>6900</v>
      </c>
      <c r="T1898" t="s">
        <v>27</v>
      </c>
      <c r="U1898" t="s">
        <v>1353</v>
      </c>
      <c r="V1898" s="4">
        <v>69</v>
      </c>
      <c r="W1898">
        <v>0</v>
      </c>
    </row>
    <row r="1899" spans="1:23" hidden="1" x14ac:dyDescent="0.25">
      <c r="A1899" s="2">
        <v>46088.375613425924</v>
      </c>
      <c r="B1899">
        <v>4644</v>
      </c>
      <c r="C1899" t="s">
        <v>1351</v>
      </c>
      <c r="D1899" s="3">
        <v>46088</v>
      </c>
      <c r="E1899" s="3">
        <v>46089</v>
      </c>
      <c r="F1899" t="s">
        <v>98</v>
      </c>
      <c r="H1899" t="s">
        <v>22</v>
      </c>
      <c r="I1899" t="s">
        <v>335</v>
      </c>
      <c r="K1899" t="s">
        <v>24</v>
      </c>
      <c r="L1899" s="4">
        <v>12</v>
      </c>
      <c r="M1899" t="s">
        <v>1363</v>
      </c>
      <c r="N1899" t="s">
        <v>46</v>
      </c>
      <c r="O1899" s="4">
        <v>500</v>
      </c>
      <c r="P1899">
        <v>0</v>
      </c>
      <c r="Q1899" s="4">
        <v>500</v>
      </c>
      <c r="R1899" s="12">
        <f t="shared" si="29"/>
        <v>6000</v>
      </c>
      <c r="T1899" t="s">
        <v>27</v>
      </c>
      <c r="U1899" t="s">
        <v>1353</v>
      </c>
      <c r="V1899" s="4">
        <v>12</v>
      </c>
      <c r="W1899">
        <v>0</v>
      </c>
    </row>
    <row r="1900" spans="1:23" hidden="1" x14ac:dyDescent="0.25">
      <c r="A1900" s="2">
        <v>46088.375613425924</v>
      </c>
      <c r="B1900">
        <v>4644</v>
      </c>
      <c r="C1900" t="s">
        <v>1351</v>
      </c>
      <c r="D1900" s="3">
        <v>46088</v>
      </c>
      <c r="E1900" s="3">
        <v>46089</v>
      </c>
      <c r="F1900" t="s">
        <v>98</v>
      </c>
      <c r="H1900" t="s">
        <v>22</v>
      </c>
      <c r="I1900" t="s">
        <v>35</v>
      </c>
      <c r="J1900" t="s">
        <v>1490</v>
      </c>
      <c r="K1900" t="s">
        <v>24</v>
      </c>
      <c r="L1900" s="4">
        <v>69</v>
      </c>
      <c r="M1900" t="s">
        <v>1363</v>
      </c>
      <c r="N1900" t="s">
        <v>46</v>
      </c>
      <c r="O1900" s="4">
        <v>60</v>
      </c>
      <c r="P1900">
        <v>0</v>
      </c>
      <c r="Q1900" s="4">
        <v>60</v>
      </c>
      <c r="R1900" s="12">
        <f t="shared" si="29"/>
        <v>4140</v>
      </c>
      <c r="T1900" t="s">
        <v>27</v>
      </c>
      <c r="U1900" t="s">
        <v>1353</v>
      </c>
      <c r="V1900" s="4">
        <v>69</v>
      </c>
      <c r="W1900">
        <v>0</v>
      </c>
    </row>
    <row r="1901" spans="1:23" hidden="1" x14ac:dyDescent="0.25">
      <c r="A1901" s="2">
        <v>45887.587152777778</v>
      </c>
      <c r="B1901">
        <v>3982</v>
      </c>
      <c r="C1901" t="s">
        <v>1364</v>
      </c>
      <c r="D1901" s="3">
        <v>45885</v>
      </c>
      <c r="E1901" s="3">
        <v>46142</v>
      </c>
      <c r="F1901" t="s">
        <v>143</v>
      </c>
      <c r="G1901" t="s">
        <v>1493</v>
      </c>
      <c r="H1901" t="s">
        <v>22</v>
      </c>
      <c r="I1901" t="s">
        <v>40</v>
      </c>
      <c r="J1901" t="s">
        <v>1491</v>
      </c>
      <c r="K1901" t="s">
        <v>24</v>
      </c>
      <c r="L1901" s="4">
        <v>330</v>
      </c>
      <c r="M1901" t="s">
        <v>1365</v>
      </c>
      <c r="N1901" t="s">
        <v>26</v>
      </c>
      <c r="O1901" s="4">
        <v>27</v>
      </c>
      <c r="P1901">
        <v>0</v>
      </c>
      <c r="Q1901" s="4">
        <v>27</v>
      </c>
      <c r="R1901" s="12">
        <f t="shared" si="29"/>
        <v>8910</v>
      </c>
      <c r="T1901" t="s">
        <v>145</v>
      </c>
      <c r="U1901" t="s">
        <v>1366</v>
      </c>
      <c r="V1901" s="4">
        <v>330</v>
      </c>
      <c r="W1901">
        <v>0</v>
      </c>
    </row>
    <row r="1902" spans="1:23" hidden="1" x14ac:dyDescent="0.25">
      <c r="A1902" s="2">
        <v>45887.587152777778</v>
      </c>
      <c r="B1902">
        <v>3982</v>
      </c>
      <c r="C1902" t="s">
        <v>1364</v>
      </c>
      <c r="D1902" s="3">
        <v>45885</v>
      </c>
      <c r="E1902" s="3">
        <v>46142</v>
      </c>
      <c r="F1902" t="s">
        <v>143</v>
      </c>
      <c r="G1902" t="s">
        <v>1493</v>
      </c>
      <c r="H1902" t="s">
        <v>22</v>
      </c>
      <c r="I1902" t="s">
        <v>43</v>
      </c>
      <c r="J1902" t="s">
        <v>1491</v>
      </c>
      <c r="K1902" t="s">
        <v>24</v>
      </c>
      <c r="L1902" s="4">
        <v>46</v>
      </c>
      <c r="M1902" t="s">
        <v>1365</v>
      </c>
      <c r="N1902" t="s">
        <v>26</v>
      </c>
      <c r="O1902" s="4">
        <v>42</v>
      </c>
      <c r="P1902">
        <v>0</v>
      </c>
      <c r="Q1902" s="4">
        <v>42</v>
      </c>
      <c r="R1902" s="12">
        <f t="shared" si="29"/>
        <v>1932</v>
      </c>
      <c r="T1902" t="s">
        <v>145</v>
      </c>
      <c r="U1902" t="s">
        <v>1366</v>
      </c>
      <c r="V1902" s="4">
        <v>46</v>
      </c>
      <c r="W1902">
        <v>0</v>
      </c>
    </row>
    <row r="1903" spans="1:23" hidden="1" x14ac:dyDescent="0.25">
      <c r="A1903" s="2">
        <v>45887.587152777778</v>
      </c>
      <c r="B1903">
        <v>3982</v>
      </c>
      <c r="C1903" t="s">
        <v>1364</v>
      </c>
      <c r="D1903" s="3">
        <v>45885</v>
      </c>
      <c r="E1903" s="3">
        <v>46142</v>
      </c>
      <c r="F1903" t="s">
        <v>143</v>
      </c>
      <c r="G1903" t="s">
        <v>1493</v>
      </c>
      <c r="H1903" t="s">
        <v>22</v>
      </c>
      <c r="I1903" t="s">
        <v>41</v>
      </c>
      <c r="J1903" t="s">
        <v>1491</v>
      </c>
      <c r="K1903" t="s">
        <v>24</v>
      </c>
      <c r="L1903" s="4">
        <v>340</v>
      </c>
      <c r="M1903" t="s">
        <v>1365</v>
      </c>
      <c r="N1903" t="s">
        <v>26</v>
      </c>
      <c r="O1903" s="4">
        <v>27</v>
      </c>
      <c r="P1903">
        <v>0</v>
      </c>
      <c r="Q1903" s="4">
        <v>27</v>
      </c>
      <c r="R1903" s="12">
        <f t="shared" si="29"/>
        <v>9180</v>
      </c>
      <c r="T1903" t="s">
        <v>145</v>
      </c>
      <c r="U1903" t="s">
        <v>1366</v>
      </c>
      <c r="V1903" s="4">
        <v>340</v>
      </c>
      <c r="W1903">
        <v>0</v>
      </c>
    </row>
    <row r="1904" spans="1:23" hidden="1" x14ac:dyDescent="0.25">
      <c r="A1904" s="2">
        <v>45887.587152777778</v>
      </c>
      <c r="B1904">
        <v>3982</v>
      </c>
      <c r="C1904" t="s">
        <v>1364</v>
      </c>
      <c r="D1904" s="3">
        <v>45885</v>
      </c>
      <c r="E1904" s="3">
        <v>46142</v>
      </c>
      <c r="F1904" t="s">
        <v>143</v>
      </c>
      <c r="G1904" t="s">
        <v>1493</v>
      </c>
      <c r="H1904" t="s">
        <v>22</v>
      </c>
      <c r="I1904" t="s">
        <v>38</v>
      </c>
      <c r="J1904" t="s">
        <v>1491</v>
      </c>
      <c r="K1904" t="s">
        <v>24</v>
      </c>
      <c r="L1904" s="4">
        <v>48</v>
      </c>
      <c r="M1904" t="s">
        <v>1365</v>
      </c>
      <c r="N1904" t="s">
        <v>26</v>
      </c>
      <c r="O1904" s="4">
        <v>54</v>
      </c>
      <c r="P1904">
        <v>0</v>
      </c>
      <c r="Q1904" s="4">
        <v>54</v>
      </c>
      <c r="R1904" s="12">
        <f t="shared" si="29"/>
        <v>2592</v>
      </c>
      <c r="T1904" t="s">
        <v>145</v>
      </c>
      <c r="U1904" t="s">
        <v>1366</v>
      </c>
      <c r="V1904" s="4">
        <v>48</v>
      </c>
      <c r="W1904">
        <v>0</v>
      </c>
    </row>
    <row r="1905" spans="1:23" hidden="1" x14ac:dyDescent="0.25">
      <c r="A1905" s="2">
        <v>45887.587152777778</v>
      </c>
      <c r="B1905">
        <v>3982</v>
      </c>
      <c r="C1905" t="s">
        <v>1364</v>
      </c>
      <c r="D1905" s="3">
        <v>45885</v>
      </c>
      <c r="E1905" s="3">
        <v>46142</v>
      </c>
      <c r="F1905" t="s">
        <v>143</v>
      </c>
      <c r="G1905" t="s">
        <v>1493</v>
      </c>
      <c r="H1905" t="s">
        <v>22</v>
      </c>
      <c r="I1905" t="s">
        <v>63</v>
      </c>
      <c r="J1905" t="s">
        <v>1491</v>
      </c>
      <c r="K1905" t="s">
        <v>31</v>
      </c>
      <c r="L1905" s="4">
        <v>210</v>
      </c>
      <c r="M1905" t="s">
        <v>1365</v>
      </c>
      <c r="N1905" t="s">
        <v>26</v>
      </c>
      <c r="O1905" s="4">
        <v>106</v>
      </c>
      <c r="P1905">
        <v>0</v>
      </c>
      <c r="Q1905" s="4">
        <v>106</v>
      </c>
      <c r="R1905" s="12">
        <f t="shared" si="29"/>
        <v>22260</v>
      </c>
      <c r="T1905" t="s">
        <v>145</v>
      </c>
      <c r="U1905" t="s">
        <v>1366</v>
      </c>
      <c r="V1905" s="4">
        <v>210</v>
      </c>
      <c r="W1905">
        <v>0</v>
      </c>
    </row>
    <row r="1906" spans="1:23" hidden="1" x14ac:dyDescent="0.25">
      <c r="A1906" s="2">
        <v>46028.291261574072</v>
      </c>
      <c r="B1906">
        <v>4405</v>
      </c>
      <c r="C1906" t="s">
        <v>1364</v>
      </c>
      <c r="D1906" s="3">
        <v>46028</v>
      </c>
      <c r="E1906" s="3">
        <v>46295</v>
      </c>
      <c r="F1906" t="s">
        <v>143</v>
      </c>
      <c r="G1906" t="s">
        <v>1493</v>
      </c>
      <c r="H1906" t="s">
        <v>22</v>
      </c>
      <c r="I1906" t="s">
        <v>63</v>
      </c>
      <c r="J1906" t="s">
        <v>1491</v>
      </c>
      <c r="K1906" t="s">
        <v>31</v>
      </c>
      <c r="L1906" s="4">
        <v>210</v>
      </c>
      <c r="M1906" t="s">
        <v>1367</v>
      </c>
      <c r="N1906" t="s">
        <v>46</v>
      </c>
      <c r="O1906" s="4">
        <v>40</v>
      </c>
      <c r="P1906">
        <v>0</v>
      </c>
      <c r="Q1906" s="4">
        <v>40</v>
      </c>
      <c r="R1906" s="12">
        <f t="shared" si="29"/>
        <v>8400</v>
      </c>
      <c r="T1906" t="s">
        <v>145</v>
      </c>
      <c r="U1906" t="s">
        <v>1366</v>
      </c>
      <c r="V1906" s="4">
        <v>210</v>
      </c>
      <c r="W1906">
        <v>0</v>
      </c>
    </row>
    <row r="1907" spans="1:23" hidden="1" x14ac:dyDescent="0.25">
      <c r="A1907" s="2">
        <v>46028.291261574072</v>
      </c>
      <c r="B1907">
        <v>4405</v>
      </c>
      <c r="C1907" t="s">
        <v>1364</v>
      </c>
      <c r="D1907" s="3">
        <v>46028</v>
      </c>
      <c r="E1907" s="3">
        <v>46295</v>
      </c>
      <c r="F1907" t="s">
        <v>143</v>
      </c>
      <c r="G1907" t="s">
        <v>1493</v>
      </c>
      <c r="H1907" t="s">
        <v>22</v>
      </c>
      <c r="I1907" t="s">
        <v>38</v>
      </c>
      <c r="J1907" t="s">
        <v>1491</v>
      </c>
      <c r="K1907" t="s">
        <v>24</v>
      </c>
      <c r="L1907" s="4">
        <v>46</v>
      </c>
      <c r="M1907" t="s">
        <v>1367</v>
      </c>
      <c r="N1907" t="s">
        <v>46</v>
      </c>
      <c r="O1907" s="4">
        <v>51</v>
      </c>
      <c r="P1907">
        <v>0</v>
      </c>
      <c r="Q1907" s="4">
        <v>51</v>
      </c>
      <c r="R1907" s="12">
        <f t="shared" si="29"/>
        <v>2346</v>
      </c>
      <c r="T1907" t="s">
        <v>145</v>
      </c>
      <c r="U1907" t="s">
        <v>1366</v>
      </c>
      <c r="V1907" s="4">
        <v>46</v>
      </c>
      <c r="W1907">
        <v>0</v>
      </c>
    </row>
    <row r="1908" spans="1:23" hidden="1" x14ac:dyDescent="0.25">
      <c r="A1908" s="2">
        <v>46028.291261574072</v>
      </c>
      <c r="B1908">
        <v>4405</v>
      </c>
      <c r="C1908" t="s">
        <v>1364</v>
      </c>
      <c r="D1908" s="3">
        <v>46028</v>
      </c>
      <c r="E1908" s="3">
        <v>46295</v>
      </c>
      <c r="F1908" t="s">
        <v>143</v>
      </c>
      <c r="G1908" t="s">
        <v>1493</v>
      </c>
      <c r="H1908" t="s">
        <v>22</v>
      </c>
      <c r="I1908" t="s">
        <v>41</v>
      </c>
      <c r="J1908" t="s">
        <v>1491</v>
      </c>
      <c r="K1908" t="s">
        <v>24</v>
      </c>
      <c r="L1908" s="4">
        <v>340</v>
      </c>
      <c r="M1908" t="s">
        <v>1367</v>
      </c>
      <c r="N1908" t="s">
        <v>46</v>
      </c>
      <c r="O1908" s="4">
        <v>9</v>
      </c>
      <c r="P1908">
        <v>0</v>
      </c>
      <c r="Q1908" s="4">
        <v>9</v>
      </c>
      <c r="R1908" s="12">
        <f t="shared" si="29"/>
        <v>3060</v>
      </c>
      <c r="T1908" t="s">
        <v>145</v>
      </c>
      <c r="U1908" t="s">
        <v>1366</v>
      </c>
      <c r="V1908" s="4">
        <v>340</v>
      </c>
      <c r="W1908">
        <v>0</v>
      </c>
    </row>
    <row r="1909" spans="1:23" hidden="1" x14ac:dyDescent="0.25">
      <c r="A1909" s="2">
        <v>46028.291261574072</v>
      </c>
      <c r="B1909">
        <v>4405</v>
      </c>
      <c r="C1909" t="s">
        <v>1364</v>
      </c>
      <c r="D1909" s="3">
        <v>46028</v>
      </c>
      <c r="E1909" s="3">
        <v>46295</v>
      </c>
      <c r="F1909" t="s">
        <v>143</v>
      </c>
      <c r="G1909" t="s">
        <v>1493</v>
      </c>
      <c r="H1909" t="s">
        <v>22</v>
      </c>
      <c r="I1909" t="s">
        <v>40</v>
      </c>
      <c r="J1909" t="s">
        <v>1491</v>
      </c>
      <c r="K1909" t="s">
        <v>24</v>
      </c>
      <c r="L1909" s="4">
        <v>330</v>
      </c>
      <c r="M1909" t="s">
        <v>1367</v>
      </c>
      <c r="N1909" t="s">
        <v>46</v>
      </c>
      <c r="O1909" s="4">
        <v>9</v>
      </c>
      <c r="P1909">
        <v>0</v>
      </c>
      <c r="Q1909" s="4">
        <v>9</v>
      </c>
      <c r="R1909" s="12">
        <f t="shared" si="29"/>
        <v>2970</v>
      </c>
      <c r="T1909" t="s">
        <v>145</v>
      </c>
      <c r="U1909" t="s">
        <v>1366</v>
      </c>
      <c r="V1909" s="4">
        <v>330</v>
      </c>
      <c r="W1909">
        <v>0</v>
      </c>
    </row>
    <row r="1910" spans="1:23" hidden="1" x14ac:dyDescent="0.25">
      <c r="A1910" s="2">
        <v>46050.447118055556</v>
      </c>
      <c r="B1910">
        <v>4501</v>
      </c>
      <c r="C1910" t="s">
        <v>1364</v>
      </c>
      <c r="D1910" s="3">
        <v>46050</v>
      </c>
      <c r="E1910" s="3">
        <v>46295</v>
      </c>
      <c r="F1910" t="s">
        <v>143</v>
      </c>
      <c r="G1910" t="s">
        <v>1493</v>
      </c>
      <c r="H1910" t="s">
        <v>22</v>
      </c>
      <c r="I1910" t="s">
        <v>40</v>
      </c>
      <c r="J1910" t="s">
        <v>1491</v>
      </c>
      <c r="K1910" t="s">
        <v>24</v>
      </c>
      <c r="L1910" s="4">
        <v>330</v>
      </c>
      <c r="M1910" t="s">
        <v>1368</v>
      </c>
      <c r="N1910" t="s">
        <v>46</v>
      </c>
      <c r="O1910" s="4">
        <v>16</v>
      </c>
      <c r="P1910">
        <v>0</v>
      </c>
      <c r="Q1910" s="4">
        <v>16</v>
      </c>
      <c r="R1910" s="12">
        <f t="shared" si="29"/>
        <v>5280</v>
      </c>
      <c r="T1910" t="s">
        <v>145</v>
      </c>
      <c r="U1910" t="s">
        <v>1366</v>
      </c>
      <c r="V1910" s="4">
        <v>330</v>
      </c>
      <c r="W1910">
        <v>0</v>
      </c>
    </row>
    <row r="1911" spans="1:23" hidden="1" x14ac:dyDescent="0.25">
      <c r="A1911" s="2">
        <v>46050.447118055556</v>
      </c>
      <c r="B1911">
        <v>4501</v>
      </c>
      <c r="C1911" t="s">
        <v>1364</v>
      </c>
      <c r="D1911" s="3">
        <v>46050</v>
      </c>
      <c r="E1911" s="3">
        <v>46295</v>
      </c>
      <c r="F1911" t="s">
        <v>143</v>
      </c>
      <c r="G1911" t="s">
        <v>1493</v>
      </c>
      <c r="H1911" t="s">
        <v>22</v>
      </c>
      <c r="I1911" t="s">
        <v>41</v>
      </c>
      <c r="J1911" t="s">
        <v>1491</v>
      </c>
      <c r="K1911" t="s">
        <v>24</v>
      </c>
      <c r="L1911" s="4">
        <v>340</v>
      </c>
      <c r="M1911" t="s">
        <v>1368</v>
      </c>
      <c r="N1911" t="s">
        <v>46</v>
      </c>
      <c r="O1911" s="4">
        <v>16</v>
      </c>
      <c r="P1911">
        <v>0</v>
      </c>
      <c r="Q1911" s="4">
        <v>16</v>
      </c>
      <c r="R1911" s="12">
        <f t="shared" si="29"/>
        <v>5440</v>
      </c>
      <c r="T1911" t="s">
        <v>145</v>
      </c>
      <c r="U1911" t="s">
        <v>1366</v>
      </c>
      <c r="V1911" s="4">
        <v>340</v>
      </c>
      <c r="W1911">
        <v>0</v>
      </c>
    </row>
    <row r="1912" spans="1:23" hidden="1" x14ac:dyDescent="0.25">
      <c r="A1912" s="2">
        <v>46050.447118055556</v>
      </c>
      <c r="B1912">
        <v>4501</v>
      </c>
      <c r="C1912" t="s">
        <v>1364</v>
      </c>
      <c r="D1912" s="3">
        <v>46050</v>
      </c>
      <c r="E1912" s="3">
        <v>46295</v>
      </c>
      <c r="F1912" t="s">
        <v>143</v>
      </c>
      <c r="H1912" t="s">
        <v>22</v>
      </c>
      <c r="I1912" t="s">
        <v>328</v>
      </c>
      <c r="K1912" t="s">
        <v>24</v>
      </c>
      <c r="L1912" s="4">
        <v>65</v>
      </c>
      <c r="M1912" t="s">
        <v>1368</v>
      </c>
      <c r="N1912" t="s">
        <v>46</v>
      </c>
      <c r="O1912" s="4">
        <v>180</v>
      </c>
      <c r="P1912">
        <v>0</v>
      </c>
      <c r="Q1912" s="4">
        <v>180</v>
      </c>
      <c r="R1912" s="12">
        <f t="shared" si="29"/>
        <v>11700</v>
      </c>
      <c r="T1912" t="s">
        <v>145</v>
      </c>
      <c r="U1912" t="s">
        <v>1366</v>
      </c>
      <c r="V1912" s="4">
        <v>65</v>
      </c>
      <c r="W1912">
        <v>0</v>
      </c>
    </row>
    <row r="1913" spans="1:23" hidden="1" x14ac:dyDescent="0.25">
      <c r="A1913" s="2">
        <v>46050.447118055556</v>
      </c>
      <c r="B1913">
        <v>4501</v>
      </c>
      <c r="C1913" t="s">
        <v>1364</v>
      </c>
      <c r="D1913" s="3">
        <v>46050</v>
      </c>
      <c r="E1913" s="3">
        <v>46295</v>
      </c>
      <c r="F1913" t="s">
        <v>143</v>
      </c>
      <c r="G1913" t="s">
        <v>1493</v>
      </c>
      <c r="H1913" t="s">
        <v>22</v>
      </c>
      <c r="I1913" t="s">
        <v>63</v>
      </c>
      <c r="J1913" t="s">
        <v>1491</v>
      </c>
      <c r="K1913" t="s">
        <v>31</v>
      </c>
      <c r="L1913" s="4">
        <v>210</v>
      </c>
      <c r="M1913" t="s">
        <v>1368</v>
      </c>
      <c r="N1913" t="s">
        <v>46</v>
      </c>
      <c r="O1913" s="4">
        <v>43</v>
      </c>
      <c r="P1913">
        <v>0</v>
      </c>
      <c r="Q1913" s="4">
        <v>43</v>
      </c>
      <c r="R1913" s="12">
        <f t="shared" si="29"/>
        <v>9030</v>
      </c>
      <c r="T1913" t="s">
        <v>145</v>
      </c>
      <c r="U1913" t="s">
        <v>1366</v>
      </c>
      <c r="V1913" s="4">
        <v>210</v>
      </c>
      <c r="W1913">
        <v>0</v>
      </c>
    </row>
    <row r="1914" spans="1:23" hidden="1" x14ac:dyDescent="0.25">
      <c r="A1914" s="2">
        <v>46052.597083333334</v>
      </c>
      <c r="B1914">
        <v>4513</v>
      </c>
      <c r="C1914" t="s">
        <v>1364</v>
      </c>
      <c r="D1914" s="3">
        <v>46051</v>
      </c>
      <c r="E1914" s="3">
        <v>46325</v>
      </c>
      <c r="F1914" t="s">
        <v>143</v>
      </c>
      <c r="H1914" t="s">
        <v>22</v>
      </c>
      <c r="I1914" t="s">
        <v>30</v>
      </c>
      <c r="J1914" t="s">
        <v>1490</v>
      </c>
      <c r="K1914" t="s">
        <v>31</v>
      </c>
      <c r="L1914" s="4">
        <v>22</v>
      </c>
      <c r="M1914" t="s">
        <v>1369</v>
      </c>
      <c r="N1914" t="s">
        <v>46</v>
      </c>
      <c r="O1914" s="4">
        <v>60</v>
      </c>
      <c r="P1914">
        <v>0</v>
      </c>
      <c r="Q1914" s="4">
        <v>60</v>
      </c>
      <c r="R1914" s="12">
        <f t="shared" si="29"/>
        <v>1320</v>
      </c>
      <c r="T1914" t="s">
        <v>145</v>
      </c>
      <c r="U1914" t="s">
        <v>1366</v>
      </c>
      <c r="V1914" s="4">
        <v>22</v>
      </c>
      <c r="W1914">
        <v>0</v>
      </c>
    </row>
    <row r="1915" spans="1:23" hidden="1" x14ac:dyDescent="0.25">
      <c r="A1915" s="2">
        <v>46052.597083333334</v>
      </c>
      <c r="B1915">
        <v>4513</v>
      </c>
      <c r="C1915" t="s">
        <v>1364</v>
      </c>
      <c r="D1915" s="3">
        <v>46051</v>
      </c>
      <c r="E1915" s="3">
        <v>46325</v>
      </c>
      <c r="F1915" t="s">
        <v>143</v>
      </c>
      <c r="H1915" t="s">
        <v>22</v>
      </c>
      <c r="I1915" t="s">
        <v>42</v>
      </c>
      <c r="J1915" t="s">
        <v>1490</v>
      </c>
      <c r="K1915" t="s">
        <v>24</v>
      </c>
      <c r="L1915" s="4">
        <v>250</v>
      </c>
      <c r="M1915" t="s">
        <v>1369</v>
      </c>
      <c r="N1915" t="s">
        <v>46</v>
      </c>
      <c r="O1915" s="4">
        <v>5</v>
      </c>
      <c r="P1915">
        <v>0</v>
      </c>
      <c r="Q1915" s="4">
        <v>5</v>
      </c>
      <c r="R1915" s="12">
        <f t="shared" si="29"/>
        <v>1250</v>
      </c>
      <c r="T1915" t="s">
        <v>145</v>
      </c>
      <c r="U1915" t="s">
        <v>1366</v>
      </c>
      <c r="V1915" s="4">
        <v>250</v>
      </c>
      <c r="W1915">
        <v>0</v>
      </c>
    </row>
    <row r="1916" spans="1:23" hidden="1" x14ac:dyDescent="0.25">
      <c r="A1916" s="2">
        <v>46052.597083333334</v>
      </c>
      <c r="B1916">
        <v>4513</v>
      </c>
      <c r="C1916" t="s">
        <v>1364</v>
      </c>
      <c r="D1916" s="3">
        <v>46051</v>
      </c>
      <c r="E1916" s="3">
        <v>46325</v>
      </c>
      <c r="F1916" t="s">
        <v>143</v>
      </c>
      <c r="H1916" t="s">
        <v>22</v>
      </c>
      <c r="I1916" t="s">
        <v>29</v>
      </c>
      <c r="J1916" t="s">
        <v>1490</v>
      </c>
      <c r="K1916" t="s">
        <v>24</v>
      </c>
      <c r="L1916" s="4">
        <v>170</v>
      </c>
      <c r="M1916" t="s">
        <v>1369</v>
      </c>
      <c r="N1916" t="s">
        <v>46</v>
      </c>
      <c r="O1916" s="4">
        <v>20</v>
      </c>
      <c r="P1916">
        <v>0</v>
      </c>
      <c r="Q1916" s="4">
        <v>20</v>
      </c>
      <c r="R1916" s="12">
        <f t="shared" si="29"/>
        <v>3400</v>
      </c>
      <c r="T1916" t="s">
        <v>145</v>
      </c>
      <c r="U1916" t="s">
        <v>1366</v>
      </c>
      <c r="V1916" s="4">
        <v>170</v>
      </c>
      <c r="W1916">
        <v>0</v>
      </c>
    </row>
    <row r="1917" spans="1:23" hidden="1" x14ac:dyDescent="0.25">
      <c r="A1917" s="2">
        <v>46052.597083333334</v>
      </c>
      <c r="B1917">
        <v>4513</v>
      </c>
      <c r="C1917" t="s">
        <v>1364</v>
      </c>
      <c r="D1917" s="3">
        <v>46051</v>
      </c>
      <c r="E1917" s="3">
        <v>46325</v>
      </c>
      <c r="F1917" t="s">
        <v>143</v>
      </c>
      <c r="H1917" t="s">
        <v>22</v>
      </c>
      <c r="I1917" t="s">
        <v>32</v>
      </c>
      <c r="J1917" t="s">
        <v>1490</v>
      </c>
      <c r="K1917" t="s">
        <v>24</v>
      </c>
      <c r="L1917" s="4">
        <v>25</v>
      </c>
      <c r="M1917" t="s">
        <v>1369</v>
      </c>
      <c r="N1917" t="s">
        <v>46</v>
      </c>
      <c r="O1917" s="4">
        <v>40</v>
      </c>
      <c r="P1917">
        <v>0</v>
      </c>
      <c r="Q1917" s="4">
        <v>40</v>
      </c>
      <c r="R1917" s="12">
        <f t="shared" si="29"/>
        <v>1000</v>
      </c>
      <c r="T1917" t="s">
        <v>145</v>
      </c>
      <c r="U1917" t="s">
        <v>1366</v>
      </c>
      <c r="V1917" s="4">
        <v>25</v>
      </c>
      <c r="W1917">
        <v>0</v>
      </c>
    </row>
    <row r="1918" spans="1:23" hidden="1" x14ac:dyDescent="0.25">
      <c r="A1918" s="2">
        <v>46052.597083333334</v>
      </c>
      <c r="B1918">
        <v>4513</v>
      </c>
      <c r="C1918" t="s">
        <v>1364</v>
      </c>
      <c r="D1918" s="3">
        <v>46051</v>
      </c>
      <c r="E1918" s="3">
        <v>46325</v>
      </c>
      <c r="F1918" t="s">
        <v>143</v>
      </c>
      <c r="H1918" t="s">
        <v>22</v>
      </c>
      <c r="I1918" t="s">
        <v>33</v>
      </c>
      <c r="J1918" t="s">
        <v>1490</v>
      </c>
      <c r="K1918" t="s">
        <v>31</v>
      </c>
      <c r="L1918" s="4">
        <v>26</v>
      </c>
      <c r="M1918" t="s">
        <v>1369</v>
      </c>
      <c r="N1918" t="s">
        <v>46</v>
      </c>
      <c r="O1918" s="4">
        <v>50</v>
      </c>
      <c r="P1918">
        <v>0</v>
      </c>
      <c r="Q1918" s="4">
        <v>50</v>
      </c>
      <c r="R1918" s="12">
        <f t="shared" si="29"/>
        <v>1300</v>
      </c>
      <c r="T1918" t="s">
        <v>145</v>
      </c>
      <c r="U1918" t="s">
        <v>1366</v>
      </c>
      <c r="V1918" s="4">
        <v>26</v>
      </c>
      <c r="W1918">
        <v>0</v>
      </c>
    </row>
    <row r="1919" spans="1:23" hidden="1" x14ac:dyDescent="0.25">
      <c r="A1919" s="2">
        <v>46052.602071759262</v>
      </c>
      <c r="B1919">
        <v>4514</v>
      </c>
      <c r="C1919" t="s">
        <v>1364</v>
      </c>
      <c r="D1919" s="3">
        <v>46051</v>
      </c>
      <c r="E1919" s="3">
        <v>46325</v>
      </c>
      <c r="F1919" t="s">
        <v>143</v>
      </c>
      <c r="H1919" t="s">
        <v>22</v>
      </c>
      <c r="I1919" t="s">
        <v>30</v>
      </c>
      <c r="J1919" t="s">
        <v>1490</v>
      </c>
      <c r="K1919" t="s">
        <v>31</v>
      </c>
      <c r="L1919" s="4">
        <v>22</v>
      </c>
      <c r="M1919" t="s">
        <v>1370</v>
      </c>
      <c r="N1919" t="s">
        <v>46</v>
      </c>
      <c r="O1919" s="4">
        <v>540</v>
      </c>
      <c r="P1919">
        <v>0</v>
      </c>
      <c r="Q1919" s="4">
        <v>540</v>
      </c>
      <c r="R1919" s="12">
        <f t="shared" si="29"/>
        <v>11880</v>
      </c>
      <c r="T1919" t="s">
        <v>145</v>
      </c>
      <c r="U1919" t="s">
        <v>1366</v>
      </c>
      <c r="V1919" s="4">
        <v>22</v>
      </c>
      <c r="W1919">
        <v>0</v>
      </c>
    </row>
    <row r="1920" spans="1:23" hidden="1" x14ac:dyDescent="0.25">
      <c r="A1920" s="2">
        <v>45854.673657407409</v>
      </c>
      <c r="B1920">
        <v>251</v>
      </c>
      <c r="C1920" t="s">
        <v>1371</v>
      </c>
      <c r="D1920" s="3">
        <v>45854</v>
      </c>
      <c r="E1920" s="3">
        <v>46111</v>
      </c>
      <c r="F1920" t="s">
        <v>52</v>
      </c>
      <c r="H1920" t="s">
        <v>22</v>
      </c>
      <c r="I1920" t="s">
        <v>37</v>
      </c>
      <c r="J1920" t="s">
        <v>1490</v>
      </c>
      <c r="K1920" t="s">
        <v>31</v>
      </c>
      <c r="L1920" s="4">
        <v>70</v>
      </c>
      <c r="M1920" t="s">
        <v>1372</v>
      </c>
      <c r="N1920" t="s">
        <v>26</v>
      </c>
      <c r="O1920" s="4">
        <v>210</v>
      </c>
      <c r="P1920">
        <v>0</v>
      </c>
      <c r="Q1920" s="4">
        <v>210</v>
      </c>
      <c r="R1920" s="12">
        <f t="shared" si="29"/>
        <v>14700</v>
      </c>
      <c r="T1920" t="s">
        <v>55</v>
      </c>
      <c r="U1920" t="s">
        <v>1373</v>
      </c>
      <c r="V1920" s="4">
        <v>70</v>
      </c>
      <c r="W1920">
        <v>0</v>
      </c>
    </row>
    <row r="1921" spans="1:23" hidden="1" x14ac:dyDescent="0.25">
      <c r="A1921" s="2">
        <v>45854.673657407409</v>
      </c>
      <c r="B1921">
        <v>251</v>
      </c>
      <c r="C1921" t="s">
        <v>1371</v>
      </c>
      <c r="D1921" s="3">
        <v>45854</v>
      </c>
      <c r="E1921" s="3">
        <v>46111</v>
      </c>
      <c r="F1921" t="s">
        <v>52</v>
      </c>
      <c r="H1921" t="s">
        <v>22</v>
      </c>
      <c r="I1921" t="s">
        <v>193</v>
      </c>
      <c r="K1921" t="s">
        <v>31</v>
      </c>
      <c r="L1921" s="4">
        <v>32</v>
      </c>
      <c r="M1921" t="s">
        <v>1372</v>
      </c>
      <c r="N1921" t="s">
        <v>26</v>
      </c>
      <c r="O1921" s="4">
        <v>1120</v>
      </c>
      <c r="P1921">
        <v>0</v>
      </c>
      <c r="Q1921" s="4">
        <v>1120</v>
      </c>
      <c r="R1921" s="12">
        <f t="shared" si="29"/>
        <v>35840</v>
      </c>
      <c r="T1921" t="s">
        <v>55</v>
      </c>
      <c r="U1921" t="s">
        <v>1373</v>
      </c>
      <c r="V1921" s="4">
        <v>32</v>
      </c>
      <c r="W1921">
        <v>0</v>
      </c>
    </row>
    <row r="1922" spans="1:23" hidden="1" x14ac:dyDescent="0.25">
      <c r="A1922" s="2">
        <v>45854.673657407409</v>
      </c>
      <c r="B1922">
        <v>251</v>
      </c>
      <c r="C1922" t="s">
        <v>1371</v>
      </c>
      <c r="D1922" s="3">
        <v>45854</v>
      </c>
      <c r="E1922" s="3">
        <v>46111</v>
      </c>
      <c r="F1922" t="s">
        <v>52</v>
      </c>
      <c r="H1922" t="s">
        <v>22</v>
      </c>
      <c r="I1922" t="s">
        <v>272</v>
      </c>
      <c r="K1922" t="s">
        <v>31</v>
      </c>
      <c r="L1922" s="4">
        <v>24.1</v>
      </c>
      <c r="M1922" t="s">
        <v>1372</v>
      </c>
      <c r="N1922" t="s">
        <v>26</v>
      </c>
      <c r="O1922" s="4">
        <v>100</v>
      </c>
      <c r="P1922">
        <v>0</v>
      </c>
      <c r="Q1922" s="4">
        <v>100</v>
      </c>
      <c r="R1922" s="12">
        <f t="shared" si="29"/>
        <v>2410</v>
      </c>
      <c r="T1922" t="s">
        <v>55</v>
      </c>
      <c r="U1922" t="s">
        <v>1373</v>
      </c>
      <c r="V1922" s="4">
        <v>24.1</v>
      </c>
      <c r="W1922">
        <v>0</v>
      </c>
    </row>
    <row r="1923" spans="1:23" hidden="1" x14ac:dyDescent="0.25">
      <c r="A1923" s="2">
        <v>45854.673657407409</v>
      </c>
      <c r="B1923">
        <v>251</v>
      </c>
      <c r="C1923" t="s">
        <v>1371</v>
      </c>
      <c r="D1923" s="3">
        <v>45854</v>
      </c>
      <c r="E1923" s="3">
        <v>46111</v>
      </c>
      <c r="F1923" t="s">
        <v>52</v>
      </c>
      <c r="H1923" t="s">
        <v>22</v>
      </c>
      <c r="I1923" t="s">
        <v>276</v>
      </c>
      <c r="K1923" t="s">
        <v>31</v>
      </c>
      <c r="L1923" s="4">
        <v>24.1</v>
      </c>
      <c r="M1923" t="s">
        <v>1372</v>
      </c>
      <c r="N1923" t="s">
        <v>26</v>
      </c>
      <c r="O1923" s="4">
        <v>2000</v>
      </c>
      <c r="P1923">
        <v>0</v>
      </c>
      <c r="Q1923" s="4">
        <v>2000</v>
      </c>
      <c r="R1923" s="12">
        <f t="shared" ref="R1923:R1986" si="30">Q1923*L1923</f>
        <v>48200</v>
      </c>
      <c r="T1923" t="s">
        <v>55</v>
      </c>
      <c r="U1923" t="s">
        <v>1373</v>
      </c>
      <c r="V1923" s="4">
        <v>24.1</v>
      </c>
      <c r="W1923">
        <v>0</v>
      </c>
    </row>
    <row r="1924" spans="1:23" hidden="1" x14ac:dyDescent="0.25">
      <c r="A1924" s="2">
        <v>45854.673657407409</v>
      </c>
      <c r="B1924">
        <v>251</v>
      </c>
      <c r="C1924" t="s">
        <v>1371</v>
      </c>
      <c r="D1924" s="3">
        <v>45854</v>
      </c>
      <c r="E1924" s="3">
        <v>46111</v>
      </c>
      <c r="F1924" t="s">
        <v>52</v>
      </c>
      <c r="H1924" t="s">
        <v>22</v>
      </c>
      <c r="I1924" t="s">
        <v>89</v>
      </c>
      <c r="K1924" t="s">
        <v>31</v>
      </c>
      <c r="L1924" s="4">
        <v>20</v>
      </c>
      <c r="M1924" t="s">
        <v>1372</v>
      </c>
      <c r="N1924" t="s">
        <v>26</v>
      </c>
      <c r="O1924" s="4">
        <v>2100</v>
      </c>
      <c r="P1924">
        <v>0</v>
      </c>
      <c r="Q1924" s="4">
        <v>2100</v>
      </c>
      <c r="R1924" s="12">
        <f t="shared" si="30"/>
        <v>42000</v>
      </c>
      <c r="T1924" t="s">
        <v>55</v>
      </c>
      <c r="U1924" t="s">
        <v>1373</v>
      </c>
      <c r="V1924" s="4">
        <v>20</v>
      </c>
      <c r="W1924">
        <v>0</v>
      </c>
    </row>
    <row r="1925" spans="1:23" hidden="1" x14ac:dyDescent="0.25">
      <c r="A1925" s="2">
        <v>45854.673657407409</v>
      </c>
      <c r="B1925">
        <v>251</v>
      </c>
      <c r="C1925" t="s">
        <v>1371</v>
      </c>
      <c r="D1925" s="3">
        <v>45854</v>
      </c>
      <c r="E1925" s="3">
        <v>46111</v>
      </c>
      <c r="F1925" t="s">
        <v>52</v>
      </c>
      <c r="H1925" t="s">
        <v>22</v>
      </c>
      <c r="I1925" t="s">
        <v>279</v>
      </c>
      <c r="K1925" t="s">
        <v>31</v>
      </c>
      <c r="L1925" s="4">
        <v>240</v>
      </c>
      <c r="M1925" t="s">
        <v>1372</v>
      </c>
      <c r="N1925" t="s">
        <v>26</v>
      </c>
      <c r="O1925" s="4">
        <v>280</v>
      </c>
      <c r="P1925">
        <v>0</v>
      </c>
      <c r="Q1925" s="4">
        <v>280</v>
      </c>
      <c r="R1925" s="12">
        <f t="shared" si="30"/>
        <v>67200</v>
      </c>
      <c r="T1925" t="s">
        <v>55</v>
      </c>
      <c r="U1925" t="s">
        <v>1373</v>
      </c>
      <c r="V1925" s="4">
        <v>240</v>
      </c>
      <c r="W1925">
        <v>0</v>
      </c>
    </row>
    <row r="1926" spans="1:23" hidden="1" x14ac:dyDescent="0.25">
      <c r="A1926" s="2">
        <v>45854.673657407409</v>
      </c>
      <c r="B1926">
        <v>251</v>
      </c>
      <c r="C1926" t="s">
        <v>1371</v>
      </c>
      <c r="D1926" s="3">
        <v>45854</v>
      </c>
      <c r="E1926" s="3">
        <v>46111</v>
      </c>
      <c r="F1926" t="s">
        <v>52</v>
      </c>
      <c r="H1926" t="s">
        <v>22</v>
      </c>
      <c r="I1926" t="s">
        <v>355</v>
      </c>
      <c r="K1926" t="s">
        <v>31</v>
      </c>
      <c r="L1926" s="4">
        <v>185</v>
      </c>
      <c r="M1926" t="s">
        <v>1372</v>
      </c>
      <c r="N1926" t="s">
        <v>26</v>
      </c>
      <c r="O1926" s="4">
        <v>210</v>
      </c>
      <c r="P1926">
        <v>0</v>
      </c>
      <c r="Q1926" s="4">
        <v>210</v>
      </c>
      <c r="R1926" s="12">
        <f t="shared" si="30"/>
        <v>38850</v>
      </c>
      <c r="T1926" t="s">
        <v>55</v>
      </c>
      <c r="U1926" t="s">
        <v>1373</v>
      </c>
      <c r="V1926" s="4">
        <v>185</v>
      </c>
      <c r="W1926">
        <v>0</v>
      </c>
    </row>
    <row r="1927" spans="1:23" hidden="1" x14ac:dyDescent="0.25">
      <c r="A1927" s="2">
        <v>45854.673657407409</v>
      </c>
      <c r="B1927">
        <v>251</v>
      </c>
      <c r="C1927" t="s">
        <v>1371</v>
      </c>
      <c r="D1927" s="3">
        <v>45854</v>
      </c>
      <c r="E1927" s="3">
        <v>46111</v>
      </c>
      <c r="F1927" t="s">
        <v>52</v>
      </c>
      <c r="H1927" t="s">
        <v>22</v>
      </c>
      <c r="I1927" t="s">
        <v>192</v>
      </c>
      <c r="J1927" t="s">
        <v>1490</v>
      </c>
      <c r="K1927" t="s">
        <v>24</v>
      </c>
      <c r="L1927" s="4">
        <v>16</v>
      </c>
      <c r="M1927" t="s">
        <v>1372</v>
      </c>
      <c r="N1927" t="s">
        <v>26</v>
      </c>
      <c r="O1927" s="4">
        <v>2800</v>
      </c>
      <c r="P1927">
        <v>0</v>
      </c>
      <c r="Q1927" s="4">
        <v>2800</v>
      </c>
      <c r="R1927" s="12">
        <f t="shared" si="30"/>
        <v>44800</v>
      </c>
      <c r="T1927" t="s">
        <v>55</v>
      </c>
      <c r="U1927" t="s">
        <v>1373</v>
      </c>
      <c r="V1927" s="4">
        <v>16</v>
      </c>
      <c r="W1927">
        <v>0</v>
      </c>
    </row>
    <row r="1928" spans="1:23" hidden="1" x14ac:dyDescent="0.25">
      <c r="A1928" s="2">
        <v>45986.368969907409</v>
      </c>
      <c r="B1928">
        <v>424</v>
      </c>
      <c r="C1928" t="s">
        <v>1374</v>
      </c>
      <c r="D1928" s="3">
        <v>45986</v>
      </c>
      <c r="E1928" s="3">
        <v>46264</v>
      </c>
      <c r="F1928" t="s">
        <v>52</v>
      </c>
      <c r="G1928" t="s">
        <v>1494</v>
      </c>
      <c r="H1928" t="s">
        <v>22</v>
      </c>
      <c r="I1928" t="s">
        <v>63</v>
      </c>
      <c r="J1928" t="s">
        <v>1491</v>
      </c>
      <c r="K1928" t="s">
        <v>31</v>
      </c>
      <c r="L1928" s="4">
        <v>200</v>
      </c>
      <c r="M1928" t="s">
        <v>1375</v>
      </c>
      <c r="N1928" t="s">
        <v>46</v>
      </c>
      <c r="O1928" s="4">
        <v>60</v>
      </c>
      <c r="P1928">
        <v>0</v>
      </c>
      <c r="Q1928" s="4">
        <v>60</v>
      </c>
      <c r="R1928" s="12">
        <f t="shared" si="30"/>
        <v>12000</v>
      </c>
      <c r="T1928" t="s">
        <v>55</v>
      </c>
      <c r="U1928" t="s">
        <v>1376</v>
      </c>
      <c r="V1928" s="4">
        <v>200</v>
      </c>
      <c r="W1928">
        <v>0</v>
      </c>
    </row>
    <row r="1929" spans="1:23" hidden="1" x14ac:dyDescent="0.25">
      <c r="A1929" s="2">
        <v>46035.736724537041</v>
      </c>
      <c r="B1929">
        <v>497</v>
      </c>
      <c r="C1929" t="s">
        <v>1374</v>
      </c>
      <c r="D1929" s="3">
        <v>46035</v>
      </c>
      <c r="E1929" s="3">
        <v>46264</v>
      </c>
      <c r="F1929" t="s">
        <v>52</v>
      </c>
      <c r="H1929" t="s">
        <v>22</v>
      </c>
      <c r="I1929" t="s">
        <v>72</v>
      </c>
      <c r="J1929" t="s">
        <v>1490</v>
      </c>
      <c r="K1929" t="s">
        <v>24</v>
      </c>
      <c r="L1929" s="4">
        <v>950</v>
      </c>
      <c r="M1929" t="s">
        <v>1377</v>
      </c>
      <c r="N1929" t="s">
        <v>46</v>
      </c>
      <c r="O1929" s="4">
        <v>10</v>
      </c>
      <c r="P1929">
        <v>0</v>
      </c>
      <c r="Q1929" s="4">
        <v>10</v>
      </c>
      <c r="R1929" s="12">
        <f t="shared" si="30"/>
        <v>9500</v>
      </c>
      <c r="T1929" t="s">
        <v>55</v>
      </c>
      <c r="U1929" t="s">
        <v>1376</v>
      </c>
      <c r="V1929" s="4">
        <v>950</v>
      </c>
      <c r="W1929">
        <v>0</v>
      </c>
    </row>
    <row r="1930" spans="1:23" hidden="1" x14ac:dyDescent="0.25">
      <c r="A1930" s="2">
        <v>46035.736724537041</v>
      </c>
      <c r="B1930">
        <v>497</v>
      </c>
      <c r="C1930" t="s">
        <v>1374</v>
      </c>
      <c r="D1930" s="3">
        <v>46035</v>
      </c>
      <c r="E1930" s="3">
        <v>46264</v>
      </c>
      <c r="F1930" t="s">
        <v>52</v>
      </c>
      <c r="G1930" t="s">
        <v>1494</v>
      </c>
      <c r="H1930" t="s">
        <v>22</v>
      </c>
      <c r="I1930" t="s">
        <v>63</v>
      </c>
      <c r="J1930" t="s">
        <v>1491</v>
      </c>
      <c r="K1930" t="s">
        <v>31</v>
      </c>
      <c r="L1930" s="4">
        <v>200</v>
      </c>
      <c r="M1930" t="s">
        <v>1377</v>
      </c>
      <c r="N1930" t="s">
        <v>46</v>
      </c>
      <c r="O1930" s="4">
        <v>10</v>
      </c>
      <c r="P1930">
        <v>0</v>
      </c>
      <c r="Q1930" s="4">
        <v>10</v>
      </c>
      <c r="R1930" s="12">
        <f t="shared" si="30"/>
        <v>2000</v>
      </c>
      <c r="T1930" t="s">
        <v>55</v>
      </c>
      <c r="U1930" t="s">
        <v>1376</v>
      </c>
      <c r="V1930" s="4">
        <v>200</v>
      </c>
      <c r="W1930">
        <v>0</v>
      </c>
    </row>
    <row r="1931" spans="1:23" hidden="1" x14ac:dyDescent="0.25">
      <c r="A1931" s="2">
        <v>45775.624224537038</v>
      </c>
      <c r="B1931">
        <v>205</v>
      </c>
      <c r="C1931" t="s">
        <v>1378</v>
      </c>
      <c r="D1931" s="3">
        <v>45775</v>
      </c>
      <c r="E1931" s="3">
        <v>45807</v>
      </c>
      <c r="F1931" t="s">
        <v>66</v>
      </c>
      <c r="G1931" t="s">
        <v>1494</v>
      </c>
      <c r="H1931" t="s">
        <v>484</v>
      </c>
      <c r="I1931" t="s">
        <v>63</v>
      </c>
      <c r="J1931" t="s">
        <v>1491</v>
      </c>
      <c r="K1931" t="s">
        <v>31</v>
      </c>
      <c r="L1931" s="4">
        <v>185</v>
      </c>
      <c r="M1931" t="s">
        <v>1379</v>
      </c>
      <c r="N1931" t="s">
        <v>26</v>
      </c>
      <c r="O1931" s="4">
        <v>30</v>
      </c>
      <c r="P1931">
        <v>0</v>
      </c>
      <c r="Q1931" s="4">
        <v>30</v>
      </c>
      <c r="R1931" s="12">
        <f t="shared" si="30"/>
        <v>5550</v>
      </c>
      <c r="T1931" t="s">
        <v>486</v>
      </c>
      <c r="U1931" t="s">
        <v>1380</v>
      </c>
      <c r="V1931" s="4">
        <v>185</v>
      </c>
      <c r="W1931">
        <v>0</v>
      </c>
    </row>
    <row r="1932" spans="1:23" hidden="1" x14ac:dyDescent="0.25">
      <c r="A1932" s="2">
        <v>45775.624224537038</v>
      </c>
      <c r="B1932">
        <v>205</v>
      </c>
      <c r="C1932" t="s">
        <v>1378</v>
      </c>
      <c r="D1932" s="3">
        <v>45775</v>
      </c>
      <c r="E1932" s="3">
        <v>45807</v>
      </c>
      <c r="F1932" t="s">
        <v>66</v>
      </c>
      <c r="H1932" t="s">
        <v>484</v>
      </c>
      <c r="I1932" t="s">
        <v>844</v>
      </c>
      <c r="K1932" t="s">
        <v>24</v>
      </c>
      <c r="L1932" s="4">
        <v>270</v>
      </c>
      <c r="M1932" t="s">
        <v>1379</v>
      </c>
      <c r="N1932" t="s">
        <v>26</v>
      </c>
      <c r="O1932" s="4">
        <v>40</v>
      </c>
      <c r="P1932">
        <v>0</v>
      </c>
      <c r="Q1932" s="4">
        <v>40</v>
      </c>
      <c r="R1932" s="12">
        <f t="shared" si="30"/>
        <v>10800</v>
      </c>
      <c r="T1932" t="s">
        <v>486</v>
      </c>
      <c r="U1932" t="s">
        <v>1380</v>
      </c>
      <c r="V1932" s="4">
        <v>270</v>
      </c>
      <c r="W1932">
        <v>0</v>
      </c>
    </row>
    <row r="1933" spans="1:23" hidden="1" x14ac:dyDescent="0.25">
      <c r="A1933" s="2">
        <v>45989.59578703704</v>
      </c>
      <c r="B1933">
        <v>434</v>
      </c>
      <c r="C1933" t="s">
        <v>1378</v>
      </c>
      <c r="D1933" s="3">
        <v>45989</v>
      </c>
      <c r="E1933" s="3">
        <v>46006</v>
      </c>
      <c r="F1933" t="s">
        <v>66</v>
      </c>
      <c r="G1933" t="s">
        <v>1494</v>
      </c>
      <c r="H1933" t="s">
        <v>484</v>
      </c>
      <c r="I1933" t="s">
        <v>63</v>
      </c>
      <c r="J1933" t="s">
        <v>1491</v>
      </c>
      <c r="K1933" t="s">
        <v>31</v>
      </c>
      <c r="L1933" s="4">
        <v>185</v>
      </c>
      <c r="M1933" t="s">
        <v>1381</v>
      </c>
      <c r="N1933" t="s">
        <v>46</v>
      </c>
      <c r="O1933" s="4">
        <v>36</v>
      </c>
      <c r="P1933">
        <v>0</v>
      </c>
      <c r="Q1933" s="4">
        <v>36</v>
      </c>
      <c r="R1933" s="12">
        <f t="shared" si="30"/>
        <v>6660</v>
      </c>
      <c r="T1933" t="s">
        <v>486</v>
      </c>
      <c r="U1933" t="s">
        <v>1380</v>
      </c>
      <c r="V1933" s="4">
        <v>185</v>
      </c>
      <c r="W1933">
        <v>0</v>
      </c>
    </row>
    <row r="1934" spans="1:23" hidden="1" x14ac:dyDescent="0.25">
      <c r="A1934" s="2">
        <v>46007.317430555559</v>
      </c>
      <c r="B1934">
        <v>458</v>
      </c>
      <c r="C1934" t="s">
        <v>1378</v>
      </c>
      <c r="D1934" s="3">
        <v>46006</v>
      </c>
      <c r="E1934" s="3">
        <v>46011</v>
      </c>
      <c r="F1934" t="s">
        <v>66</v>
      </c>
      <c r="H1934" t="s">
        <v>484</v>
      </c>
      <c r="I1934" t="s">
        <v>34</v>
      </c>
      <c r="J1934" t="s">
        <v>1490</v>
      </c>
      <c r="K1934" t="s">
        <v>31</v>
      </c>
      <c r="L1934" s="4">
        <v>24</v>
      </c>
      <c r="M1934" t="s">
        <v>1382</v>
      </c>
      <c r="N1934" t="s">
        <v>46</v>
      </c>
      <c r="O1934" s="4">
        <v>150</v>
      </c>
      <c r="P1934">
        <v>0</v>
      </c>
      <c r="Q1934" s="4">
        <v>150</v>
      </c>
      <c r="R1934" s="12">
        <f t="shared" si="30"/>
        <v>3600</v>
      </c>
      <c r="T1934" t="s">
        <v>486</v>
      </c>
      <c r="U1934" t="s">
        <v>1380</v>
      </c>
      <c r="V1934" s="4">
        <v>24</v>
      </c>
      <c r="W1934">
        <v>0</v>
      </c>
    </row>
    <row r="1935" spans="1:23" hidden="1" x14ac:dyDescent="0.25">
      <c r="A1935" s="2">
        <v>46020.636956018519</v>
      </c>
      <c r="B1935">
        <v>4390</v>
      </c>
      <c r="C1935" t="s">
        <v>1383</v>
      </c>
      <c r="D1935" s="3">
        <v>46020</v>
      </c>
      <c r="E1935" s="3">
        <v>46264</v>
      </c>
      <c r="F1935" t="s">
        <v>85</v>
      </c>
      <c r="H1935" t="s">
        <v>22</v>
      </c>
      <c r="I1935" t="s">
        <v>29</v>
      </c>
      <c r="J1935" t="s">
        <v>1490</v>
      </c>
      <c r="K1935" t="s">
        <v>24</v>
      </c>
      <c r="L1935" s="4">
        <v>158</v>
      </c>
      <c r="N1935" t="s">
        <v>46</v>
      </c>
      <c r="O1935" s="4">
        <v>100</v>
      </c>
      <c r="P1935">
        <v>0</v>
      </c>
      <c r="Q1935" s="4">
        <v>100</v>
      </c>
      <c r="R1935" s="12">
        <f t="shared" si="30"/>
        <v>15800</v>
      </c>
      <c r="T1935" t="s">
        <v>117</v>
      </c>
      <c r="U1935" t="s">
        <v>1384</v>
      </c>
      <c r="V1935" s="4">
        <v>158</v>
      </c>
      <c r="W1935">
        <v>0</v>
      </c>
    </row>
    <row r="1936" spans="1:23" hidden="1" x14ac:dyDescent="0.25">
      <c r="A1936" s="2">
        <v>46085.453796296293</v>
      </c>
      <c r="B1936">
        <v>4624</v>
      </c>
      <c r="C1936" t="s">
        <v>1383</v>
      </c>
      <c r="D1936" s="3">
        <v>46085</v>
      </c>
      <c r="E1936" s="3">
        <v>46264</v>
      </c>
      <c r="F1936" t="s">
        <v>85</v>
      </c>
      <c r="H1936" t="s">
        <v>22</v>
      </c>
      <c r="I1936" t="s">
        <v>23</v>
      </c>
      <c r="J1936" t="s">
        <v>1490</v>
      </c>
      <c r="K1936" t="s">
        <v>24</v>
      </c>
      <c r="L1936" s="4">
        <v>15</v>
      </c>
      <c r="M1936" t="s">
        <v>1385</v>
      </c>
      <c r="N1936" t="s">
        <v>46</v>
      </c>
      <c r="O1936" s="4">
        <v>60</v>
      </c>
      <c r="P1936">
        <v>0</v>
      </c>
      <c r="Q1936" s="4">
        <v>60</v>
      </c>
      <c r="R1936" s="12">
        <f t="shared" si="30"/>
        <v>900</v>
      </c>
      <c r="T1936" t="s">
        <v>117</v>
      </c>
      <c r="U1936" t="s">
        <v>1384</v>
      </c>
      <c r="V1936" s="4">
        <v>15</v>
      </c>
      <c r="W1936">
        <v>0</v>
      </c>
    </row>
    <row r="1937" spans="1:23" hidden="1" x14ac:dyDescent="0.25">
      <c r="A1937" s="2">
        <v>46051.66</v>
      </c>
      <c r="B1937">
        <v>520</v>
      </c>
      <c r="C1937" t="s">
        <v>1386</v>
      </c>
      <c r="D1937" s="3">
        <v>46051</v>
      </c>
      <c r="E1937" s="3">
        <v>46295</v>
      </c>
      <c r="F1937" t="s">
        <v>418</v>
      </c>
      <c r="G1937" t="s">
        <v>1494</v>
      </c>
      <c r="H1937" t="s">
        <v>22</v>
      </c>
      <c r="I1937" t="s">
        <v>40</v>
      </c>
      <c r="J1937" t="s">
        <v>1491</v>
      </c>
      <c r="K1937" t="s">
        <v>24</v>
      </c>
      <c r="L1937" s="4">
        <v>310</v>
      </c>
      <c r="M1937" t="s">
        <v>1387</v>
      </c>
      <c r="N1937" t="s">
        <v>46</v>
      </c>
      <c r="O1937" s="4">
        <v>45</v>
      </c>
      <c r="P1937">
        <v>0</v>
      </c>
      <c r="Q1937" s="4">
        <v>45</v>
      </c>
      <c r="R1937" s="12">
        <f t="shared" si="30"/>
        <v>13950</v>
      </c>
      <c r="T1937" t="s">
        <v>136</v>
      </c>
      <c r="U1937" t="s">
        <v>1388</v>
      </c>
      <c r="V1937" s="4">
        <v>310</v>
      </c>
      <c r="W1937">
        <v>0</v>
      </c>
    </row>
    <row r="1938" spans="1:23" hidden="1" x14ac:dyDescent="0.25">
      <c r="A1938" s="2">
        <v>46051.66</v>
      </c>
      <c r="B1938">
        <v>520</v>
      </c>
      <c r="C1938" t="s">
        <v>1386</v>
      </c>
      <c r="D1938" s="3">
        <v>46051</v>
      </c>
      <c r="E1938" s="3">
        <v>46295</v>
      </c>
      <c r="F1938" t="s">
        <v>418</v>
      </c>
      <c r="G1938" t="s">
        <v>1494</v>
      </c>
      <c r="H1938" t="s">
        <v>22</v>
      </c>
      <c r="I1938" t="s">
        <v>41</v>
      </c>
      <c r="J1938" t="s">
        <v>1491</v>
      </c>
      <c r="K1938" t="s">
        <v>24</v>
      </c>
      <c r="L1938" s="4">
        <v>320</v>
      </c>
      <c r="M1938" t="s">
        <v>1387</v>
      </c>
      <c r="N1938" t="s">
        <v>46</v>
      </c>
      <c r="O1938" s="4">
        <v>45</v>
      </c>
      <c r="P1938">
        <v>0</v>
      </c>
      <c r="Q1938" s="4">
        <v>45</v>
      </c>
      <c r="R1938" s="12">
        <f t="shared" si="30"/>
        <v>14400</v>
      </c>
      <c r="T1938" t="s">
        <v>136</v>
      </c>
      <c r="U1938" t="s">
        <v>1388</v>
      </c>
      <c r="V1938" s="4">
        <v>320</v>
      </c>
      <c r="W1938">
        <v>0</v>
      </c>
    </row>
    <row r="1939" spans="1:23" x14ac:dyDescent="0.25">
      <c r="A1939" s="2">
        <v>45799.613125000003</v>
      </c>
      <c r="B1939">
        <v>3861</v>
      </c>
      <c r="C1939" t="s">
        <v>1389</v>
      </c>
      <c r="D1939" s="3">
        <v>45792</v>
      </c>
      <c r="E1939" s="3">
        <v>46142</v>
      </c>
      <c r="F1939" t="s">
        <v>98</v>
      </c>
      <c r="G1939" t="s">
        <v>1493</v>
      </c>
      <c r="H1939" t="s">
        <v>22</v>
      </c>
      <c r="I1939" t="s">
        <v>41</v>
      </c>
      <c r="J1939" t="s">
        <v>1491</v>
      </c>
      <c r="K1939" t="s">
        <v>24</v>
      </c>
      <c r="L1939" s="4">
        <v>345</v>
      </c>
      <c r="M1939" t="s">
        <v>1390</v>
      </c>
      <c r="N1939" t="s">
        <v>26</v>
      </c>
      <c r="O1939" s="4">
        <v>24</v>
      </c>
      <c r="P1939">
        <v>0</v>
      </c>
      <c r="Q1939" s="4">
        <v>24</v>
      </c>
      <c r="R1939" s="12">
        <f t="shared" si="30"/>
        <v>8280</v>
      </c>
      <c r="T1939" t="s">
        <v>151</v>
      </c>
      <c r="U1939" t="s">
        <v>1391</v>
      </c>
      <c r="V1939" s="4">
        <v>345</v>
      </c>
      <c r="W1939">
        <v>0</v>
      </c>
    </row>
    <row r="1940" spans="1:23" x14ac:dyDescent="0.25">
      <c r="A1940" s="2">
        <v>45799.613125000003</v>
      </c>
      <c r="B1940">
        <v>3861</v>
      </c>
      <c r="C1940" t="s">
        <v>1389</v>
      </c>
      <c r="D1940" s="3">
        <v>45792</v>
      </c>
      <c r="E1940" s="3">
        <v>46142</v>
      </c>
      <c r="F1940" t="s">
        <v>98</v>
      </c>
      <c r="H1940" t="s">
        <v>22</v>
      </c>
      <c r="I1940" t="s">
        <v>42</v>
      </c>
      <c r="J1940" t="s">
        <v>1490</v>
      </c>
      <c r="K1940" t="s">
        <v>24</v>
      </c>
      <c r="L1940" s="4">
        <v>240</v>
      </c>
      <c r="M1940" t="s">
        <v>1390</v>
      </c>
      <c r="N1940" t="s">
        <v>26</v>
      </c>
      <c r="O1940" s="4">
        <v>50</v>
      </c>
      <c r="P1940">
        <v>0</v>
      </c>
      <c r="Q1940" s="4">
        <v>50</v>
      </c>
      <c r="R1940" s="12">
        <f t="shared" si="30"/>
        <v>12000</v>
      </c>
      <c r="T1940" t="s">
        <v>151</v>
      </c>
      <c r="U1940" t="s">
        <v>1391</v>
      </c>
      <c r="V1940" s="4">
        <v>240</v>
      </c>
      <c r="W1940">
        <v>0</v>
      </c>
    </row>
    <row r="1941" spans="1:23" x14ac:dyDescent="0.25">
      <c r="A1941" s="2">
        <v>45799.613125000003</v>
      </c>
      <c r="B1941">
        <v>3861</v>
      </c>
      <c r="C1941" t="s">
        <v>1389</v>
      </c>
      <c r="D1941" s="3">
        <v>45792</v>
      </c>
      <c r="E1941" s="3">
        <v>46142</v>
      </c>
      <c r="F1941" t="s">
        <v>98</v>
      </c>
      <c r="G1941" t="s">
        <v>1493</v>
      </c>
      <c r="H1941" t="s">
        <v>22</v>
      </c>
      <c r="I1941" t="s">
        <v>43</v>
      </c>
      <c r="J1941" t="s">
        <v>1491</v>
      </c>
      <c r="K1941" t="s">
        <v>24</v>
      </c>
      <c r="L1941" s="4">
        <v>46</v>
      </c>
      <c r="M1941" t="s">
        <v>1390</v>
      </c>
      <c r="N1941" t="s">
        <v>26</v>
      </c>
      <c r="O1941" s="4">
        <v>72</v>
      </c>
      <c r="P1941">
        <v>0</v>
      </c>
      <c r="Q1941" s="4">
        <v>72</v>
      </c>
      <c r="R1941" s="12">
        <f t="shared" si="30"/>
        <v>3312</v>
      </c>
      <c r="T1941" t="s">
        <v>151</v>
      </c>
      <c r="U1941" t="s">
        <v>1391</v>
      </c>
      <c r="V1941" s="4">
        <v>46</v>
      </c>
      <c r="W1941">
        <v>0</v>
      </c>
    </row>
    <row r="1942" spans="1:23" x14ac:dyDescent="0.25">
      <c r="A1942" s="2">
        <v>45799.613125000003</v>
      </c>
      <c r="B1942">
        <v>3861</v>
      </c>
      <c r="C1942" t="s">
        <v>1389</v>
      </c>
      <c r="D1942" s="3">
        <v>45792</v>
      </c>
      <c r="E1942" s="3">
        <v>46142</v>
      </c>
      <c r="F1942" t="s">
        <v>98</v>
      </c>
      <c r="G1942" t="s">
        <v>1493</v>
      </c>
      <c r="H1942" t="s">
        <v>22</v>
      </c>
      <c r="I1942" t="s">
        <v>38</v>
      </c>
      <c r="J1942" t="s">
        <v>1491</v>
      </c>
      <c r="K1942" t="s">
        <v>24</v>
      </c>
      <c r="L1942" s="4">
        <v>48</v>
      </c>
      <c r="M1942" t="s">
        <v>1390</v>
      </c>
      <c r="N1942" t="s">
        <v>26</v>
      </c>
      <c r="O1942" s="4">
        <v>48</v>
      </c>
      <c r="P1942">
        <v>0</v>
      </c>
      <c r="Q1942" s="4">
        <v>48</v>
      </c>
      <c r="R1942" s="12">
        <f t="shared" si="30"/>
        <v>2304</v>
      </c>
      <c r="T1942" t="s">
        <v>151</v>
      </c>
      <c r="U1942" t="s">
        <v>1391</v>
      </c>
      <c r="V1942" s="4">
        <v>48</v>
      </c>
      <c r="W1942">
        <v>0</v>
      </c>
    </row>
    <row r="1943" spans="1:23" x14ac:dyDescent="0.25">
      <c r="A1943" s="2">
        <v>45799.613125000003</v>
      </c>
      <c r="B1943">
        <v>3861</v>
      </c>
      <c r="C1943" t="s">
        <v>1389</v>
      </c>
      <c r="D1943" s="3">
        <v>45792</v>
      </c>
      <c r="E1943" s="3">
        <v>46142</v>
      </c>
      <c r="F1943" t="s">
        <v>98</v>
      </c>
      <c r="G1943" t="s">
        <v>1493</v>
      </c>
      <c r="H1943" t="s">
        <v>22</v>
      </c>
      <c r="I1943" t="s">
        <v>63</v>
      </c>
      <c r="J1943" t="s">
        <v>1491</v>
      </c>
      <c r="K1943" t="s">
        <v>31</v>
      </c>
      <c r="L1943" s="4">
        <v>190</v>
      </c>
      <c r="M1943" t="s">
        <v>1390</v>
      </c>
      <c r="N1943" t="s">
        <v>26</v>
      </c>
      <c r="O1943" s="4">
        <v>48</v>
      </c>
      <c r="P1943">
        <v>0</v>
      </c>
      <c r="Q1943" s="4">
        <v>48</v>
      </c>
      <c r="R1943" s="12">
        <f t="shared" si="30"/>
        <v>9120</v>
      </c>
      <c r="T1943" t="s">
        <v>151</v>
      </c>
      <c r="U1943" t="s">
        <v>1391</v>
      </c>
      <c r="V1943" s="4">
        <v>190</v>
      </c>
      <c r="W1943">
        <v>0</v>
      </c>
    </row>
    <row r="1944" spans="1:23" x14ac:dyDescent="0.25">
      <c r="A1944" s="2">
        <v>45799.613125000003</v>
      </c>
      <c r="B1944">
        <v>3861</v>
      </c>
      <c r="C1944" t="s">
        <v>1389</v>
      </c>
      <c r="D1944" s="3">
        <v>45792</v>
      </c>
      <c r="E1944" s="3">
        <v>46142</v>
      </c>
      <c r="F1944" t="s">
        <v>98</v>
      </c>
      <c r="G1944" t="s">
        <v>1493</v>
      </c>
      <c r="H1944" t="s">
        <v>22</v>
      </c>
      <c r="I1944" t="s">
        <v>101</v>
      </c>
      <c r="J1944" t="s">
        <v>1491</v>
      </c>
      <c r="K1944" t="s">
        <v>31</v>
      </c>
      <c r="L1944" s="4">
        <v>620</v>
      </c>
      <c r="M1944" t="s">
        <v>1390</v>
      </c>
      <c r="N1944" t="s">
        <v>26</v>
      </c>
      <c r="O1944" s="4">
        <v>24</v>
      </c>
      <c r="P1944">
        <v>0</v>
      </c>
      <c r="Q1944" s="4">
        <v>24</v>
      </c>
      <c r="R1944" s="12">
        <f t="shared" si="30"/>
        <v>14880</v>
      </c>
      <c r="T1944" t="s">
        <v>151</v>
      </c>
      <c r="U1944" t="s">
        <v>1391</v>
      </c>
      <c r="V1944" s="4">
        <v>620</v>
      </c>
      <c r="W1944">
        <v>0</v>
      </c>
    </row>
    <row r="1945" spans="1:23" x14ac:dyDescent="0.25">
      <c r="A1945" s="2">
        <v>45967.632777777777</v>
      </c>
      <c r="B1945">
        <v>4240</v>
      </c>
      <c r="C1945" t="s">
        <v>1389</v>
      </c>
      <c r="D1945" s="3">
        <v>45967</v>
      </c>
      <c r="E1945" s="3">
        <v>46142</v>
      </c>
      <c r="F1945" t="s">
        <v>98</v>
      </c>
      <c r="H1945" t="s">
        <v>22</v>
      </c>
      <c r="I1945" t="s">
        <v>30</v>
      </c>
      <c r="J1945" t="s">
        <v>1490</v>
      </c>
      <c r="K1945" t="s">
        <v>31</v>
      </c>
      <c r="L1945" s="4">
        <v>23</v>
      </c>
      <c r="M1945" t="s">
        <v>1392</v>
      </c>
      <c r="N1945" t="s">
        <v>26</v>
      </c>
      <c r="O1945" s="4">
        <v>60</v>
      </c>
      <c r="P1945">
        <v>0</v>
      </c>
      <c r="Q1945" s="4">
        <v>60</v>
      </c>
      <c r="R1945" s="12">
        <f t="shared" si="30"/>
        <v>1380</v>
      </c>
      <c r="T1945" t="s">
        <v>151</v>
      </c>
      <c r="U1945" t="s">
        <v>1391</v>
      </c>
      <c r="V1945" s="4">
        <v>23</v>
      </c>
      <c r="W1945">
        <v>0</v>
      </c>
    </row>
    <row r="1946" spans="1:23" x14ac:dyDescent="0.25">
      <c r="A1946" s="2">
        <v>45967.632777777777</v>
      </c>
      <c r="B1946">
        <v>4240</v>
      </c>
      <c r="C1946" t="s">
        <v>1389</v>
      </c>
      <c r="D1946" s="3">
        <v>45967</v>
      </c>
      <c r="E1946" s="3">
        <v>46142</v>
      </c>
      <c r="F1946" t="s">
        <v>98</v>
      </c>
      <c r="H1946" t="s">
        <v>22</v>
      </c>
      <c r="I1946" t="s">
        <v>32</v>
      </c>
      <c r="J1946" t="s">
        <v>1490</v>
      </c>
      <c r="K1946" t="s">
        <v>24</v>
      </c>
      <c r="L1946" s="4">
        <v>23</v>
      </c>
      <c r="M1946" t="s">
        <v>1392</v>
      </c>
      <c r="N1946" t="s">
        <v>26</v>
      </c>
      <c r="O1946" s="4">
        <v>40</v>
      </c>
      <c r="P1946">
        <v>0</v>
      </c>
      <c r="Q1946" s="4">
        <v>40</v>
      </c>
      <c r="R1946" s="12">
        <f t="shared" si="30"/>
        <v>920</v>
      </c>
      <c r="T1946" t="s">
        <v>151</v>
      </c>
      <c r="U1946" t="s">
        <v>1391</v>
      </c>
      <c r="V1946" s="4">
        <v>23</v>
      </c>
      <c r="W1946">
        <v>0</v>
      </c>
    </row>
    <row r="1947" spans="1:23" x14ac:dyDescent="0.25">
      <c r="A1947" s="2">
        <v>45967.632777777777</v>
      </c>
      <c r="B1947">
        <v>4240</v>
      </c>
      <c r="C1947" t="s">
        <v>1389</v>
      </c>
      <c r="D1947" s="3">
        <v>45967</v>
      </c>
      <c r="E1947" s="3">
        <v>46142</v>
      </c>
      <c r="F1947" t="s">
        <v>98</v>
      </c>
      <c r="H1947" t="s">
        <v>22</v>
      </c>
      <c r="I1947" t="s">
        <v>177</v>
      </c>
      <c r="J1947" t="s">
        <v>1490</v>
      </c>
      <c r="K1947" t="s">
        <v>24</v>
      </c>
      <c r="L1947" s="4">
        <v>22</v>
      </c>
      <c r="M1947" t="s">
        <v>1392</v>
      </c>
      <c r="N1947" t="s">
        <v>26</v>
      </c>
      <c r="O1947" s="4">
        <v>40</v>
      </c>
      <c r="P1947">
        <v>0</v>
      </c>
      <c r="Q1947" s="4">
        <v>40</v>
      </c>
      <c r="R1947" s="12">
        <f t="shared" si="30"/>
        <v>880</v>
      </c>
      <c r="T1947" t="s">
        <v>151</v>
      </c>
      <c r="U1947" t="s">
        <v>1391</v>
      </c>
      <c r="V1947" s="4">
        <v>22</v>
      </c>
      <c r="W1947">
        <v>0</v>
      </c>
    </row>
    <row r="1948" spans="1:23" x14ac:dyDescent="0.25">
      <c r="A1948" s="2">
        <v>45972.597615740742</v>
      </c>
      <c r="B1948">
        <v>4258</v>
      </c>
      <c r="C1948" t="s">
        <v>1389</v>
      </c>
      <c r="D1948" s="3">
        <v>45972</v>
      </c>
      <c r="E1948" s="3">
        <v>46142</v>
      </c>
      <c r="F1948" t="s">
        <v>98</v>
      </c>
      <c r="H1948" t="s">
        <v>22</v>
      </c>
      <c r="I1948" t="s">
        <v>32</v>
      </c>
      <c r="J1948" t="s">
        <v>1490</v>
      </c>
      <c r="K1948" t="s">
        <v>24</v>
      </c>
      <c r="L1948" s="4">
        <v>23</v>
      </c>
      <c r="M1948" t="s">
        <v>1393</v>
      </c>
      <c r="N1948" t="s">
        <v>26</v>
      </c>
      <c r="O1948" s="4">
        <v>180</v>
      </c>
      <c r="P1948">
        <v>0</v>
      </c>
      <c r="Q1948" s="4">
        <v>180</v>
      </c>
      <c r="R1948" s="12">
        <f t="shared" si="30"/>
        <v>4140</v>
      </c>
      <c r="T1948" t="s">
        <v>151</v>
      </c>
      <c r="U1948" t="s">
        <v>1391</v>
      </c>
      <c r="V1948" s="4">
        <v>23</v>
      </c>
      <c r="W1948">
        <v>0</v>
      </c>
    </row>
    <row r="1949" spans="1:23" x14ac:dyDescent="0.25">
      <c r="A1949" s="2">
        <v>45972.597615740742</v>
      </c>
      <c r="B1949">
        <v>4258</v>
      </c>
      <c r="C1949" t="s">
        <v>1389</v>
      </c>
      <c r="D1949" s="3">
        <v>45972</v>
      </c>
      <c r="E1949" s="3">
        <v>46142</v>
      </c>
      <c r="F1949" t="s">
        <v>98</v>
      </c>
      <c r="H1949" t="s">
        <v>22</v>
      </c>
      <c r="I1949" t="s">
        <v>30</v>
      </c>
      <c r="J1949" t="s">
        <v>1490</v>
      </c>
      <c r="K1949" t="s">
        <v>31</v>
      </c>
      <c r="L1949" s="4">
        <v>23</v>
      </c>
      <c r="M1949" t="s">
        <v>1393</v>
      </c>
      <c r="N1949" t="s">
        <v>26</v>
      </c>
      <c r="O1949" s="4">
        <v>230</v>
      </c>
      <c r="P1949">
        <v>0</v>
      </c>
      <c r="Q1949" s="4">
        <v>230</v>
      </c>
      <c r="R1949" s="12">
        <f t="shared" si="30"/>
        <v>5290</v>
      </c>
      <c r="T1949" t="s">
        <v>151</v>
      </c>
      <c r="U1949" t="s">
        <v>1391</v>
      </c>
      <c r="V1949" s="4">
        <v>23</v>
      </c>
      <c r="W1949">
        <v>0</v>
      </c>
    </row>
    <row r="1950" spans="1:23" x14ac:dyDescent="0.25">
      <c r="A1950" s="2">
        <v>45972.597615740742</v>
      </c>
      <c r="B1950">
        <v>4258</v>
      </c>
      <c r="C1950" t="s">
        <v>1389</v>
      </c>
      <c r="D1950" s="3">
        <v>45972</v>
      </c>
      <c r="E1950" s="3">
        <v>46142</v>
      </c>
      <c r="F1950" t="s">
        <v>98</v>
      </c>
      <c r="H1950" t="s">
        <v>22</v>
      </c>
      <c r="I1950" t="s">
        <v>177</v>
      </c>
      <c r="J1950" t="s">
        <v>1490</v>
      </c>
      <c r="K1950" t="s">
        <v>24</v>
      </c>
      <c r="L1950" s="4">
        <v>22</v>
      </c>
      <c r="M1950" t="s">
        <v>1393</v>
      </c>
      <c r="N1950" t="s">
        <v>26</v>
      </c>
      <c r="O1950" s="4">
        <v>180</v>
      </c>
      <c r="P1950">
        <v>0</v>
      </c>
      <c r="Q1950" s="4">
        <v>180</v>
      </c>
      <c r="R1950" s="12">
        <f t="shared" si="30"/>
        <v>3960</v>
      </c>
      <c r="T1950" t="s">
        <v>151</v>
      </c>
      <c r="U1950" t="s">
        <v>1391</v>
      </c>
      <c r="V1950" s="4">
        <v>22</v>
      </c>
      <c r="W1950">
        <v>0</v>
      </c>
    </row>
    <row r="1951" spans="1:23" hidden="1" x14ac:dyDescent="0.25">
      <c r="A1951" s="2">
        <v>46038.659166666665</v>
      </c>
      <c r="B1951">
        <v>4453</v>
      </c>
      <c r="C1951" t="s">
        <v>1389</v>
      </c>
      <c r="D1951" s="3">
        <v>46038</v>
      </c>
      <c r="E1951" s="3">
        <v>46264</v>
      </c>
      <c r="F1951" t="s">
        <v>98</v>
      </c>
      <c r="G1951" t="s">
        <v>1493</v>
      </c>
      <c r="H1951" t="s">
        <v>22</v>
      </c>
      <c r="I1951" t="s">
        <v>40</v>
      </c>
      <c r="J1951" t="s">
        <v>1491</v>
      </c>
      <c r="K1951" t="s">
        <v>24</v>
      </c>
      <c r="L1951" s="4">
        <v>343</v>
      </c>
      <c r="M1951" t="s">
        <v>1394</v>
      </c>
      <c r="N1951" t="s">
        <v>46</v>
      </c>
      <c r="O1951" s="4">
        <v>9</v>
      </c>
      <c r="P1951">
        <v>0</v>
      </c>
      <c r="Q1951" s="4">
        <v>9</v>
      </c>
      <c r="R1951" s="12">
        <f t="shared" si="30"/>
        <v>3087</v>
      </c>
      <c r="T1951" t="s">
        <v>151</v>
      </c>
      <c r="U1951" t="s">
        <v>1391</v>
      </c>
      <c r="V1951" s="4">
        <v>343</v>
      </c>
      <c r="W1951">
        <v>0</v>
      </c>
    </row>
    <row r="1952" spans="1:23" hidden="1" x14ac:dyDescent="0.25">
      <c r="A1952" s="2">
        <v>46038.659166666665</v>
      </c>
      <c r="B1952">
        <v>4453</v>
      </c>
      <c r="C1952" t="s">
        <v>1389</v>
      </c>
      <c r="D1952" s="3">
        <v>46038</v>
      </c>
      <c r="E1952" s="3">
        <v>46264</v>
      </c>
      <c r="F1952" t="s">
        <v>98</v>
      </c>
      <c r="G1952" t="s">
        <v>1493</v>
      </c>
      <c r="H1952" t="s">
        <v>22</v>
      </c>
      <c r="I1952" t="s">
        <v>63</v>
      </c>
      <c r="J1952" t="s">
        <v>1491</v>
      </c>
      <c r="K1952" t="s">
        <v>31</v>
      </c>
      <c r="L1952" s="4">
        <v>180</v>
      </c>
      <c r="M1952" t="s">
        <v>1394</v>
      </c>
      <c r="N1952" t="s">
        <v>46</v>
      </c>
      <c r="O1952" s="4">
        <v>32</v>
      </c>
      <c r="P1952">
        <v>0</v>
      </c>
      <c r="Q1952" s="4">
        <v>32</v>
      </c>
      <c r="R1952" s="12">
        <f t="shared" si="30"/>
        <v>5760</v>
      </c>
      <c r="T1952" t="s">
        <v>151</v>
      </c>
      <c r="U1952" t="s">
        <v>1391</v>
      </c>
      <c r="V1952" s="4">
        <v>180</v>
      </c>
      <c r="W1952">
        <v>0</v>
      </c>
    </row>
    <row r="1953" spans="1:23" hidden="1" x14ac:dyDescent="0.25">
      <c r="A1953" s="2">
        <v>46038.659166666665</v>
      </c>
      <c r="B1953">
        <v>4453</v>
      </c>
      <c r="C1953" t="s">
        <v>1389</v>
      </c>
      <c r="D1953" s="3">
        <v>46038</v>
      </c>
      <c r="E1953" s="3">
        <v>46264</v>
      </c>
      <c r="F1953" t="s">
        <v>98</v>
      </c>
      <c r="G1953" t="s">
        <v>1493</v>
      </c>
      <c r="H1953" t="s">
        <v>22</v>
      </c>
      <c r="I1953" t="s">
        <v>38</v>
      </c>
      <c r="J1953" t="s">
        <v>1491</v>
      </c>
      <c r="K1953" t="s">
        <v>24</v>
      </c>
      <c r="L1953" s="4">
        <v>48</v>
      </c>
      <c r="M1953" t="s">
        <v>1394</v>
      </c>
      <c r="N1953" t="s">
        <v>46</v>
      </c>
      <c r="O1953" s="4">
        <v>45</v>
      </c>
      <c r="P1953">
        <v>0</v>
      </c>
      <c r="Q1953" s="4">
        <v>45</v>
      </c>
      <c r="R1953" s="12">
        <f t="shared" si="30"/>
        <v>2160</v>
      </c>
      <c r="T1953" t="s">
        <v>151</v>
      </c>
      <c r="U1953" t="s">
        <v>1391</v>
      </c>
      <c r="V1953" s="4">
        <v>48</v>
      </c>
      <c r="W1953">
        <v>0</v>
      </c>
    </row>
    <row r="1954" spans="1:23" hidden="1" x14ac:dyDescent="0.25">
      <c r="A1954" s="2">
        <v>46038.659166666665</v>
      </c>
      <c r="B1954">
        <v>4453</v>
      </c>
      <c r="C1954" t="s">
        <v>1389</v>
      </c>
      <c r="D1954" s="3">
        <v>46038</v>
      </c>
      <c r="E1954" s="3">
        <v>46264</v>
      </c>
      <c r="F1954" t="s">
        <v>98</v>
      </c>
      <c r="G1954" t="s">
        <v>1493</v>
      </c>
      <c r="H1954" t="s">
        <v>22</v>
      </c>
      <c r="I1954" t="s">
        <v>41</v>
      </c>
      <c r="J1954" t="s">
        <v>1491</v>
      </c>
      <c r="K1954" t="s">
        <v>24</v>
      </c>
      <c r="L1954" s="4">
        <v>343</v>
      </c>
      <c r="M1954" t="s">
        <v>1394</v>
      </c>
      <c r="N1954" t="s">
        <v>46</v>
      </c>
      <c r="O1954" s="4">
        <v>9</v>
      </c>
      <c r="P1954">
        <v>0</v>
      </c>
      <c r="Q1954" s="4">
        <v>9</v>
      </c>
      <c r="R1954" s="12">
        <f t="shared" si="30"/>
        <v>3087</v>
      </c>
      <c r="T1954" t="s">
        <v>151</v>
      </c>
      <c r="U1954" t="s">
        <v>1391</v>
      </c>
      <c r="V1954" s="4">
        <v>343</v>
      </c>
      <c r="W1954">
        <v>0</v>
      </c>
    </row>
    <row r="1955" spans="1:23" hidden="1" x14ac:dyDescent="0.25">
      <c r="A1955" s="2">
        <v>46038.659166666665</v>
      </c>
      <c r="B1955">
        <v>4453</v>
      </c>
      <c r="C1955" t="s">
        <v>1389</v>
      </c>
      <c r="D1955" s="3">
        <v>46038</v>
      </c>
      <c r="E1955" s="3">
        <v>46264</v>
      </c>
      <c r="F1955" t="s">
        <v>98</v>
      </c>
      <c r="H1955" t="s">
        <v>22</v>
      </c>
      <c r="I1955" t="s">
        <v>42</v>
      </c>
      <c r="J1955" t="s">
        <v>1490</v>
      </c>
      <c r="K1955" t="s">
        <v>24</v>
      </c>
      <c r="L1955" s="4">
        <v>238</v>
      </c>
      <c r="M1955" t="s">
        <v>1394</v>
      </c>
      <c r="N1955" t="s">
        <v>46</v>
      </c>
      <c r="O1955" s="4">
        <v>35</v>
      </c>
      <c r="P1955">
        <v>0</v>
      </c>
      <c r="Q1955" s="4">
        <v>35</v>
      </c>
      <c r="R1955" s="12">
        <f t="shared" si="30"/>
        <v>8330</v>
      </c>
      <c r="T1955" t="s">
        <v>151</v>
      </c>
      <c r="U1955" t="s">
        <v>1391</v>
      </c>
      <c r="V1955" s="4">
        <v>238</v>
      </c>
      <c r="W1955">
        <v>0</v>
      </c>
    </row>
    <row r="1956" spans="1:23" x14ac:dyDescent="0.25">
      <c r="A1956" s="2">
        <v>45932.70380787037</v>
      </c>
      <c r="B1956">
        <v>4121</v>
      </c>
      <c r="C1956" t="s">
        <v>1395</v>
      </c>
      <c r="D1956" s="3">
        <v>45932</v>
      </c>
      <c r="E1956" s="3">
        <v>46142</v>
      </c>
      <c r="F1956" t="s">
        <v>98</v>
      </c>
      <c r="H1956" t="s">
        <v>22</v>
      </c>
      <c r="I1956" t="s">
        <v>23</v>
      </c>
      <c r="J1956" t="s">
        <v>1490</v>
      </c>
      <c r="K1956" t="s">
        <v>24</v>
      </c>
      <c r="L1956" s="4">
        <v>17</v>
      </c>
      <c r="M1956" t="s">
        <v>1396</v>
      </c>
      <c r="N1956" t="s">
        <v>26</v>
      </c>
      <c r="O1956" s="4">
        <v>580</v>
      </c>
      <c r="P1956">
        <v>0</v>
      </c>
      <c r="Q1956" s="4">
        <v>580</v>
      </c>
      <c r="R1956" s="12">
        <f t="shared" si="30"/>
        <v>9860</v>
      </c>
      <c r="T1956" t="s">
        <v>151</v>
      </c>
      <c r="U1956" t="s">
        <v>1397</v>
      </c>
      <c r="V1956" s="4">
        <v>17</v>
      </c>
      <c r="W1956">
        <v>0</v>
      </c>
    </row>
    <row r="1957" spans="1:23" x14ac:dyDescent="0.25">
      <c r="A1957" s="2">
        <v>45932.70380787037</v>
      </c>
      <c r="B1957">
        <v>4121</v>
      </c>
      <c r="C1957" t="s">
        <v>1395</v>
      </c>
      <c r="D1957" s="3">
        <v>45932</v>
      </c>
      <c r="E1957" s="3">
        <v>46142</v>
      </c>
      <c r="F1957" t="s">
        <v>98</v>
      </c>
      <c r="H1957" t="s">
        <v>22</v>
      </c>
      <c r="I1957" t="s">
        <v>30</v>
      </c>
      <c r="J1957" t="s">
        <v>1490</v>
      </c>
      <c r="K1957" t="s">
        <v>31</v>
      </c>
      <c r="L1957" s="4">
        <v>22</v>
      </c>
      <c r="M1957" t="s">
        <v>1396</v>
      </c>
      <c r="N1957" t="s">
        <v>26</v>
      </c>
      <c r="O1957" s="4">
        <v>870</v>
      </c>
      <c r="P1957">
        <v>0</v>
      </c>
      <c r="Q1957" s="4">
        <v>870</v>
      </c>
      <c r="R1957" s="12">
        <f t="shared" si="30"/>
        <v>19140</v>
      </c>
      <c r="T1957" t="s">
        <v>151</v>
      </c>
      <c r="U1957" t="s">
        <v>1397</v>
      </c>
      <c r="V1957" s="4">
        <v>22</v>
      </c>
      <c r="W1957">
        <v>0</v>
      </c>
    </row>
    <row r="1958" spans="1:23" x14ac:dyDescent="0.25">
      <c r="A1958" s="2">
        <v>45932.70380787037</v>
      </c>
      <c r="B1958">
        <v>4121</v>
      </c>
      <c r="C1958" t="s">
        <v>1395</v>
      </c>
      <c r="D1958" s="3">
        <v>45932</v>
      </c>
      <c r="E1958" s="3">
        <v>46142</v>
      </c>
      <c r="F1958" t="s">
        <v>98</v>
      </c>
      <c r="H1958" t="s">
        <v>22</v>
      </c>
      <c r="I1958" t="s">
        <v>177</v>
      </c>
      <c r="J1958" t="s">
        <v>1490</v>
      </c>
      <c r="K1958" t="s">
        <v>24</v>
      </c>
      <c r="L1958" s="4">
        <v>20</v>
      </c>
      <c r="M1958" t="s">
        <v>1396</v>
      </c>
      <c r="N1958" t="s">
        <v>26</v>
      </c>
      <c r="O1958" s="4">
        <v>580</v>
      </c>
      <c r="P1958">
        <v>0</v>
      </c>
      <c r="Q1958" s="4">
        <v>580</v>
      </c>
      <c r="R1958" s="12">
        <f t="shared" si="30"/>
        <v>11600</v>
      </c>
      <c r="T1958" t="s">
        <v>151</v>
      </c>
      <c r="U1958" t="s">
        <v>1397</v>
      </c>
      <c r="V1958" s="4">
        <v>20</v>
      </c>
      <c r="W1958">
        <v>0</v>
      </c>
    </row>
    <row r="1959" spans="1:23" x14ac:dyDescent="0.25">
      <c r="A1959" s="2">
        <v>45932.70380787037</v>
      </c>
      <c r="B1959">
        <v>4121</v>
      </c>
      <c r="C1959" t="s">
        <v>1395</v>
      </c>
      <c r="D1959" s="3">
        <v>45932</v>
      </c>
      <c r="E1959" s="3">
        <v>46142</v>
      </c>
      <c r="F1959" t="s">
        <v>98</v>
      </c>
      <c r="H1959" t="s">
        <v>22</v>
      </c>
      <c r="I1959" t="s">
        <v>34</v>
      </c>
      <c r="J1959" t="s">
        <v>1490</v>
      </c>
      <c r="K1959" t="s">
        <v>31</v>
      </c>
      <c r="L1959" s="4">
        <v>25</v>
      </c>
      <c r="M1959" t="s">
        <v>1396</v>
      </c>
      <c r="N1959" t="s">
        <v>26</v>
      </c>
      <c r="O1959" s="4">
        <v>580</v>
      </c>
      <c r="P1959">
        <v>0</v>
      </c>
      <c r="Q1959" s="4">
        <v>580</v>
      </c>
      <c r="R1959" s="12">
        <f t="shared" si="30"/>
        <v>14500</v>
      </c>
      <c r="T1959" t="s">
        <v>151</v>
      </c>
      <c r="U1959" t="s">
        <v>1397</v>
      </c>
      <c r="V1959" s="4">
        <v>25</v>
      </c>
      <c r="W1959">
        <v>0</v>
      </c>
    </row>
    <row r="1960" spans="1:23" x14ac:dyDescent="0.25">
      <c r="A1960" s="2">
        <v>45932.70380787037</v>
      </c>
      <c r="B1960">
        <v>4121</v>
      </c>
      <c r="C1960" t="s">
        <v>1395</v>
      </c>
      <c r="D1960" s="3">
        <v>45932</v>
      </c>
      <c r="E1960" s="3">
        <v>46142</v>
      </c>
      <c r="F1960" t="s">
        <v>98</v>
      </c>
      <c r="H1960" t="s">
        <v>22</v>
      </c>
      <c r="I1960" t="s">
        <v>37</v>
      </c>
      <c r="J1960" t="s">
        <v>1490</v>
      </c>
      <c r="K1960" t="s">
        <v>31</v>
      </c>
      <c r="L1960" s="4">
        <v>85</v>
      </c>
      <c r="M1960" t="s">
        <v>1396</v>
      </c>
      <c r="N1960" t="s">
        <v>26</v>
      </c>
      <c r="O1960" s="4">
        <v>90</v>
      </c>
      <c r="P1960">
        <v>0</v>
      </c>
      <c r="Q1960" s="4">
        <v>90</v>
      </c>
      <c r="R1960" s="12">
        <f t="shared" si="30"/>
        <v>7650</v>
      </c>
      <c r="T1960" t="s">
        <v>151</v>
      </c>
      <c r="U1960" t="s">
        <v>1397</v>
      </c>
      <c r="V1960" s="4">
        <v>85</v>
      </c>
      <c r="W1960">
        <v>0</v>
      </c>
    </row>
    <row r="1961" spans="1:23" x14ac:dyDescent="0.25">
      <c r="A1961" s="2">
        <v>45932.70380787037</v>
      </c>
      <c r="B1961">
        <v>4121</v>
      </c>
      <c r="C1961" t="s">
        <v>1395</v>
      </c>
      <c r="D1961" s="3">
        <v>45932</v>
      </c>
      <c r="E1961" s="3">
        <v>46142</v>
      </c>
      <c r="F1961" t="s">
        <v>98</v>
      </c>
      <c r="H1961" t="s">
        <v>22</v>
      </c>
      <c r="I1961" t="s">
        <v>29</v>
      </c>
      <c r="J1961" t="s">
        <v>1490</v>
      </c>
      <c r="K1961" t="s">
        <v>24</v>
      </c>
      <c r="L1961" s="4">
        <v>155</v>
      </c>
      <c r="M1961" t="s">
        <v>1396</v>
      </c>
      <c r="N1961" t="s">
        <v>26</v>
      </c>
      <c r="O1961" s="4">
        <v>120</v>
      </c>
      <c r="P1961">
        <v>0</v>
      </c>
      <c r="Q1961" s="4">
        <v>120</v>
      </c>
      <c r="R1961" s="12">
        <f t="shared" si="30"/>
        <v>18600</v>
      </c>
      <c r="T1961" t="s">
        <v>151</v>
      </c>
      <c r="U1961" t="s">
        <v>1397</v>
      </c>
      <c r="V1961" s="4">
        <v>155</v>
      </c>
      <c r="W1961">
        <v>0</v>
      </c>
    </row>
    <row r="1962" spans="1:23" x14ac:dyDescent="0.25">
      <c r="A1962" s="2">
        <v>45932.70380787037</v>
      </c>
      <c r="B1962">
        <v>4121</v>
      </c>
      <c r="C1962" t="s">
        <v>1395</v>
      </c>
      <c r="D1962" s="3">
        <v>45932</v>
      </c>
      <c r="E1962" s="3">
        <v>46142</v>
      </c>
      <c r="F1962" t="s">
        <v>98</v>
      </c>
      <c r="H1962" t="s">
        <v>22</v>
      </c>
      <c r="I1962" t="s">
        <v>36</v>
      </c>
      <c r="J1962" t="s">
        <v>1490</v>
      </c>
      <c r="K1962" t="s">
        <v>24</v>
      </c>
      <c r="L1962" s="4">
        <v>69</v>
      </c>
      <c r="M1962" t="s">
        <v>1396</v>
      </c>
      <c r="N1962" t="s">
        <v>26</v>
      </c>
      <c r="O1962" s="4">
        <v>115</v>
      </c>
      <c r="P1962">
        <v>0</v>
      </c>
      <c r="Q1962" s="4">
        <v>115</v>
      </c>
      <c r="R1962" s="12">
        <f t="shared" si="30"/>
        <v>7935</v>
      </c>
      <c r="T1962" t="s">
        <v>151</v>
      </c>
      <c r="U1962" t="s">
        <v>1397</v>
      </c>
      <c r="V1962" s="4">
        <v>69</v>
      </c>
      <c r="W1962">
        <v>0</v>
      </c>
    </row>
    <row r="1963" spans="1:23" x14ac:dyDescent="0.25">
      <c r="A1963" s="2">
        <v>45932.70380787037</v>
      </c>
      <c r="B1963">
        <v>4121</v>
      </c>
      <c r="C1963" t="s">
        <v>1395</v>
      </c>
      <c r="D1963" s="3">
        <v>45932</v>
      </c>
      <c r="E1963" s="3">
        <v>46142</v>
      </c>
      <c r="F1963" t="s">
        <v>98</v>
      </c>
      <c r="H1963" t="s">
        <v>22</v>
      </c>
      <c r="I1963" t="s">
        <v>35</v>
      </c>
      <c r="J1963" t="s">
        <v>1490</v>
      </c>
      <c r="K1963" t="s">
        <v>24</v>
      </c>
      <c r="L1963" s="4">
        <v>69</v>
      </c>
      <c r="M1963" t="s">
        <v>1396</v>
      </c>
      <c r="N1963" t="s">
        <v>26</v>
      </c>
      <c r="O1963" s="4">
        <v>145</v>
      </c>
      <c r="P1963">
        <v>0</v>
      </c>
      <c r="Q1963" s="4">
        <v>145</v>
      </c>
      <c r="R1963" s="12">
        <f t="shared" si="30"/>
        <v>10005</v>
      </c>
      <c r="T1963" t="s">
        <v>151</v>
      </c>
      <c r="U1963" t="s">
        <v>1397</v>
      </c>
      <c r="V1963" s="4">
        <v>69</v>
      </c>
      <c r="W1963">
        <v>0</v>
      </c>
    </row>
    <row r="1964" spans="1:23" x14ac:dyDescent="0.25">
      <c r="A1964" s="2">
        <v>45932.70380787037</v>
      </c>
      <c r="B1964">
        <v>4121</v>
      </c>
      <c r="C1964" t="s">
        <v>1395</v>
      </c>
      <c r="D1964" s="3">
        <v>45932</v>
      </c>
      <c r="E1964" s="3">
        <v>46142</v>
      </c>
      <c r="F1964" t="s">
        <v>98</v>
      </c>
      <c r="H1964" t="s">
        <v>22</v>
      </c>
      <c r="I1964" t="s">
        <v>335</v>
      </c>
      <c r="K1964" t="s">
        <v>24</v>
      </c>
      <c r="L1964" s="4">
        <v>12</v>
      </c>
      <c r="M1964" t="s">
        <v>1396</v>
      </c>
      <c r="N1964" t="s">
        <v>26</v>
      </c>
      <c r="O1964" s="4">
        <v>875</v>
      </c>
      <c r="P1964">
        <v>0</v>
      </c>
      <c r="Q1964" s="4">
        <v>875</v>
      </c>
      <c r="R1964" s="12">
        <f t="shared" si="30"/>
        <v>10500</v>
      </c>
      <c r="T1964" t="s">
        <v>151</v>
      </c>
      <c r="U1964" t="s">
        <v>1397</v>
      </c>
      <c r="V1964" s="4">
        <v>12</v>
      </c>
      <c r="W1964">
        <v>0</v>
      </c>
    </row>
    <row r="1965" spans="1:23" x14ac:dyDescent="0.25">
      <c r="A1965" s="2">
        <v>45932.70380787037</v>
      </c>
      <c r="B1965">
        <v>4121</v>
      </c>
      <c r="C1965" t="s">
        <v>1395</v>
      </c>
      <c r="D1965" s="3">
        <v>45932</v>
      </c>
      <c r="E1965" s="3">
        <v>46142</v>
      </c>
      <c r="F1965" t="s">
        <v>98</v>
      </c>
      <c r="H1965" t="s">
        <v>22</v>
      </c>
      <c r="I1965" t="s">
        <v>192</v>
      </c>
      <c r="J1965" t="s">
        <v>1490</v>
      </c>
      <c r="K1965" t="s">
        <v>24</v>
      </c>
      <c r="L1965" s="4">
        <v>16.5</v>
      </c>
      <c r="M1965" t="s">
        <v>1396</v>
      </c>
      <c r="N1965" t="s">
        <v>26</v>
      </c>
      <c r="O1965" s="4">
        <v>580</v>
      </c>
      <c r="P1965">
        <v>0</v>
      </c>
      <c r="Q1965" s="4">
        <v>580</v>
      </c>
      <c r="R1965" s="12">
        <f t="shared" si="30"/>
        <v>9570</v>
      </c>
      <c r="T1965" t="s">
        <v>151</v>
      </c>
      <c r="U1965" t="s">
        <v>1397</v>
      </c>
      <c r="V1965" s="4">
        <v>16.5</v>
      </c>
      <c r="W1965">
        <v>0</v>
      </c>
    </row>
    <row r="1966" spans="1:23" x14ac:dyDescent="0.25">
      <c r="A1966" s="2">
        <v>46002.690358796295</v>
      </c>
      <c r="B1966">
        <v>4346</v>
      </c>
      <c r="C1966" t="s">
        <v>1395</v>
      </c>
      <c r="D1966" s="3">
        <v>46002</v>
      </c>
      <c r="E1966" s="3">
        <v>46142</v>
      </c>
      <c r="F1966" t="s">
        <v>98</v>
      </c>
      <c r="H1966" t="s">
        <v>22</v>
      </c>
      <c r="I1966" t="s">
        <v>32</v>
      </c>
      <c r="J1966" t="s">
        <v>1490</v>
      </c>
      <c r="K1966" t="s">
        <v>24</v>
      </c>
      <c r="L1966" s="4">
        <v>23</v>
      </c>
      <c r="M1966" t="s">
        <v>1398</v>
      </c>
      <c r="N1966" t="s">
        <v>26</v>
      </c>
      <c r="O1966" s="4">
        <v>100</v>
      </c>
      <c r="P1966">
        <v>0</v>
      </c>
      <c r="Q1966" s="4">
        <v>100</v>
      </c>
      <c r="R1966" s="12">
        <f t="shared" si="30"/>
        <v>2300</v>
      </c>
      <c r="T1966" t="s">
        <v>151</v>
      </c>
      <c r="U1966" t="s">
        <v>1397</v>
      </c>
      <c r="V1966" s="4">
        <v>23</v>
      </c>
      <c r="W1966">
        <v>0</v>
      </c>
    </row>
    <row r="1967" spans="1:23" x14ac:dyDescent="0.25">
      <c r="A1967" s="2">
        <v>46028.464837962965</v>
      </c>
      <c r="B1967">
        <v>4409</v>
      </c>
      <c r="C1967" t="s">
        <v>1395</v>
      </c>
      <c r="D1967" s="3">
        <v>46028</v>
      </c>
      <c r="E1967" s="3">
        <v>46142</v>
      </c>
      <c r="F1967" t="s">
        <v>98</v>
      </c>
      <c r="H1967" t="s">
        <v>22</v>
      </c>
      <c r="I1967" t="s">
        <v>35</v>
      </c>
      <c r="J1967" t="s">
        <v>1490</v>
      </c>
      <c r="K1967" t="s">
        <v>24</v>
      </c>
      <c r="L1967" s="4">
        <v>69</v>
      </c>
      <c r="M1967" t="s">
        <v>1399</v>
      </c>
      <c r="N1967" t="s">
        <v>26</v>
      </c>
      <c r="O1967" s="4">
        <v>20</v>
      </c>
      <c r="P1967">
        <v>0</v>
      </c>
      <c r="Q1967" s="4">
        <v>20</v>
      </c>
      <c r="R1967" s="12">
        <f t="shared" si="30"/>
        <v>1380</v>
      </c>
      <c r="T1967" t="s">
        <v>151</v>
      </c>
      <c r="U1967" t="s">
        <v>1397</v>
      </c>
      <c r="V1967" s="4">
        <v>69</v>
      </c>
      <c r="W1967">
        <v>0</v>
      </c>
    </row>
    <row r="1968" spans="1:23" hidden="1" x14ac:dyDescent="0.25">
      <c r="A1968" s="2">
        <v>46064.355416666665</v>
      </c>
      <c r="B1968">
        <v>4552</v>
      </c>
      <c r="C1968" t="s">
        <v>1395</v>
      </c>
      <c r="D1968" s="3">
        <v>46062</v>
      </c>
      <c r="E1968" s="3">
        <v>46264</v>
      </c>
      <c r="F1968" t="s">
        <v>98</v>
      </c>
      <c r="H1968" t="s">
        <v>22</v>
      </c>
      <c r="I1968" t="s">
        <v>29</v>
      </c>
      <c r="J1968" t="s">
        <v>1490</v>
      </c>
      <c r="K1968" t="s">
        <v>24</v>
      </c>
      <c r="L1968" s="4">
        <v>150</v>
      </c>
      <c r="M1968" t="s">
        <v>1400</v>
      </c>
      <c r="N1968" t="s">
        <v>46</v>
      </c>
      <c r="O1968" s="4">
        <v>100</v>
      </c>
      <c r="P1968">
        <v>0</v>
      </c>
      <c r="Q1968" s="4">
        <v>100</v>
      </c>
      <c r="R1968" s="12">
        <f t="shared" si="30"/>
        <v>15000</v>
      </c>
      <c r="T1968" t="s">
        <v>151</v>
      </c>
      <c r="U1968" t="s">
        <v>1397</v>
      </c>
      <c r="V1968" s="4">
        <v>150</v>
      </c>
      <c r="W1968">
        <v>0</v>
      </c>
    </row>
    <row r="1969" spans="1:23" hidden="1" x14ac:dyDescent="0.25">
      <c r="A1969" s="2">
        <v>46064.355416666665</v>
      </c>
      <c r="B1969">
        <v>4552</v>
      </c>
      <c r="C1969" t="s">
        <v>1395</v>
      </c>
      <c r="D1969" s="3">
        <v>46062</v>
      </c>
      <c r="E1969" s="3">
        <v>46264</v>
      </c>
      <c r="F1969" t="s">
        <v>98</v>
      </c>
      <c r="H1969" t="s">
        <v>22</v>
      </c>
      <c r="I1969" t="s">
        <v>177</v>
      </c>
      <c r="J1969" t="s">
        <v>1490</v>
      </c>
      <c r="K1969" t="s">
        <v>24</v>
      </c>
      <c r="L1969" s="4">
        <v>19</v>
      </c>
      <c r="M1969" t="s">
        <v>1400</v>
      </c>
      <c r="N1969" t="s">
        <v>46</v>
      </c>
      <c r="O1969" s="4">
        <v>240</v>
      </c>
      <c r="P1969">
        <v>0</v>
      </c>
      <c r="Q1969" s="4">
        <v>240</v>
      </c>
      <c r="R1969" s="12">
        <f t="shared" si="30"/>
        <v>4560</v>
      </c>
      <c r="T1969" t="s">
        <v>151</v>
      </c>
      <c r="U1969" t="s">
        <v>1397</v>
      </c>
      <c r="V1969" s="4">
        <v>19</v>
      </c>
      <c r="W1969">
        <v>0</v>
      </c>
    </row>
    <row r="1970" spans="1:23" hidden="1" x14ac:dyDescent="0.25">
      <c r="A1970" s="2">
        <v>46064.355416666665</v>
      </c>
      <c r="B1970">
        <v>4552</v>
      </c>
      <c r="C1970" t="s">
        <v>1395</v>
      </c>
      <c r="D1970" s="3">
        <v>46062</v>
      </c>
      <c r="E1970" s="3">
        <v>46264</v>
      </c>
      <c r="F1970" t="s">
        <v>98</v>
      </c>
      <c r="H1970" t="s">
        <v>22</v>
      </c>
      <c r="I1970" t="s">
        <v>23</v>
      </c>
      <c r="J1970" t="s">
        <v>1490</v>
      </c>
      <c r="K1970" t="s">
        <v>24</v>
      </c>
      <c r="L1970" s="4">
        <v>16</v>
      </c>
      <c r="M1970" t="s">
        <v>1400</v>
      </c>
      <c r="N1970" t="s">
        <v>46</v>
      </c>
      <c r="O1970" s="4">
        <v>460</v>
      </c>
      <c r="P1970">
        <v>0</v>
      </c>
      <c r="Q1970" s="4">
        <v>460</v>
      </c>
      <c r="R1970" s="12">
        <f t="shared" si="30"/>
        <v>7360</v>
      </c>
      <c r="T1970" t="s">
        <v>151</v>
      </c>
      <c r="U1970" t="s">
        <v>1397</v>
      </c>
      <c r="V1970" s="4">
        <v>16</v>
      </c>
      <c r="W1970">
        <v>0</v>
      </c>
    </row>
    <row r="1971" spans="1:23" hidden="1" x14ac:dyDescent="0.25">
      <c r="A1971" s="2">
        <v>46064.355416666665</v>
      </c>
      <c r="B1971">
        <v>4552</v>
      </c>
      <c r="C1971" t="s">
        <v>1395</v>
      </c>
      <c r="D1971" s="3">
        <v>46062</v>
      </c>
      <c r="E1971" s="3">
        <v>46264</v>
      </c>
      <c r="F1971" t="s">
        <v>98</v>
      </c>
      <c r="H1971" t="s">
        <v>22</v>
      </c>
      <c r="I1971" t="s">
        <v>35</v>
      </c>
      <c r="J1971" t="s">
        <v>1490</v>
      </c>
      <c r="K1971" t="s">
        <v>24</v>
      </c>
      <c r="L1971" s="4">
        <v>69</v>
      </c>
      <c r="M1971" t="s">
        <v>1400</v>
      </c>
      <c r="N1971" t="s">
        <v>46</v>
      </c>
      <c r="O1971" s="4">
        <v>110</v>
      </c>
      <c r="P1971">
        <v>0</v>
      </c>
      <c r="Q1971" s="4">
        <v>110</v>
      </c>
      <c r="R1971" s="12">
        <f t="shared" si="30"/>
        <v>7590</v>
      </c>
      <c r="T1971" t="s">
        <v>151</v>
      </c>
      <c r="U1971" t="s">
        <v>1397</v>
      </c>
      <c r="V1971" s="4">
        <v>69</v>
      </c>
      <c r="W1971">
        <v>0</v>
      </c>
    </row>
    <row r="1972" spans="1:23" hidden="1" x14ac:dyDescent="0.25">
      <c r="A1972" s="2">
        <v>46064.355416666665</v>
      </c>
      <c r="B1972">
        <v>4552</v>
      </c>
      <c r="C1972" t="s">
        <v>1395</v>
      </c>
      <c r="D1972" s="3">
        <v>46062</v>
      </c>
      <c r="E1972" s="3">
        <v>46264</v>
      </c>
      <c r="F1972" t="s">
        <v>98</v>
      </c>
      <c r="H1972" t="s">
        <v>22</v>
      </c>
      <c r="I1972" t="s">
        <v>36</v>
      </c>
      <c r="J1972" t="s">
        <v>1490</v>
      </c>
      <c r="K1972" t="s">
        <v>24</v>
      </c>
      <c r="L1972" s="4">
        <v>69</v>
      </c>
      <c r="M1972" t="s">
        <v>1400</v>
      </c>
      <c r="N1972" t="s">
        <v>46</v>
      </c>
      <c r="O1972" s="4">
        <v>50</v>
      </c>
      <c r="P1972">
        <v>0</v>
      </c>
      <c r="Q1972" s="4">
        <v>50</v>
      </c>
      <c r="R1972" s="12">
        <f t="shared" si="30"/>
        <v>3450</v>
      </c>
      <c r="T1972" t="s">
        <v>151</v>
      </c>
      <c r="U1972" t="s">
        <v>1397</v>
      </c>
      <c r="V1972" s="4">
        <v>69</v>
      </c>
      <c r="W1972">
        <v>0</v>
      </c>
    </row>
    <row r="1973" spans="1:23" hidden="1" x14ac:dyDescent="0.25">
      <c r="A1973" s="2">
        <v>46064.355416666665</v>
      </c>
      <c r="B1973">
        <v>4552</v>
      </c>
      <c r="C1973" t="s">
        <v>1395</v>
      </c>
      <c r="D1973" s="3">
        <v>46062</v>
      </c>
      <c r="E1973" s="3">
        <v>46264</v>
      </c>
      <c r="F1973" t="s">
        <v>98</v>
      </c>
      <c r="H1973" t="s">
        <v>22</v>
      </c>
      <c r="I1973" t="s">
        <v>335</v>
      </c>
      <c r="K1973" t="s">
        <v>24</v>
      </c>
      <c r="L1973" s="4">
        <v>12</v>
      </c>
      <c r="M1973" t="s">
        <v>1400</v>
      </c>
      <c r="N1973" t="s">
        <v>46</v>
      </c>
      <c r="O1973" s="4">
        <v>325</v>
      </c>
      <c r="P1973">
        <v>0</v>
      </c>
      <c r="Q1973" s="4">
        <v>325</v>
      </c>
      <c r="R1973" s="12">
        <f t="shared" si="30"/>
        <v>3900</v>
      </c>
      <c r="T1973" t="s">
        <v>151</v>
      </c>
      <c r="U1973" t="s">
        <v>1397</v>
      </c>
      <c r="V1973" s="4">
        <v>12</v>
      </c>
      <c r="W1973">
        <v>0</v>
      </c>
    </row>
    <row r="1974" spans="1:23" hidden="1" x14ac:dyDescent="0.25">
      <c r="A1974" s="2">
        <v>46064.355416666665</v>
      </c>
      <c r="B1974">
        <v>4552</v>
      </c>
      <c r="C1974" t="s">
        <v>1395</v>
      </c>
      <c r="D1974" s="3">
        <v>46062</v>
      </c>
      <c r="E1974" s="3">
        <v>46264</v>
      </c>
      <c r="F1974" t="s">
        <v>98</v>
      </c>
      <c r="G1974" t="s">
        <v>1493</v>
      </c>
      <c r="H1974" t="s">
        <v>22</v>
      </c>
      <c r="I1974" t="s">
        <v>38</v>
      </c>
      <c r="J1974" t="s">
        <v>1491</v>
      </c>
      <c r="K1974" t="s">
        <v>24</v>
      </c>
      <c r="L1974" s="4">
        <v>44</v>
      </c>
      <c r="M1974" t="s">
        <v>1400</v>
      </c>
      <c r="N1974" t="s">
        <v>46</v>
      </c>
      <c r="O1974" s="4">
        <v>48</v>
      </c>
      <c r="P1974">
        <v>0</v>
      </c>
      <c r="Q1974" s="4">
        <v>48</v>
      </c>
      <c r="R1974" s="12">
        <f t="shared" si="30"/>
        <v>2112</v>
      </c>
      <c r="T1974" t="s">
        <v>151</v>
      </c>
      <c r="U1974" t="s">
        <v>1397</v>
      </c>
      <c r="V1974" s="4">
        <v>44</v>
      </c>
      <c r="W1974">
        <v>0</v>
      </c>
    </row>
    <row r="1975" spans="1:23" hidden="1" x14ac:dyDescent="0.25">
      <c r="A1975" s="2">
        <v>46064.355416666665</v>
      </c>
      <c r="B1975">
        <v>4552</v>
      </c>
      <c r="C1975" t="s">
        <v>1395</v>
      </c>
      <c r="D1975" s="3">
        <v>46062</v>
      </c>
      <c r="E1975" s="3">
        <v>46264</v>
      </c>
      <c r="F1975" t="s">
        <v>98</v>
      </c>
      <c r="H1975" t="s">
        <v>22</v>
      </c>
      <c r="I1975" t="s">
        <v>30</v>
      </c>
      <c r="J1975" t="s">
        <v>1490</v>
      </c>
      <c r="K1975" t="s">
        <v>31</v>
      </c>
      <c r="L1975" s="4">
        <v>21</v>
      </c>
      <c r="M1975" t="s">
        <v>1400</v>
      </c>
      <c r="N1975" t="s">
        <v>46</v>
      </c>
      <c r="O1975" s="4">
        <v>460</v>
      </c>
      <c r="P1975">
        <v>0</v>
      </c>
      <c r="Q1975" s="4">
        <v>460</v>
      </c>
      <c r="R1975" s="12">
        <f t="shared" si="30"/>
        <v>9660</v>
      </c>
      <c r="T1975" t="s">
        <v>151</v>
      </c>
      <c r="U1975" t="s">
        <v>1397</v>
      </c>
      <c r="V1975" s="4">
        <v>21</v>
      </c>
      <c r="W1975">
        <v>0</v>
      </c>
    </row>
    <row r="1976" spans="1:23" hidden="1" x14ac:dyDescent="0.25">
      <c r="A1976" s="2">
        <v>45917.385659722226</v>
      </c>
      <c r="B1976">
        <v>302</v>
      </c>
      <c r="C1976" t="s">
        <v>1401</v>
      </c>
      <c r="D1976" s="3">
        <v>45917</v>
      </c>
      <c r="E1976" s="3">
        <v>46142</v>
      </c>
      <c r="F1976" t="s">
        <v>66</v>
      </c>
      <c r="H1976" t="s">
        <v>22</v>
      </c>
      <c r="I1976" t="s">
        <v>328</v>
      </c>
      <c r="K1976" t="s">
        <v>24</v>
      </c>
      <c r="L1976" s="4">
        <v>68</v>
      </c>
      <c r="M1976" t="s">
        <v>1402</v>
      </c>
      <c r="N1976" t="s">
        <v>26</v>
      </c>
      <c r="O1976" s="4">
        <v>40</v>
      </c>
      <c r="P1976">
        <v>0</v>
      </c>
      <c r="Q1976" s="4">
        <v>40</v>
      </c>
      <c r="R1976" s="12">
        <f t="shared" si="30"/>
        <v>2720</v>
      </c>
      <c r="T1976" t="s">
        <v>125</v>
      </c>
      <c r="U1976" t="s">
        <v>1403</v>
      </c>
      <c r="V1976" s="4">
        <v>68</v>
      </c>
      <c r="W1976">
        <v>0</v>
      </c>
    </row>
    <row r="1977" spans="1:23" hidden="1" x14ac:dyDescent="0.25">
      <c r="A1977" s="2">
        <v>45917.385659722226</v>
      </c>
      <c r="B1977">
        <v>302</v>
      </c>
      <c r="C1977" t="s">
        <v>1401</v>
      </c>
      <c r="D1977" s="3">
        <v>45917</v>
      </c>
      <c r="E1977" s="3">
        <v>46142</v>
      </c>
      <c r="F1977" t="s">
        <v>66</v>
      </c>
      <c r="H1977" t="s">
        <v>22</v>
      </c>
      <c r="I1977" t="s">
        <v>35</v>
      </c>
      <c r="J1977" t="s">
        <v>1490</v>
      </c>
      <c r="K1977" t="s">
        <v>24</v>
      </c>
      <c r="L1977" s="4">
        <v>68</v>
      </c>
      <c r="M1977" t="s">
        <v>1402</v>
      </c>
      <c r="N1977" t="s">
        <v>26</v>
      </c>
      <c r="O1977" s="4">
        <v>10</v>
      </c>
      <c r="P1977">
        <v>0</v>
      </c>
      <c r="Q1977" s="4">
        <v>10</v>
      </c>
      <c r="R1977" s="12">
        <f t="shared" si="30"/>
        <v>680</v>
      </c>
      <c r="T1977" t="s">
        <v>125</v>
      </c>
      <c r="U1977" t="s">
        <v>1403</v>
      </c>
      <c r="V1977" s="4">
        <v>68</v>
      </c>
      <c r="W1977">
        <v>0</v>
      </c>
    </row>
    <row r="1978" spans="1:23" hidden="1" x14ac:dyDescent="0.25">
      <c r="A1978" s="2">
        <v>45938.644490740742</v>
      </c>
      <c r="B1978">
        <v>334</v>
      </c>
      <c r="C1978" t="s">
        <v>1401</v>
      </c>
      <c r="D1978" s="3">
        <v>45937</v>
      </c>
      <c r="E1978" s="3">
        <v>46142</v>
      </c>
      <c r="F1978" t="s">
        <v>66</v>
      </c>
      <c r="H1978" t="s">
        <v>22</v>
      </c>
      <c r="I1978" t="s">
        <v>130</v>
      </c>
      <c r="K1978" t="s">
        <v>24</v>
      </c>
      <c r="L1978" s="4">
        <v>198</v>
      </c>
      <c r="M1978" t="s">
        <v>1404</v>
      </c>
      <c r="N1978" t="s">
        <v>26</v>
      </c>
      <c r="O1978" s="4">
        <v>14</v>
      </c>
      <c r="P1978">
        <v>0</v>
      </c>
      <c r="Q1978" s="4">
        <v>14</v>
      </c>
      <c r="R1978" s="12">
        <f t="shared" si="30"/>
        <v>2772</v>
      </c>
      <c r="T1978" t="s">
        <v>125</v>
      </c>
      <c r="U1978" t="s">
        <v>1403</v>
      </c>
      <c r="V1978" s="4">
        <v>198</v>
      </c>
      <c r="W1978">
        <v>0</v>
      </c>
    </row>
    <row r="1979" spans="1:23" hidden="1" x14ac:dyDescent="0.25">
      <c r="A1979" s="2">
        <v>45945.672384259262</v>
      </c>
      <c r="B1979">
        <v>352</v>
      </c>
      <c r="C1979" t="s">
        <v>1401</v>
      </c>
      <c r="D1979" s="3">
        <v>45945</v>
      </c>
      <c r="E1979" s="3">
        <v>46142</v>
      </c>
      <c r="F1979" t="s">
        <v>66</v>
      </c>
      <c r="H1979" t="s">
        <v>22</v>
      </c>
      <c r="I1979" t="s">
        <v>328</v>
      </c>
      <c r="K1979" t="s">
        <v>24</v>
      </c>
      <c r="L1979" s="4">
        <v>68</v>
      </c>
      <c r="M1979" t="s">
        <v>1405</v>
      </c>
      <c r="N1979" t="s">
        <v>26</v>
      </c>
      <c r="O1979" s="4">
        <v>60</v>
      </c>
      <c r="P1979">
        <v>0</v>
      </c>
      <c r="Q1979" s="4">
        <v>60</v>
      </c>
      <c r="R1979" s="12">
        <f t="shared" si="30"/>
        <v>4080</v>
      </c>
      <c r="T1979" t="s">
        <v>125</v>
      </c>
      <c r="U1979" t="s">
        <v>1403</v>
      </c>
      <c r="V1979" s="4">
        <v>68</v>
      </c>
      <c r="W1979">
        <v>0</v>
      </c>
    </row>
    <row r="1980" spans="1:23" hidden="1" x14ac:dyDescent="0.25">
      <c r="A1980" s="2">
        <v>45979.654247685183</v>
      </c>
      <c r="B1980">
        <v>415</v>
      </c>
      <c r="C1980" t="s">
        <v>1401</v>
      </c>
      <c r="D1980" s="3">
        <v>45979</v>
      </c>
      <c r="E1980" s="3">
        <v>46142</v>
      </c>
      <c r="F1980" t="s">
        <v>66</v>
      </c>
      <c r="H1980" t="s">
        <v>22</v>
      </c>
      <c r="I1980" t="s">
        <v>328</v>
      </c>
      <c r="K1980" t="s">
        <v>24</v>
      </c>
      <c r="L1980" s="4">
        <v>68</v>
      </c>
      <c r="M1980" t="s">
        <v>1406</v>
      </c>
      <c r="N1980" t="s">
        <v>26</v>
      </c>
      <c r="O1980" s="4">
        <v>60</v>
      </c>
      <c r="P1980">
        <v>0</v>
      </c>
      <c r="Q1980" s="4">
        <v>60</v>
      </c>
      <c r="R1980" s="12">
        <f t="shared" si="30"/>
        <v>4080</v>
      </c>
      <c r="T1980" t="s">
        <v>125</v>
      </c>
      <c r="U1980" t="s">
        <v>1403</v>
      </c>
      <c r="V1980" s="4">
        <v>68</v>
      </c>
      <c r="W1980">
        <v>0</v>
      </c>
    </row>
    <row r="1981" spans="1:23" hidden="1" x14ac:dyDescent="0.25">
      <c r="A1981" s="2">
        <v>46007.321076388886</v>
      </c>
      <c r="B1981">
        <v>459</v>
      </c>
      <c r="C1981" t="s">
        <v>1401</v>
      </c>
      <c r="D1981" s="3">
        <v>46006</v>
      </c>
      <c r="E1981" s="3">
        <v>46142</v>
      </c>
      <c r="F1981" t="s">
        <v>66</v>
      </c>
      <c r="H1981" t="s">
        <v>22</v>
      </c>
      <c r="I1981" t="s">
        <v>35</v>
      </c>
      <c r="J1981" t="s">
        <v>1490</v>
      </c>
      <c r="K1981" t="s">
        <v>24</v>
      </c>
      <c r="L1981" s="4">
        <v>68</v>
      </c>
      <c r="M1981" t="s">
        <v>1407</v>
      </c>
      <c r="N1981" t="s">
        <v>26</v>
      </c>
      <c r="O1981" s="4">
        <v>20</v>
      </c>
      <c r="P1981">
        <v>0</v>
      </c>
      <c r="Q1981" s="4">
        <v>20</v>
      </c>
      <c r="R1981" s="12">
        <f t="shared" si="30"/>
        <v>1360</v>
      </c>
      <c r="T1981" t="s">
        <v>125</v>
      </c>
      <c r="U1981" t="s">
        <v>1403</v>
      </c>
      <c r="V1981" s="4">
        <v>68</v>
      </c>
      <c r="W1981">
        <v>0</v>
      </c>
    </row>
    <row r="1982" spans="1:23" hidden="1" x14ac:dyDescent="0.25">
      <c r="A1982" s="2">
        <v>46007.321076388886</v>
      </c>
      <c r="B1982">
        <v>459</v>
      </c>
      <c r="C1982" t="s">
        <v>1401</v>
      </c>
      <c r="D1982" s="3">
        <v>46006</v>
      </c>
      <c r="E1982" s="3">
        <v>46142</v>
      </c>
      <c r="F1982" t="s">
        <v>66</v>
      </c>
      <c r="H1982" t="s">
        <v>22</v>
      </c>
      <c r="I1982" t="s">
        <v>328</v>
      </c>
      <c r="K1982" t="s">
        <v>24</v>
      </c>
      <c r="L1982" s="4">
        <v>68</v>
      </c>
      <c r="M1982" t="s">
        <v>1407</v>
      </c>
      <c r="N1982" t="s">
        <v>26</v>
      </c>
      <c r="O1982" s="4">
        <v>40</v>
      </c>
      <c r="P1982">
        <v>0</v>
      </c>
      <c r="Q1982" s="4">
        <v>40</v>
      </c>
      <c r="R1982" s="12">
        <f t="shared" si="30"/>
        <v>2720</v>
      </c>
      <c r="T1982" t="s">
        <v>125</v>
      </c>
      <c r="U1982" t="s">
        <v>1403</v>
      </c>
      <c r="V1982" s="4">
        <v>68</v>
      </c>
      <c r="W1982">
        <v>0</v>
      </c>
    </row>
    <row r="1983" spans="1:23" hidden="1" x14ac:dyDescent="0.25">
      <c r="A1983" s="2">
        <v>46031.556689814817</v>
      </c>
      <c r="B1983">
        <v>486</v>
      </c>
      <c r="C1983" t="s">
        <v>1401</v>
      </c>
      <c r="D1983" s="3">
        <v>46031</v>
      </c>
      <c r="E1983" s="3">
        <v>46264</v>
      </c>
      <c r="F1983" t="s">
        <v>66</v>
      </c>
      <c r="H1983" t="s">
        <v>22</v>
      </c>
      <c r="I1983" t="s">
        <v>328</v>
      </c>
      <c r="K1983" t="s">
        <v>24</v>
      </c>
      <c r="L1983" s="4">
        <v>68</v>
      </c>
      <c r="M1983" t="s">
        <v>1408</v>
      </c>
      <c r="N1983" t="s">
        <v>46</v>
      </c>
      <c r="O1983" s="4">
        <v>100</v>
      </c>
      <c r="P1983">
        <v>0</v>
      </c>
      <c r="Q1983" s="4">
        <v>100</v>
      </c>
      <c r="R1983" s="12">
        <f t="shared" si="30"/>
        <v>6800</v>
      </c>
      <c r="T1983" t="s">
        <v>125</v>
      </c>
      <c r="U1983" t="s">
        <v>1403</v>
      </c>
      <c r="V1983" s="4">
        <v>68</v>
      </c>
      <c r="W1983">
        <v>0</v>
      </c>
    </row>
    <row r="1984" spans="1:23" hidden="1" x14ac:dyDescent="0.25">
      <c r="A1984" s="2">
        <v>46085.469884259262</v>
      </c>
      <c r="B1984">
        <v>569</v>
      </c>
      <c r="C1984" t="s">
        <v>1401</v>
      </c>
      <c r="D1984" s="3">
        <v>46085</v>
      </c>
      <c r="E1984" s="3">
        <v>46264</v>
      </c>
      <c r="F1984" t="s">
        <v>66</v>
      </c>
      <c r="H1984" t="s">
        <v>22</v>
      </c>
      <c r="I1984" t="s">
        <v>131</v>
      </c>
      <c r="J1984" t="s">
        <v>1490</v>
      </c>
      <c r="K1984" t="s">
        <v>24</v>
      </c>
      <c r="L1984" s="4">
        <v>198</v>
      </c>
      <c r="M1984" t="s">
        <v>1409</v>
      </c>
      <c r="N1984" t="s">
        <v>46</v>
      </c>
      <c r="O1984" s="4">
        <v>5</v>
      </c>
      <c r="P1984">
        <v>0</v>
      </c>
      <c r="Q1984" s="4">
        <v>5</v>
      </c>
      <c r="R1984" s="12">
        <f t="shared" si="30"/>
        <v>990</v>
      </c>
      <c r="T1984" t="s">
        <v>125</v>
      </c>
      <c r="U1984" t="s">
        <v>1403</v>
      </c>
      <c r="V1984" s="4">
        <v>198</v>
      </c>
      <c r="W1984">
        <v>0</v>
      </c>
    </row>
    <row r="1985" spans="1:23" hidden="1" x14ac:dyDescent="0.25">
      <c r="A1985" s="2">
        <v>45888.59747685185</v>
      </c>
      <c r="B1985">
        <v>271</v>
      </c>
      <c r="C1985" t="s">
        <v>1410</v>
      </c>
      <c r="D1985" s="3">
        <v>45888</v>
      </c>
      <c r="E1985" s="3">
        <v>46111</v>
      </c>
      <c r="F1985" t="s">
        <v>324</v>
      </c>
      <c r="H1985" t="s">
        <v>22</v>
      </c>
      <c r="I1985" t="s">
        <v>33</v>
      </c>
      <c r="J1985" t="s">
        <v>1490</v>
      </c>
      <c r="K1985" t="s">
        <v>31</v>
      </c>
      <c r="L1985" s="4">
        <v>20.65</v>
      </c>
      <c r="M1985" t="s">
        <v>1411</v>
      </c>
      <c r="N1985" t="s">
        <v>26</v>
      </c>
      <c r="O1985" s="4">
        <v>3000</v>
      </c>
      <c r="P1985">
        <v>0</v>
      </c>
      <c r="Q1985" s="4">
        <v>3000</v>
      </c>
      <c r="R1985" s="12">
        <f t="shared" si="30"/>
        <v>61949.999999999993</v>
      </c>
      <c r="T1985" t="s">
        <v>55</v>
      </c>
      <c r="U1985" t="s">
        <v>1412</v>
      </c>
      <c r="V1985" s="4">
        <v>20.65</v>
      </c>
      <c r="W1985">
        <v>0</v>
      </c>
    </row>
    <row r="1986" spans="1:23" hidden="1" x14ac:dyDescent="0.25">
      <c r="A1986" s="2">
        <v>45894.449421296296</v>
      </c>
      <c r="B1986">
        <v>3997</v>
      </c>
      <c r="C1986" t="s">
        <v>1413</v>
      </c>
      <c r="D1986" s="3">
        <v>45894</v>
      </c>
      <c r="E1986" s="3">
        <v>46111</v>
      </c>
      <c r="F1986" t="s">
        <v>79</v>
      </c>
      <c r="H1986" t="s">
        <v>22</v>
      </c>
      <c r="I1986" t="s">
        <v>377</v>
      </c>
      <c r="K1986" t="s">
        <v>24</v>
      </c>
      <c r="L1986" s="4">
        <v>35</v>
      </c>
      <c r="M1986" t="s">
        <v>1414</v>
      </c>
      <c r="N1986" t="s">
        <v>26</v>
      </c>
      <c r="O1986" s="4">
        <v>280</v>
      </c>
      <c r="P1986">
        <v>0</v>
      </c>
      <c r="Q1986" s="4">
        <v>280</v>
      </c>
      <c r="R1986" s="12">
        <f t="shared" si="30"/>
        <v>9800</v>
      </c>
      <c r="T1986" t="s">
        <v>27</v>
      </c>
      <c r="U1986" t="s">
        <v>1415</v>
      </c>
      <c r="V1986" s="4">
        <v>35</v>
      </c>
      <c r="W1986">
        <v>0</v>
      </c>
    </row>
    <row r="1987" spans="1:23" hidden="1" x14ac:dyDescent="0.25">
      <c r="A1987" s="2">
        <v>45894.449421296296</v>
      </c>
      <c r="B1987">
        <v>3997</v>
      </c>
      <c r="C1987" t="s">
        <v>1413</v>
      </c>
      <c r="D1987" s="3">
        <v>45894</v>
      </c>
      <c r="E1987" s="3">
        <v>46111</v>
      </c>
      <c r="F1987" t="s">
        <v>79</v>
      </c>
      <c r="H1987" t="s">
        <v>22</v>
      </c>
      <c r="I1987" t="s">
        <v>380</v>
      </c>
      <c r="K1987" t="s">
        <v>24</v>
      </c>
      <c r="L1987" s="4">
        <v>18.780618</v>
      </c>
      <c r="M1987" t="s">
        <v>1414</v>
      </c>
      <c r="N1987" t="s">
        <v>26</v>
      </c>
      <c r="O1987" s="4">
        <v>1390</v>
      </c>
      <c r="P1987">
        <v>0</v>
      </c>
      <c r="Q1987" s="4">
        <v>1390</v>
      </c>
      <c r="R1987" s="12">
        <f t="shared" ref="R1987:R2050" si="31">Q1987*L1987</f>
        <v>26105.059020000001</v>
      </c>
      <c r="T1987" t="s">
        <v>27</v>
      </c>
      <c r="U1987" t="s">
        <v>1415</v>
      </c>
      <c r="V1987" s="4">
        <v>18.780618</v>
      </c>
      <c r="W1987">
        <v>0</v>
      </c>
    </row>
    <row r="1988" spans="1:23" hidden="1" x14ac:dyDescent="0.25">
      <c r="A1988" s="2">
        <v>45894.449421296296</v>
      </c>
      <c r="B1988">
        <v>3997</v>
      </c>
      <c r="C1988" t="s">
        <v>1413</v>
      </c>
      <c r="D1988" s="3">
        <v>45894</v>
      </c>
      <c r="E1988" s="3">
        <v>46111</v>
      </c>
      <c r="F1988" t="s">
        <v>79</v>
      </c>
      <c r="H1988" t="s">
        <v>22</v>
      </c>
      <c r="I1988" t="s">
        <v>120</v>
      </c>
      <c r="K1988" t="s">
        <v>24</v>
      </c>
      <c r="L1988" s="4">
        <v>11</v>
      </c>
      <c r="M1988" t="s">
        <v>1414</v>
      </c>
      <c r="N1988" t="s">
        <v>26</v>
      </c>
      <c r="O1988" s="4">
        <v>2800</v>
      </c>
      <c r="P1988">
        <v>0</v>
      </c>
      <c r="Q1988" s="4">
        <v>2800</v>
      </c>
      <c r="R1988" s="12">
        <f t="shared" si="31"/>
        <v>30800</v>
      </c>
      <c r="T1988" t="s">
        <v>27</v>
      </c>
      <c r="U1988" t="s">
        <v>1415</v>
      </c>
      <c r="V1988" s="4">
        <v>11</v>
      </c>
      <c r="W1988">
        <v>0</v>
      </c>
    </row>
    <row r="1989" spans="1:23" hidden="1" x14ac:dyDescent="0.25">
      <c r="A1989" s="2">
        <v>45894.449421296296</v>
      </c>
      <c r="B1989">
        <v>3997</v>
      </c>
      <c r="C1989" t="s">
        <v>1413</v>
      </c>
      <c r="D1989" s="3">
        <v>45894</v>
      </c>
      <c r="E1989" s="3">
        <v>46111</v>
      </c>
      <c r="F1989" t="s">
        <v>79</v>
      </c>
      <c r="H1989" t="s">
        <v>22</v>
      </c>
      <c r="I1989" t="s">
        <v>381</v>
      </c>
      <c r="K1989" t="s">
        <v>31</v>
      </c>
      <c r="L1989" s="4">
        <v>330</v>
      </c>
      <c r="M1989" t="s">
        <v>1414</v>
      </c>
      <c r="N1989" t="s">
        <v>26</v>
      </c>
      <c r="O1989" s="4">
        <v>150</v>
      </c>
      <c r="P1989">
        <v>0</v>
      </c>
      <c r="Q1989" s="4">
        <v>150</v>
      </c>
      <c r="R1989" s="12">
        <f t="shared" si="31"/>
        <v>49500</v>
      </c>
      <c r="T1989" t="s">
        <v>27</v>
      </c>
      <c r="U1989" t="s">
        <v>1415</v>
      </c>
      <c r="V1989" s="4">
        <v>330</v>
      </c>
      <c r="W1989">
        <v>0</v>
      </c>
    </row>
    <row r="1990" spans="1:23" hidden="1" x14ac:dyDescent="0.25">
      <c r="A1990" s="2">
        <v>45952.441168981481</v>
      </c>
      <c r="B1990">
        <v>4196</v>
      </c>
      <c r="C1990" t="s">
        <v>1416</v>
      </c>
      <c r="D1990" s="3">
        <v>45952</v>
      </c>
      <c r="E1990" s="3">
        <v>45952</v>
      </c>
      <c r="F1990" t="s">
        <v>79</v>
      </c>
      <c r="H1990" t="s">
        <v>22</v>
      </c>
      <c r="I1990" t="s">
        <v>80</v>
      </c>
      <c r="K1990" t="s">
        <v>31</v>
      </c>
      <c r="L1990" s="4">
        <v>36</v>
      </c>
      <c r="M1990" t="s">
        <v>1417</v>
      </c>
      <c r="N1990" t="s">
        <v>26</v>
      </c>
      <c r="O1990" s="4">
        <v>15</v>
      </c>
      <c r="P1990">
        <v>0</v>
      </c>
      <c r="Q1990" s="4">
        <v>15</v>
      </c>
      <c r="R1990" s="12">
        <f t="shared" si="31"/>
        <v>540</v>
      </c>
      <c r="T1990" t="s">
        <v>263</v>
      </c>
      <c r="U1990" t="s">
        <v>1418</v>
      </c>
      <c r="V1990" s="4">
        <v>36</v>
      </c>
      <c r="W1990">
        <v>0</v>
      </c>
    </row>
    <row r="1991" spans="1:23" hidden="1" x14ac:dyDescent="0.25">
      <c r="A1991" s="2">
        <v>45854.593668981484</v>
      </c>
      <c r="B1991">
        <v>3933</v>
      </c>
      <c r="C1991" t="s">
        <v>1419</v>
      </c>
      <c r="D1991" s="3">
        <v>45854</v>
      </c>
      <c r="E1991" s="3">
        <v>46142</v>
      </c>
      <c r="F1991" t="s">
        <v>79</v>
      </c>
      <c r="G1991" t="s">
        <v>1493</v>
      </c>
      <c r="H1991" t="s">
        <v>22</v>
      </c>
      <c r="I1991" t="s">
        <v>59</v>
      </c>
      <c r="J1991" t="s">
        <v>1491</v>
      </c>
      <c r="K1991" t="s">
        <v>24</v>
      </c>
      <c r="L1991" s="4">
        <v>39</v>
      </c>
      <c r="M1991" t="s">
        <v>1420</v>
      </c>
      <c r="N1991" t="s">
        <v>26</v>
      </c>
      <c r="O1991" s="4">
        <v>1470</v>
      </c>
      <c r="P1991">
        <v>0</v>
      </c>
      <c r="Q1991" s="4">
        <v>1470</v>
      </c>
      <c r="R1991" s="12">
        <f t="shared" si="31"/>
        <v>57330</v>
      </c>
      <c r="T1991" t="s">
        <v>494</v>
      </c>
      <c r="U1991" t="s">
        <v>1421</v>
      </c>
      <c r="V1991" s="4">
        <v>39</v>
      </c>
      <c r="W1991">
        <v>0</v>
      </c>
    </row>
    <row r="1992" spans="1:23" hidden="1" x14ac:dyDescent="0.25">
      <c r="A1992" s="2">
        <v>45854.593668981484</v>
      </c>
      <c r="B1992">
        <v>3933</v>
      </c>
      <c r="C1992" t="s">
        <v>1419</v>
      </c>
      <c r="D1992" s="3">
        <v>45854</v>
      </c>
      <c r="E1992" s="3">
        <v>46142</v>
      </c>
      <c r="F1992" t="s">
        <v>79</v>
      </c>
      <c r="G1992" t="s">
        <v>1493</v>
      </c>
      <c r="H1992" t="s">
        <v>22</v>
      </c>
      <c r="I1992" t="s">
        <v>40</v>
      </c>
      <c r="J1992" t="s">
        <v>1491</v>
      </c>
      <c r="K1992" t="s">
        <v>24</v>
      </c>
      <c r="L1992" s="4">
        <v>248</v>
      </c>
      <c r="M1992" t="s">
        <v>1420</v>
      </c>
      <c r="N1992" t="s">
        <v>26</v>
      </c>
      <c r="O1992" s="4">
        <v>940</v>
      </c>
      <c r="P1992">
        <v>0</v>
      </c>
      <c r="Q1992" s="4">
        <v>940</v>
      </c>
      <c r="R1992" s="12">
        <f t="shared" si="31"/>
        <v>233120</v>
      </c>
      <c r="T1992" t="s">
        <v>494</v>
      </c>
      <c r="U1992" t="s">
        <v>1421</v>
      </c>
      <c r="V1992" s="4">
        <v>248</v>
      </c>
      <c r="W1992">
        <v>0</v>
      </c>
    </row>
    <row r="1993" spans="1:23" hidden="1" x14ac:dyDescent="0.25">
      <c r="A1993" s="2">
        <v>45923.657523148147</v>
      </c>
      <c r="B1993">
        <v>4078</v>
      </c>
      <c r="C1993" t="s">
        <v>1419</v>
      </c>
      <c r="D1993" s="3">
        <v>45854</v>
      </c>
      <c r="E1993" s="3">
        <v>46142</v>
      </c>
      <c r="F1993" t="s">
        <v>79</v>
      </c>
      <c r="G1993" t="s">
        <v>1493</v>
      </c>
      <c r="H1993" t="s">
        <v>496</v>
      </c>
      <c r="I1993" t="s">
        <v>41</v>
      </c>
      <c r="J1993" t="s">
        <v>1491</v>
      </c>
      <c r="K1993" t="s">
        <v>24</v>
      </c>
      <c r="L1993" s="4">
        <v>248</v>
      </c>
      <c r="M1993" t="s">
        <v>1420</v>
      </c>
      <c r="N1993" t="s">
        <v>26</v>
      </c>
      <c r="O1993" s="4">
        <v>1044</v>
      </c>
      <c r="P1993">
        <v>0</v>
      </c>
      <c r="Q1993" s="4">
        <v>1044</v>
      </c>
      <c r="R1993" s="12">
        <f t="shared" si="31"/>
        <v>258912</v>
      </c>
      <c r="T1993" t="s">
        <v>494</v>
      </c>
      <c r="U1993" t="s">
        <v>1421</v>
      </c>
      <c r="V1993" s="4">
        <v>248</v>
      </c>
      <c r="W1993">
        <v>0</v>
      </c>
    </row>
    <row r="1994" spans="1:23" hidden="1" x14ac:dyDescent="0.25">
      <c r="A1994" s="2">
        <v>45923.657523148147</v>
      </c>
      <c r="B1994">
        <v>4078</v>
      </c>
      <c r="C1994" t="s">
        <v>1419</v>
      </c>
      <c r="D1994" s="3">
        <v>45854</v>
      </c>
      <c r="E1994" s="3">
        <v>46142</v>
      </c>
      <c r="F1994" t="s">
        <v>79</v>
      </c>
      <c r="G1994" t="s">
        <v>1493</v>
      </c>
      <c r="H1994" t="s">
        <v>496</v>
      </c>
      <c r="I1994" t="s">
        <v>38</v>
      </c>
      <c r="J1994" t="s">
        <v>1491</v>
      </c>
      <c r="K1994" t="s">
        <v>24</v>
      </c>
      <c r="L1994" s="4">
        <v>34</v>
      </c>
      <c r="M1994" t="s">
        <v>1420</v>
      </c>
      <c r="N1994" t="s">
        <v>26</v>
      </c>
      <c r="O1994" s="4">
        <v>264</v>
      </c>
      <c r="P1994">
        <v>0</v>
      </c>
      <c r="Q1994" s="4">
        <v>264</v>
      </c>
      <c r="R1994" s="12">
        <f t="shared" si="31"/>
        <v>8976</v>
      </c>
      <c r="T1994" t="s">
        <v>494</v>
      </c>
      <c r="U1994" t="s">
        <v>1421</v>
      </c>
      <c r="V1994" s="4">
        <v>34</v>
      </c>
      <c r="W1994">
        <v>0</v>
      </c>
    </row>
    <row r="1995" spans="1:23" hidden="1" x14ac:dyDescent="0.25">
      <c r="A1995" s="2">
        <v>45923.657523148147</v>
      </c>
      <c r="B1995">
        <v>4078</v>
      </c>
      <c r="C1995" t="s">
        <v>1419</v>
      </c>
      <c r="D1995" s="3">
        <v>45854</v>
      </c>
      <c r="E1995" s="3">
        <v>46142</v>
      </c>
      <c r="F1995" t="s">
        <v>79</v>
      </c>
      <c r="G1995" t="s">
        <v>1493</v>
      </c>
      <c r="H1995" t="s">
        <v>496</v>
      </c>
      <c r="I1995" t="s">
        <v>43</v>
      </c>
      <c r="J1995" t="s">
        <v>1491</v>
      </c>
      <c r="K1995" t="s">
        <v>24</v>
      </c>
      <c r="L1995" s="4">
        <v>29</v>
      </c>
      <c r="M1995" t="s">
        <v>1420</v>
      </c>
      <c r="N1995" t="s">
        <v>26</v>
      </c>
      <c r="O1995" s="4">
        <v>4440</v>
      </c>
      <c r="P1995">
        <v>0</v>
      </c>
      <c r="Q1995" s="4">
        <v>4440</v>
      </c>
      <c r="R1995" s="12">
        <f t="shared" si="31"/>
        <v>128760</v>
      </c>
      <c r="T1995" t="s">
        <v>494</v>
      </c>
      <c r="U1995" t="s">
        <v>1421</v>
      </c>
      <c r="V1995" s="4">
        <v>29</v>
      </c>
      <c r="W1995">
        <v>0</v>
      </c>
    </row>
    <row r="1996" spans="1:23" hidden="1" x14ac:dyDescent="0.25">
      <c r="A1996" s="2">
        <v>45923.657523148147</v>
      </c>
      <c r="B1996">
        <v>4078</v>
      </c>
      <c r="C1996" t="s">
        <v>1419</v>
      </c>
      <c r="D1996" s="3">
        <v>45854</v>
      </c>
      <c r="E1996" s="3">
        <v>46142</v>
      </c>
      <c r="F1996" t="s">
        <v>79</v>
      </c>
      <c r="G1996" t="s">
        <v>1493</v>
      </c>
      <c r="H1996" t="s">
        <v>496</v>
      </c>
      <c r="I1996" t="s">
        <v>101</v>
      </c>
      <c r="J1996" t="s">
        <v>1491</v>
      </c>
      <c r="K1996" t="s">
        <v>31</v>
      </c>
      <c r="L1996" s="4">
        <v>490</v>
      </c>
      <c r="M1996" t="s">
        <v>1420</v>
      </c>
      <c r="N1996" t="s">
        <v>26</v>
      </c>
      <c r="O1996" s="4">
        <v>100</v>
      </c>
      <c r="P1996">
        <v>0</v>
      </c>
      <c r="Q1996" s="4">
        <v>100</v>
      </c>
      <c r="R1996" s="12">
        <f t="shared" si="31"/>
        <v>49000</v>
      </c>
      <c r="T1996" t="s">
        <v>494</v>
      </c>
      <c r="U1996" t="s">
        <v>1421</v>
      </c>
      <c r="V1996" s="4">
        <v>490</v>
      </c>
      <c r="W1996">
        <v>0</v>
      </c>
    </row>
    <row r="1997" spans="1:23" hidden="1" x14ac:dyDescent="0.25">
      <c r="A1997" s="2">
        <v>45923.657523148147</v>
      </c>
      <c r="B1997">
        <v>4078</v>
      </c>
      <c r="C1997" t="s">
        <v>1419</v>
      </c>
      <c r="D1997" s="3">
        <v>45854</v>
      </c>
      <c r="E1997" s="3">
        <v>46142</v>
      </c>
      <c r="F1997" t="s">
        <v>79</v>
      </c>
      <c r="G1997" t="s">
        <v>1493</v>
      </c>
      <c r="H1997" t="s">
        <v>496</v>
      </c>
      <c r="I1997" t="s">
        <v>92</v>
      </c>
      <c r="J1997" t="s">
        <v>1491</v>
      </c>
      <c r="K1997" t="s">
        <v>31</v>
      </c>
      <c r="L1997" s="4">
        <v>240</v>
      </c>
      <c r="M1997" t="s">
        <v>1420</v>
      </c>
      <c r="N1997" t="s">
        <v>26</v>
      </c>
      <c r="O1997" s="4">
        <v>6625</v>
      </c>
      <c r="P1997">
        <v>0</v>
      </c>
      <c r="Q1997" s="4">
        <v>6625</v>
      </c>
      <c r="R1997" s="12">
        <f t="shared" si="31"/>
        <v>1590000</v>
      </c>
      <c r="T1997" t="s">
        <v>494</v>
      </c>
      <c r="U1997" t="s">
        <v>1421</v>
      </c>
      <c r="V1997" s="4">
        <v>240</v>
      </c>
      <c r="W1997">
        <v>0</v>
      </c>
    </row>
    <row r="1998" spans="1:23" hidden="1" x14ac:dyDescent="0.25">
      <c r="A1998" s="2">
        <v>45923.657523148147</v>
      </c>
      <c r="B1998">
        <v>4078</v>
      </c>
      <c r="C1998" t="s">
        <v>1419</v>
      </c>
      <c r="D1998" s="3">
        <v>45854</v>
      </c>
      <c r="E1998" s="3">
        <v>46142</v>
      </c>
      <c r="F1998" t="s">
        <v>79</v>
      </c>
      <c r="G1998" t="s">
        <v>1493</v>
      </c>
      <c r="H1998" t="s">
        <v>496</v>
      </c>
      <c r="I1998" t="s">
        <v>497</v>
      </c>
      <c r="J1998" t="s">
        <v>1491</v>
      </c>
      <c r="K1998" t="s">
        <v>24</v>
      </c>
      <c r="L1998" s="4">
        <v>48</v>
      </c>
      <c r="M1998" t="s">
        <v>1420</v>
      </c>
      <c r="N1998" t="s">
        <v>26</v>
      </c>
      <c r="O1998" s="4">
        <v>804</v>
      </c>
      <c r="P1998">
        <v>0</v>
      </c>
      <c r="Q1998" s="4">
        <v>804</v>
      </c>
      <c r="R1998" s="12">
        <f t="shared" si="31"/>
        <v>38592</v>
      </c>
      <c r="T1998" t="s">
        <v>494</v>
      </c>
      <c r="U1998" t="s">
        <v>1421</v>
      </c>
      <c r="V1998" s="4">
        <v>48</v>
      </c>
      <c r="W1998">
        <v>0</v>
      </c>
    </row>
    <row r="1999" spans="1:23" hidden="1" x14ac:dyDescent="0.25">
      <c r="A1999" s="2">
        <v>45923.657523148147</v>
      </c>
      <c r="B1999">
        <v>4078</v>
      </c>
      <c r="C1999" t="s">
        <v>1419</v>
      </c>
      <c r="D1999" s="3">
        <v>45854</v>
      </c>
      <c r="E1999" s="3">
        <v>46142</v>
      </c>
      <c r="F1999" t="s">
        <v>79</v>
      </c>
      <c r="G1999" t="s">
        <v>1493</v>
      </c>
      <c r="H1999" t="s">
        <v>496</v>
      </c>
      <c r="I1999" t="s">
        <v>44</v>
      </c>
      <c r="J1999" t="s">
        <v>1491</v>
      </c>
      <c r="K1999" t="s">
        <v>31</v>
      </c>
      <c r="L1999" s="4">
        <v>310</v>
      </c>
      <c r="M1999" t="s">
        <v>1420</v>
      </c>
      <c r="N1999" t="s">
        <v>26</v>
      </c>
      <c r="O1999" s="4">
        <v>1700</v>
      </c>
      <c r="P1999">
        <v>0</v>
      </c>
      <c r="Q1999" s="4">
        <v>1700</v>
      </c>
      <c r="R1999" s="12">
        <f t="shared" si="31"/>
        <v>527000</v>
      </c>
      <c r="T1999" t="s">
        <v>494</v>
      </c>
      <c r="U1999" t="s">
        <v>1421</v>
      </c>
      <c r="V1999" s="4">
        <v>310</v>
      </c>
      <c r="W1999">
        <v>0</v>
      </c>
    </row>
    <row r="2000" spans="1:23" hidden="1" x14ac:dyDescent="0.25">
      <c r="A2000" s="2">
        <v>45883.695914351854</v>
      </c>
      <c r="B2000">
        <v>3980</v>
      </c>
      <c r="C2000" t="s">
        <v>1422</v>
      </c>
      <c r="D2000" s="3">
        <v>45883</v>
      </c>
      <c r="E2000" s="3">
        <v>45899</v>
      </c>
      <c r="F2000" t="s">
        <v>21</v>
      </c>
      <c r="G2000" t="s">
        <v>1493</v>
      </c>
      <c r="H2000" t="s">
        <v>22</v>
      </c>
      <c r="I2000" t="s">
        <v>41</v>
      </c>
      <c r="J2000" t="s">
        <v>1491</v>
      </c>
      <c r="K2000" t="s">
        <v>24</v>
      </c>
      <c r="L2000" s="4">
        <v>288.3</v>
      </c>
      <c r="M2000" t="s">
        <v>1423</v>
      </c>
      <c r="N2000" t="s">
        <v>26</v>
      </c>
      <c r="O2000" s="4">
        <v>150</v>
      </c>
      <c r="P2000">
        <v>0</v>
      </c>
      <c r="Q2000" s="4">
        <v>150</v>
      </c>
      <c r="R2000" s="12">
        <f t="shared" si="31"/>
        <v>43245</v>
      </c>
      <c r="T2000" t="s">
        <v>151</v>
      </c>
      <c r="U2000" t="s">
        <v>1424</v>
      </c>
      <c r="V2000" s="4">
        <v>288.3</v>
      </c>
      <c r="W2000">
        <v>0</v>
      </c>
    </row>
    <row r="2001" spans="1:23" hidden="1" x14ac:dyDescent="0.25">
      <c r="A2001" s="2">
        <v>45883.695914351854</v>
      </c>
      <c r="B2001">
        <v>3980</v>
      </c>
      <c r="C2001" t="s">
        <v>1422</v>
      </c>
      <c r="D2001" s="3">
        <v>45883</v>
      </c>
      <c r="E2001" s="3">
        <v>45899</v>
      </c>
      <c r="F2001" t="s">
        <v>21</v>
      </c>
      <c r="G2001" t="s">
        <v>1493</v>
      </c>
      <c r="H2001" t="s">
        <v>22</v>
      </c>
      <c r="I2001" t="s">
        <v>38</v>
      </c>
      <c r="J2001" t="s">
        <v>1491</v>
      </c>
      <c r="K2001" t="s">
        <v>24</v>
      </c>
      <c r="L2001" s="4">
        <v>46.5</v>
      </c>
      <c r="M2001" t="s">
        <v>1423</v>
      </c>
      <c r="N2001" t="s">
        <v>26</v>
      </c>
      <c r="O2001" s="4">
        <v>108</v>
      </c>
      <c r="P2001">
        <v>0</v>
      </c>
      <c r="Q2001" s="4">
        <v>108</v>
      </c>
      <c r="R2001" s="12">
        <f t="shared" si="31"/>
        <v>5022</v>
      </c>
      <c r="T2001" t="s">
        <v>151</v>
      </c>
      <c r="U2001" t="s">
        <v>1424</v>
      </c>
      <c r="V2001" s="4">
        <v>46.5</v>
      </c>
      <c r="W2001">
        <v>0</v>
      </c>
    </row>
    <row r="2002" spans="1:23" hidden="1" x14ac:dyDescent="0.25">
      <c r="A2002" s="2">
        <v>45883.695914351854</v>
      </c>
      <c r="B2002">
        <v>3980</v>
      </c>
      <c r="C2002" t="s">
        <v>1422</v>
      </c>
      <c r="D2002" s="3">
        <v>45883</v>
      </c>
      <c r="E2002" s="3">
        <v>45899</v>
      </c>
      <c r="F2002" t="s">
        <v>21</v>
      </c>
      <c r="G2002" t="s">
        <v>1493</v>
      </c>
      <c r="H2002" t="s">
        <v>22</v>
      </c>
      <c r="I2002" t="s">
        <v>43</v>
      </c>
      <c r="J2002" t="s">
        <v>1491</v>
      </c>
      <c r="K2002" t="s">
        <v>24</v>
      </c>
      <c r="L2002" s="4">
        <v>42.78</v>
      </c>
      <c r="M2002" t="s">
        <v>1423</v>
      </c>
      <c r="N2002" t="s">
        <v>26</v>
      </c>
      <c r="O2002" s="4">
        <v>408</v>
      </c>
      <c r="P2002">
        <v>0</v>
      </c>
      <c r="Q2002" s="4">
        <v>408</v>
      </c>
      <c r="R2002" s="12">
        <f t="shared" si="31"/>
        <v>17454.240000000002</v>
      </c>
      <c r="T2002" t="s">
        <v>151</v>
      </c>
      <c r="U2002" t="s">
        <v>1424</v>
      </c>
      <c r="V2002" s="4">
        <v>42.78</v>
      </c>
      <c r="W2002">
        <v>0</v>
      </c>
    </row>
    <row r="2003" spans="1:23" hidden="1" x14ac:dyDescent="0.25">
      <c r="A2003" s="2">
        <v>45883.695914351854</v>
      </c>
      <c r="B2003">
        <v>3980</v>
      </c>
      <c r="C2003" t="s">
        <v>1422</v>
      </c>
      <c r="D2003" s="3">
        <v>45883</v>
      </c>
      <c r="E2003" s="3">
        <v>45899</v>
      </c>
      <c r="F2003" t="s">
        <v>21</v>
      </c>
      <c r="G2003" t="s">
        <v>1493</v>
      </c>
      <c r="H2003" t="s">
        <v>22</v>
      </c>
      <c r="I2003" t="s">
        <v>101</v>
      </c>
      <c r="J2003" t="s">
        <v>1491</v>
      </c>
      <c r="K2003" t="s">
        <v>31</v>
      </c>
      <c r="L2003" s="4">
        <v>511.5</v>
      </c>
      <c r="M2003" t="s">
        <v>1423</v>
      </c>
      <c r="N2003" t="s">
        <v>26</v>
      </c>
      <c r="O2003" s="4">
        <v>50</v>
      </c>
      <c r="P2003">
        <v>0</v>
      </c>
      <c r="Q2003" s="4">
        <v>50</v>
      </c>
      <c r="R2003" s="12">
        <f t="shared" si="31"/>
        <v>25575</v>
      </c>
      <c r="T2003" t="s">
        <v>151</v>
      </c>
      <c r="U2003" t="s">
        <v>1424</v>
      </c>
      <c r="V2003" s="4">
        <v>511.5</v>
      </c>
      <c r="W2003">
        <v>0</v>
      </c>
    </row>
    <row r="2004" spans="1:23" hidden="1" x14ac:dyDescent="0.25">
      <c r="A2004" s="2">
        <v>46003.381122685183</v>
      </c>
      <c r="B2004">
        <v>4348</v>
      </c>
      <c r="C2004" t="s">
        <v>1422</v>
      </c>
      <c r="D2004" s="3">
        <v>46003</v>
      </c>
      <c r="E2004" s="3">
        <v>46052</v>
      </c>
      <c r="F2004" t="s">
        <v>143</v>
      </c>
      <c r="G2004" t="s">
        <v>1493</v>
      </c>
      <c r="H2004" t="s">
        <v>22</v>
      </c>
      <c r="I2004" t="s">
        <v>40</v>
      </c>
      <c r="J2004" t="s">
        <v>1491</v>
      </c>
      <c r="K2004" t="s">
        <v>24</v>
      </c>
      <c r="L2004" s="4">
        <v>273.95999999999998</v>
      </c>
      <c r="M2004" t="s">
        <v>1425</v>
      </c>
      <c r="N2004" t="s">
        <v>46</v>
      </c>
      <c r="O2004" s="4">
        <v>50</v>
      </c>
      <c r="P2004">
        <v>0</v>
      </c>
      <c r="Q2004" s="4">
        <v>50</v>
      </c>
      <c r="R2004" s="12">
        <f t="shared" si="31"/>
        <v>13697.999999999998</v>
      </c>
      <c r="T2004" t="s">
        <v>151</v>
      </c>
      <c r="U2004" t="s">
        <v>1424</v>
      </c>
      <c r="V2004" s="4">
        <v>273.95999999999998</v>
      </c>
      <c r="W2004">
        <v>0</v>
      </c>
    </row>
    <row r="2005" spans="1:23" hidden="1" x14ac:dyDescent="0.25">
      <c r="A2005" s="2">
        <v>46003.381122685183</v>
      </c>
      <c r="B2005">
        <v>4348</v>
      </c>
      <c r="C2005" t="s">
        <v>1422</v>
      </c>
      <c r="D2005" s="3">
        <v>46003</v>
      </c>
      <c r="E2005" s="3">
        <v>46052</v>
      </c>
      <c r="F2005" t="s">
        <v>143</v>
      </c>
      <c r="G2005" t="s">
        <v>1493</v>
      </c>
      <c r="H2005" t="s">
        <v>22</v>
      </c>
      <c r="I2005" t="s">
        <v>38</v>
      </c>
      <c r="J2005" t="s">
        <v>1491</v>
      </c>
      <c r="K2005" t="s">
        <v>24</v>
      </c>
      <c r="L2005" s="4">
        <v>44.23</v>
      </c>
      <c r="M2005" t="s">
        <v>1425</v>
      </c>
      <c r="N2005" t="s">
        <v>46</v>
      </c>
      <c r="O2005" s="4">
        <v>102</v>
      </c>
      <c r="P2005">
        <v>0</v>
      </c>
      <c r="Q2005" s="4">
        <v>102</v>
      </c>
      <c r="R2005" s="12">
        <f t="shared" si="31"/>
        <v>4511.46</v>
      </c>
      <c r="T2005" t="s">
        <v>151</v>
      </c>
      <c r="U2005" t="s">
        <v>1424</v>
      </c>
      <c r="V2005" s="4">
        <v>44.23</v>
      </c>
      <c r="W2005">
        <v>0</v>
      </c>
    </row>
    <row r="2006" spans="1:23" hidden="1" x14ac:dyDescent="0.25">
      <c r="A2006" s="2">
        <v>46003.381122685183</v>
      </c>
      <c r="B2006">
        <v>4348</v>
      </c>
      <c r="C2006" t="s">
        <v>1422</v>
      </c>
      <c r="D2006" s="3">
        <v>46003</v>
      </c>
      <c r="E2006" s="3">
        <v>46052</v>
      </c>
      <c r="F2006" t="s">
        <v>143</v>
      </c>
      <c r="G2006" t="s">
        <v>1493</v>
      </c>
      <c r="H2006" t="s">
        <v>22</v>
      </c>
      <c r="I2006" t="s">
        <v>41</v>
      </c>
      <c r="J2006" t="s">
        <v>1491</v>
      </c>
      <c r="K2006" t="s">
        <v>24</v>
      </c>
      <c r="L2006" s="4">
        <v>273.95999999999998</v>
      </c>
      <c r="M2006" t="s">
        <v>1425</v>
      </c>
      <c r="N2006" t="s">
        <v>46</v>
      </c>
      <c r="O2006" s="4">
        <v>50</v>
      </c>
      <c r="P2006">
        <v>0</v>
      </c>
      <c r="Q2006" s="4">
        <v>50</v>
      </c>
      <c r="R2006" s="12">
        <f t="shared" si="31"/>
        <v>13697.999999999998</v>
      </c>
      <c r="T2006" t="s">
        <v>151</v>
      </c>
      <c r="U2006" t="s">
        <v>1424</v>
      </c>
      <c r="V2006" s="4">
        <v>273.95999999999998</v>
      </c>
      <c r="W2006">
        <v>0</v>
      </c>
    </row>
    <row r="2007" spans="1:23" hidden="1" x14ac:dyDescent="0.25">
      <c r="A2007" s="2">
        <v>46003.381122685183</v>
      </c>
      <c r="B2007">
        <v>4348</v>
      </c>
      <c r="C2007" t="s">
        <v>1422</v>
      </c>
      <c r="D2007" s="3">
        <v>46003</v>
      </c>
      <c r="E2007" s="3">
        <v>46052</v>
      </c>
      <c r="F2007" t="s">
        <v>143</v>
      </c>
      <c r="G2007" t="s">
        <v>1493</v>
      </c>
      <c r="H2007" t="s">
        <v>22</v>
      </c>
      <c r="I2007" t="s">
        <v>44</v>
      </c>
      <c r="J2007" t="s">
        <v>1491</v>
      </c>
      <c r="K2007" t="s">
        <v>31</v>
      </c>
      <c r="L2007" s="4">
        <v>342.45</v>
      </c>
      <c r="M2007" t="s">
        <v>1425</v>
      </c>
      <c r="N2007" t="s">
        <v>46</v>
      </c>
      <c r="O2007" s="4">
        <v>60</v>
      </c>
      <c r="P2007">
        <v>0</v>
      </c>
      <c r="Q2007" s="4">
        <v>60</v>
      </c>
      <c r="R2007" s="12">
        <f t="shared" si="31"/>
        <v>20547</v>
      </c>
      <c r="T2007" t="s">
        <v>151</v>
      </c>
      <c r="U2007" t="s">
        <v>1424</v>
      </c>
      <c r="V2007" s="4">
        <v>342.45</v>
      </c>
      <c r="W2007">
        <v>0</v>
      </c>
    </row>
    <row r="2008" spans="1:23" hidden="1" x14ac:dyDescent="0.25">
      <c r="A2008" s="2">
        <v>46034.545115740744</v>
      </c>
      <c r="B2008">
        <v>4429</v>
      </c>
      <c r="C2008" t="s">
        <v>1422</v>
      </c>
      <c r="D2008" s="3">
        <v>46034</v>
      </c>
      <c r="E2008" s="3">
        <v>46052</v>
      </c>
      <c r="F2008" t="s">
        <v>143</v>
      </c>
      <c r="G2008" t="s">
        <v>1493</v>
      </c>
      <c r="H2008" t="s">
        <v>22</v>
      </c>
      <c r="I2008" t="s">
        <v>41</v>
      </c>
      <c r="J2008" t="s">
        <v>1491</v>
      </c>
      <c r="K2008" t="s">
        <v>24</v>
      </c>
      <c r="L2008" s="4">
        <v>273.95999999999998</v>
      </c>
      <c r="M2008" t="s">
        <v>1426</v>
      </c>
      <c r="N2008" t="s">
        <v>46</v>
      </c>
      <c r="O2008" s="4">
        <v>200</v>
      </c>
      <c r="P2008">
        <v>0</v>
      </c>
      <c r="Q2008" s="4">
        <v>200</v>
      </c>
      <c r="R2008" s="12">
        <f t="shared" si="31"/>
        <v>54791.999999999993</v>
      </c>
      <c r="T2008" t="s">
        <v>230</v>
      </c>
      <c r="U2008" t="s">
        <v>1424</v>
      </c>
      <c r="V2008" s="4">
        <v>273.95999999999998</v>
      </c>
      <c r="W2008">
        <v>0</v>
      </c>
    </row>
    <row r="2009" spans="1:23" hidden="1" x14ac:dyDescent="0.25">
      <c r="A2009" s="2">
        <v>46034.545115740744</v>
      </c>
      <c r="B2009">
        <v>4429</v>
      </c>
      <c r="C2009" t="s">
        <v>1422</v>
      </c>
      <c r="D2009" s="3">
        <v>46034</v>
      </c>
      <c r="E2009" s="3">
        <v>46052</v>
      </c>
      <c r="F2009" t="s">
        <v>143</v>
      </c>
      <c r="G2009" t="s">
        <v>1493</v>
      </c>
      <c r="H2009" t="s">
        <v>22</v>
      </c>
      <c r="I2009" t="s">
        <v>40</v>
      </c>
      <c r="J2009" t="s">
        <v>1491</v>
      </c>
      <c r="K2009" t="s">
        <v>24</v>
      </c>
      <c r="L2009" s="4">
        <v>273.95999999999998</v>
      </c>
      <c r="M2009" t="s">
        <v>1426</v>
      </c>
      <c r="N2009" t="s">
        <v>46</v>
      </c>
      <c r="O2009" s="4">
        <v>200</v>
      </c>
      <c r="P2009">
        <v>0</v>
      </c>
      <c r="Q2009" s="4">
        <v>200</v>
      </c>
      <c r="R2009" s="12">
        <f t="shared" si="31"/>
        <v>54791.999999999993</v>
      </c>
      <c r="T2009" t="s">
        <v>230</v>
      </c>
      <c r="U2009" t="s">
        <v>1424</v>
      </c>
      <c r="V2009" s="4">
        <v>273.95999999999998</v>
      </c>
      <c r="W2009">
        <v>0</v>
      </c>
    </row>
    <row r="2010" spans="1:23" hidden="1" x14ac:dyDescent="0.25">
      <c r="A2010" s="2">
        <v>46034.545115740744</v>
      </c>
      <c r="B2010">
        <v>4429</v>
      </c>
      <c r="C2010" t="s">
        <v>1422</v>
      </c>
      <c r="D2010" s="3">
        <v>46034</v>
      </c>
      <c r="E2010" s="3">
        <v>46052</v>
      </c>
      <c r="F2010" t="s">
        <v>143</v>
      </c>
      <c r="G2010" t="s">
        <v>1493</v>
      </c>
      <c r="H2010" t="s">
        <v>22</v>
      </c>
      <c r="I2010" t="s">
        <v>38</v>
      </c>
      <c r="J2010" t="s">
        <v>1491</v>
      </c>
      <c r="K2010" t="s">
        <v>24</v>
      </c>
      <c r="L2010" s="4">
        <v>44.23</v>
      </c>
      <c r="M2010" t="s">
        <v>1426</v>
      </c>
      <c r="N2010" t="s">
        <v>46</v>
      </c>
      <c r="O2010" s="4">
        <v>402</v>
      </c>
      <c r="P2010">
        <v>0</v>
      </c>
      <c r="Q2010" s="4">
        <v>402</v>
      </c>
      <c r="R2010" s="12">
        <f t="shared" si="31"/>
        <v>17780.46</v>
      </c>
      <c r="T2010" t="s">
        <v>230</v>
      </c>
      <c r="U2010" t="s">
        <v>1424</v>
      </c>
      <c r="V2010" s="4">
        <v>44.23</v>
      </c>
      <c r="W2010">
        <v>0</v>
      </c>
    </row>
    <row r="2011" spans="1:23" hidden="1" x14ac:dyDescent="0.25">
      <c r="A2011" s="2">
        <v>46034.545115740744</v>
      </c>
      <c r="B2011">
        <v>4429</v>
      </c>
      <c r="C2011" t="s">
        <v>1422</v>
      </c>
      <c r="D2011" s="3">
        <v>46034</v>
      </c>
      <c r="E2011" s="3">
        <v>46052</v>
      </c>
      <c r="F2011" t="s">
        <v>143</v>
      </c>
      <c r="G2011" t="s">
        <v>1493</v>
      </c>
      <c r="H2011" t="s">
        <v>22</v>
      </c>
      <c r="I2011" t="s">
        <v>44</v>
      </c>
      <c r="J2011" t="s">
        <v>1491</v>
      </c>
      <c r="K2011" t="s">
        <v>31</v>
      </c>
      <c r="L2011" s="4">
        <v>342.45</v>
      </c>
      <c r="M2011" t="s">
        <v>1426</v>
      </c>
      <c r="N2011" t="s">
        <v>46</v>
      </c>
      <c r="O2011" s="4">
        <v>240</v>
      </c>
      <c r="P2011">
        <v>0</v>
      </c>
      <c r="Q2011" s="4">
        <v>240</v>
      </c>
      <c r="R2011" s="12">
        <f t="shared" si="31"/>
        <v>82188</v>
      </c>
      <c r="T2011" t="s">
        <v>230</v>
      </c>
      <c r="U2011" t="s">
        <v>1424</v>
      </c>
      <c r="V2011" s="4">
        <v>342.45</v>
      </c>
      <c r="W2011">
        <v>0</v>
      </c>
    </row>
    <row r="2012" spans="1:23" hidden="1" x14ac:dyDescent="0.25">
      <c r="A2012" s="2">
        <v>46042.728703703702</v>
      </c>
      <c r="B2012">
        <v>4469</v>
      </c>
      <c r="C2012" t="s">
        <v>1422</v>
      </c>
      <c r="D2012" s="3">
        <v>46041</v>
      </c>
      <c r="E2012" s="3">
        <v>46052</v>
      </c>
      <c r="F2012" t="s">
        <v>143</v>
      </c>
      <c r="G2012" t="s">
        <v>1493</v>
      </c>
      <c r="H2012" t="s">
        <v>22</v>
      </c>
      <c r="I2012" t="s">
        <v>44</v>
      </c>
      <c r="J2012" t="s">
        <v>1491</v>
      </c>
      <c r="K2012" t="s">
        <v>31</v>
      </c>
      <c r="L2012" s="4">
        <v>342.45</v>
      </c>
      <c r="M2012" t="s">
        <v>1427</v>
      </c>
      <c r="N2012" t="s">
        <v>46</v>
      </c>
      <c r="O2012" s="4">
        <v>96</v>
      </c>
      <c r="P2012">
        <v>0</v>
      </c>
      <c r="Q2012" s="4">
        <v>96</v>
      </c>
      <c r="R2012" s="12">
        <f t="shared" si="31"/>
        <v>32875.199999999997</v>
      </c>
      <c r="T2012" t="s">
        <v>27</v>
      </c>
      <c r="U2012" t="s">
        <v>1424</v>
      </c>
      <c r="V2012" s="4">
        <v>342.45</v>
      </c>
      <c r="W2012">
        <v>0</v>
      </c>
    </row>
    <row r="2013" spans="1:23" hidden="1" x14ac:dyDescent="0.25">
      <c r="A2013" s="2">
        <v>46042.728703703702</v>
      </c>
      <c r="B2013">
        <v>4469</v>
      </c>
      <c r="C2013" t="s">
        <v>1422</v>
      </c>
      <c r="D2013" s="3">
        <v>46041</v>
      </c>
      <c r="E2013" s="3">
        <v>46052</v>
      </c>
      <c r="F2013" t="s">
        <v>143</v>
      </c>
      <c r="G2013" t="s">
        <v>1493</v>
      </c>
      <c r="H2013" t="s">
        <v>22</v>
      </c>
      <c r="I2013" t="s">
        <v>38</v>
      </c>
      <c r="J2013" t="s">
        <v>1491</v>
      </c>
      <c r="K2013" t="s">
        <v>24</v>
      </c>
      <c r="L2013" s="4">
        <v>44.23</v>
      </c>
      <c r="M2013" t="s">
        <v>1427</v>
      </c>
      <c r="N2013" t="s">
        <v>46</v>
      </c>
      <c r="O2013" s="4">
        <v>162</v>
      </c>
      <c r="P2013">
        <v>0</v>
      </c>
      <c r="Q2013" s="4">
        <v>162</v>
      </c>
      <c r="R2013" s="12">
        <f t="shared" si="31"/>
        <v>7165.2599999999993</v>
      </c>
      <c r="T2013" t="s">
        <v>27</v>
      </c>
      <c r="U2013" t="s">
        <v>1424</v>
      </c>
      <c r="V2013" s="4">
        <v>44.23</v>
      </c>
      <c r="W2013">
        <v>0</v>
      </c>
    </row>
    <row r="2014" spans="1:23" hidden="1" x14ac:dyDescent="0.25">
      <c r="A2014" s="2">
        <v>46042.728703703702</v>
      </c>
      <c r="B2014">
        <v>4469</v>
      </c>
      <c r="C2014" t="s">
        <v>1422</v>
      </c>
      <c r="D2014" s="3">
        <v>46041</v>
      </c>
      <c r="E2014" s="3">
        <v>46052</v>
      </c>
      <c r="F2014" t="s">
        <v>143</v>
      </c>
      <c r="G2014" t="s">
        <v>1493</v>
      </c>
      <c r="H2014" t="s">
        <v>22</v>
      </c>
      <c r="I2014" t="s">
        <v>41</v>
      </c>
      <c r="J2014" t="s">
        <v>1491</v>
      </c>
      <c r="K2014" t="s">
        <v>24</v>
      </c>
      <c r="L2014" s="4">
        <v>273.95999999999998</v>
      </c>
      <c r="M2014" t="s">
        <v>1427</v>
      </c>
      <c r="N2014" t="s">
        <v>46</v>
      </c>
      <c r="O2014" s="4">
        <v>80</v>
      </c>
      <c r="P2014">
        <v>0</v>
      </c>
      <c r="Q2014" s="4">
        <v>80</v>
      </c>
      <c r="R2014" s="12">
        <f t="shared" si="31"/>
        <v>21916.799999999999</v>
      </c>
      <c r="T2014" t="s">
        <v>27</v>
      </c>
      <c r="U2014" t="s">
        <v>1424</v>
      </c>
      <c r="V2014" s="4">
        <v>273.95999999999998</v>
      </c>
      <c r="W2014">
        <v>0</v>
      </c>
    </row>
    <row r="2015" spans="1:23" hidden="1" x14ac:dyDescent="0.25">
      <c r="A2015" s="2">
        <v>46042.728703703702</v>
      </c>
      <c r="B2015">
        <v>4469</v>
      </c>
      <c r="C2015" t="s">
        <v>1422</v>
      </c>
      <c r="D2015" s="3">
        <v>46041</v>
      </c>
      <c r="E2015" s="3">
        <v>46052</v>
      </c>
      <c r="F2015" t="s">
        <v>143</v>
      </c>
      <c r="G2015" t="s">
        <v>1493</v>
      </c>
      <c r="H2015" t="s">
        <v>22</v>
      </c>
      <c r="I2015" t="s">
        <v>40</v>
      </c>
      <c r="J2015" t="s">
        <v>1491</v>
      </c>
      <c r="K2015" t="s">
        <v>24</v>
      </c>
      <c r="L2015" s="4">
        <v>273.95999999999998</v>
      </c>
      <c r="M2015" t="s">
        <v>1427</v>
      </c>
      <c r="N2015" t="s">
        <v>46</v>
      </c>
      <c r="O2015" s="4">
        <v>80</v>
      </c>
      <c r="P2015">
        <v>0</v>
      </c>
      <c r="Q2015" s="4">
        <v>80</v>
      </c>
      <c r="R2015" s="12">
        <f t="shared" si="31"/>
        <v>21916.799999999999</v>
      </c>
      <c r="T2015" t="s">
        <v>27</v>
      </c>
      <c r="U2015" t="s">
        <v>1424</v>
      </c>
      <c r="V2015" s="4">
        <v>273.95999999999998</v>
      </c>
      <c r="W2015">
        <v>0</v>
      </c>
    </row>
    <row r="2016" spans="1:23" hidden="1" x14ac:dyDescent="0.25">
      <c r="A2016" s="2">
        <v>45719.594293981485</v>
      </c>
      <c r="B2016">
        <v>3712</v>
      </c>
      <c r="C2016" t="s">
        <v>1428</v>
      </c>
      <c r="D2016" s="3">
        <v>45645</v>
      </c>
      <c r="E2016" s="3">
        <v>45930</v>
      </c>
      <c r="F2016" t="s">
        <v>21</v>
      </c>
      <c r="G2016" t="s">
        <v>1493</v>
      </c>
      <c r="H2016" t="s">
        <v>22</v>
      </c>
      <c r="I2016" t="s">
        <v>44</v>
      </c>
      <c r="J2016" t="s">
        <v>1491</v>
      </c>
      <c r="K2016" t="s">
        <v>31</v>
      </c>
      <c r="L2016" s="4">
        <v>360.75</v>
      </c>
      <c r="M2016" t="s">
        <v>1429</v>
      </c>
      <c r="N2016" t="s">
        <v>26</v>
      </c>
      <c r="O2016" s="4">
        <v>200</v>
      </c>
      <c r="P2016">
        <v>0</v>
      </c>
      <c r="Q2016" s="4">
        <v>200</v>
      </c>
      <c r="R2016" s="12">
        <f t="shared" si="31"/>
        <v>72150</v>
      </c>
      <c r="T2016" t="s">
        <v>151</v>
      </c>
      <c r="U2016" t="s">
        <v>1430</v>
      </c>
      <c r="V2016" s="4">
        <v>360.75</v>
      </c>
      <c r="W2016">
        <v>0</v>
      </c>
    </row>
    <row r="2017" spans="1:23" hidden="1" x14ac:dyDescent="0.25">
      <c r="A2017" s="2">
        <v>45719.594293981485</v>
      </c>
      <c r="B2017">
        <v>3712</v>
      </c>
      <c r="C2017" t="s">
        <v>1428</v>
      </c>
      <c r="D2017" s="3">
        <v>45645</v>
      </c>
      <c r="E2017" s="3">
        <v>45930</v>
      </c>
      <c r="F2017" t="s">
        <v>21</v>
      </c>
      <c r="G2017" t="s">
        <v>1493</v>
      </c>
      <c r="H2017" t="s">
        <v>22</v>
      </c>
      <c r="I2017" t="s">
        <v>40</v>
      </c>
      <c r="J2017" t="s">
        <v>1491</v>
      </c>
      <c r="K2017" t="s">
        <v>24</v>
      </c>
      <c r="L2017" s="4">
        <v>292.5</v>
      </c>
      <c r="M2017" t="s">
        <v>1429</v>
      </c>
      <c r="N2017" t="s">
        <v>26</v>
      </c>
      <c r="O2017" s="4">
        <v>160</v>
      </c>
      <c r="P2017">
        <v>0</v>
      </c>
      <c r="Q2017" s="4">
        <v>160</v>
      </c>
      <c r="R2017" s="12">
        <f t="shared" si="31"/>
        <v>46800</v>
      </c>
      <c r="T2017" t="s">
        <v>151</v>
      </c>
      <c r="U2017" t="s">
        <v>1430</v>
      </c>
      <c r="V2017" s="4">
        <v>292.5</v>
      </c>
      <c r="W2017">
        <v>0</v>
      </c>
    </row>
    <row r="2018" spans="1:23" hidden="1" x14ac:dyDescent="0.25">
      <c r="A2018" s="2">
        <v>45719.594293981485</v>
      </c>
      <c r="B2018">
        <v>3712</v>
      </c>
      <c r="C2018" t="s">
        <v>1428</v>
      </c>
      <c r="D2018" s="3">
        <v>45645</v>
      </c>
      <c r="E2018" s="3">
        <v>45930</v>
      </c>
      <c r="F2018" t="s">
        <v>21</v>
      </c>
      <c r="H2018" t="s">
        <v>22</v>
      </c>
      <c r="I2018" t="s">
        <v>1431</v>
      </c>
      <c r="K2018" t="s">
        <v>24</v>
      </c>
      <c r="L2018" s="4">
        <v>219.37</v>
      </c>
      <c r="M2018" t="s">
        <v>1429</v>
      </c>
      <c r="N2018" t="s">
        <v>26</v>
      </c>
      <c r="O2018" s="4">
        <v>300</v>
      </c>
      <c r="P2018">
        <v>0</v>
      </c>
      <c r="Q2018" s="4">
        <v>300</v>
      </c>
      <c r="R2018" s="12">
        <f t="shared" si="31"/>
        <v>65811</v>
      </c>
      <c r="T2018" t="s">
        <v>151</v>
      </c>
      <c r="U2018" t="s">
        <v>1430</v>
      </c>
      <c r="V2018" s="4">
        <v>219.37</v>
      </c>
      <c r="W2018">
        <v>0</v>
      </c>
    </row>
    <row r="2019" spans="1:23" hidden="1" x14ac:dyDescent="0.25">
      <c r="A2019" s="2">
        <v>45719.594293981485</v>
      </c>
      <c r="B2019">
        <v>3712</v>
      </c>
      <c r="C2019" t="s">
        <v>1428</v>
      </c>
      <c r="D2019" s="3">
        <v>45645</v>
      </c>
      <c r="E2019" s="3">
        <v>45930</v>
      </c>
      <c r="F2019" t="s">
        <v>21</v>
      </c>
      <c r="H2019" t="s">
        <v>22</v>
      </c>
      <c r="I2019" t="s">
        <v>276</v>
      </c>
      <c r="K2019" t="s">
        <v>31</v>
      </c>
      <c r="L2019" s="4">
        <v>25.35</v>
      </c>
      <c r="M2019" t="s">
        <v>1429</v>
      </c>
      <c r="N2019" t="s">
        <v>26</v>
      </c>
      <c r="O2019" s="4">
        <v>1000</v>
      </c>
      <c r="P2019">
        <v>0</v>
      </c>
      <c r="Q2019" s="4">
        <v>1000</v>
      </c>
      <c r="R2019" s="12">
        <f t="shared" si="31"/>
        <v>25350</v>
      </c>
      <c r="T2019" t="s">
        <v>151</v>
      </c>
      <c r="U2019" t="s">
        <v>1430</v>
      </c>
      <c r="V2019" s="4">
        <v>25.35</v>
      </c>
      <c r="W2019">
        <v>0</v>
      </c>
    </row>
    <row r="2020" spans="1:23" hidden="1" x14ac:dyDescent="0.25">
      <c r="A2020" s="2">
        <v>45719.594293981485</v>
      </c>
      <c r="B2020">
        <v>3712</v>
      </c>
      <c r="C2020" t="s">
        <v>1428</v>
      </c>
      <c r="D2020" s="3">
        <v>45645</v>
      </c>
      <c r="E2020" s="3">
        <v>45930</v>
      </c>
      <c r="F2020" t="s">
        <v>21</v>
      </c>
      <c r="G2020" t="s">
        <v>1493</v>
      </c>
      <c r="H2020" t="s">
        <v>22</v>
      </c>
      <c r="I2020" t="s">
        <v>41</v>
      </c>
      <c r="J2020" t="s">
        <v>1491</v>
      </c>
      <c r="K2020" t="s">
        <v>24</v>
      </c>
      <c r="L2020" s="4">
        <v>292.5</v>
      </c>
      <c r="M2020" t="s">
        <v>1429</v>
      </c>
      <c r="N2020" t="s">
        <v>26</v>
      </c>
      <c r="O2020" s="4">
        <v>200</v>
      </c>
      <c r="P2020">
        <v>0</v>
      </c>
      <c r="Q2020" s="4">
        <v>200</v>
      </c>
      <c r="R2020" s="12">
        <f t="shared" si="31"/>
        <v>58500</v>
      </c>
      <c r="T2020" t="s">
        <v>151</v>
      </c>
      <c r="U2020" t="s">
        <v>1430</v>
      </c>
      <c r="V2020" s="4">
        <v>292.5</v>
      </c>
      <c r="W2020">
        <v>0</v>
      </c>
    </row>
    <row r="2021" spans="1:23" hidden="1" x14ac:dyDescent="0.25">
      <c r="A2021" s="2">
        <v>45719.594293981485</v>
      </c>
      <c r="B2021">
        <v>3712</v>
      </c>
      <c r="C2021" t="s">
        <v>1428</v>
      </c>
      <c r="D2021" s="3">
        <v>45645</v>
      </c>
      <c r="E2021" s="3">
        <v>45930</v>
      </c>
      <c r="F2021" t="s">
        <v>21</v>
      </c>
      <c r="G2021" t="s">
        <v>1493</v>
      </c>
      <c r="H2021" t="s">
        <v>22</v>
      </c>
      <c r="I2021" t="s">
        <v>43</v>
      </c>
      <c r="J2021" t="s">
        <v>1491</v>
      </c>
      <c r="K2021" t="s">
        <v>24</v>
      </c>
      <c r="L2021" s="4">
        <v>43.651741000000001</v>
      </c>
      <c r="M2021" t="s">
        <v>1429</v>
      </c>
      <c r="N2021" t="s">
        <v>26</v>
      </c>
      <c r="O2021" s="4">
        <v>402</v>
      </c>
      <c r="P2021">
        <v>0</v>
      </c>
      <c r="Q2021" s="4">
        <v>402</v>
      </c>
      <c r="R2021" s="12">
        <f t="shared" si="31"/>
        <v>17547.999882</v>
      </c>
      <c r="T2021" t="s">
        <v>151</v>
      </c>
      <c r="U2021" t="s">
        <v>1430</v>
      </c>
      <c r="V2021" s="4">
        <v>43.651741000000001</v>
      </c>
      <c r="W2021">
        <v>0</v>
      </c>
    </row>
    <row r="2022" spans="1:23" hidden="1" x14ac:dyDescent="0.25">
      <c r="A2022" s="2">
        <v>45719.594293981485</v>
      </c>
      <c r="B2022">
        <v>3712</v>
      </c>
      <c r="C2022" t="s">
        <v>1428</v>
      </c>
      <c r="D2022" s="3">
        <v>45645</v>
      </c>
      <c r="E2022" s="3">
        <v>45930</v>
      </c>
      <c r="F2022" t="s">
        <v>21</v>
      </c>
      <c r="G2022" t="s">
        <v>1493</v>
      </c>
      <c r="H2022" t="s">
        <v>22</v>
      </c>
      <c r="I2022" t="s">
        <v>38</v>
      </c>
      <c r="J2022" t="s">
        <v>1491</v>
      </c>
      <c r="K2022" t="s">
        <v>24</v>
      </c>
      <c r="L2022" s="4">
        <v>43.651741000000001</v>
      </c>
      <c r="M2022" t="s">
        <v>1429</v>
      </c>
      <c r="N2022" t="s">
        <v>26</v>
      </c>
      <c r="O2022" s="4">
        <v>201</v>
      </c>
      <c r="P2022">
        <v>0</v>
      </c>
      <c r="Q2022" s="4">
        <v>201</v>
      </c>
      <c r="R2022" s="12">
        <f t="shared" si="31"/>
        <v>8773.999941</v>
      </c>
      <c r="T2022" t="s">
        <v>151</v>
      </c>
      <c r="U2022" t="s">
        <v>1430</v>
      </c>
      <c r="V2022" s="4">
        <v>43.651741000000001</v>
      </c>
      <c r="W2022">
        <v>0</v>
      </c>
    </row>
    <row r="2023" spans="1:23" hidden="1" x14ac:dyDescent="0.25">
      <c r="A2023" s="2">
        <v>45719.594293981485</v>
      </c>
      <c r="B2023">
        <v>3712</v>
      </c>
      <c r="C2023" t="s">
        <v>1428</v>
      </c>
      <c r="D2023" s="3">
        <v>45645</v>
      </c>
      <c r="E2023" s="3">
        <v>45930</v>
      </c>
      <c r="F2023" t="s">
        <v>21</v>
      </c>
      <c r="H2023" t="s">
        <v>22</v>
      </c>
      <c r="I2023" t="s">
        <v>278</v>
      </c>
      <c r="K2023" t="s">
        <v>24</v>
      </c>
      <c r="L2023" s="4">
        <v>24.37</v>
      </c>
      <c r="M2023" t="s">
        <v>1429</v>
      </c>
      <c r="N2023" t="s">
        <v>26</v>
      </c>
      <c r="O2023" s="4">
        <v>3000</v>
      </c>
      <c r="P2023">
        <v>0</v>
      </c>
      <c r="Q2023" s="4">
        <v>3000</v>
      </c>
      <c r="R2023" s="12">
        <f t="shared" si="31"/>
        <v>73110</v>
      </c>
      <c r="T2023" t="s">
        <v>151</v>
      </c>
      <c r="U2023" t="s">
        <v>1430</v>
      </c>
      <c r="V2023" s="4">
        <v>24.37</v>
      </c>
      <c r="W2023">
        <v>0</v>
      </c>
    </row>
    <row r="2024" spans="1:23" hidden="1" x14ac:dyDescent="0.25">
      <c r="A2024" s="2">
        <v>45719.594293981485</v>
      </c>
      <c r="B2024">
        <v>3712</v>
      </c>
      <c r="C2024" t="s">
        <v>1428</v>
      </c>
      <c r="D2024" s="3">
        <v>45645</v>
      </c>
      <c r="E2024" s="3">
        <v>45930</v>
      </c>
      <c r="F2024" t="s">
        <v>21</v>
      </c>
      <c r="H2024" t="s">
        <v>22</v>
      </c>
      <c r="I2024" t="s">
        <v>272</v>
      </c>
      <c r="K2024" t="s">
        <v>31</v>
      </c>
      <c r="L2024" s="4">
        <v>25.35</v>
      </c>
      <c r="M2024" t="s">
        <v>1429</v>
      </c>
      <c r="N2024" t="s">
        <v>26</v>
      </c>
      <c r="O2024" s="4">
        <v>1000</v>
      </c>
      <c r="P2024">
        <v>0</v>
      </c>
      <c r="Q2024" s="4">
        <v>1000</v>
      </c>
      <c r="R2024" s="12">
        <f t="shared" si="31"/>
        <v>25350</v>
      </c>
      <c r="T2024" t="s">
        <v>151</v>
      </c>
      <c r="U2024" t="s">
        <v>1430</v>
      </c>
      <c r="V2024" s="4">
        <v>25.35</v>
      </c>
      <c r="W2024">
        <v>0</v>
      </c>
    </row>
    <row r="2025" spans="1:23" hidden="1" x14ac:dyDescent="0.25">
      <c r="A2025" s="2">
        <v>45719.594293981485</v>
      </c>
      <c r="B2025">
        <v>3712</v>
      </c>
      <c r="C2025" t="s">
        <v>1428</v>
      </c>
      <c r="D2025" s="3">
        <v>45645</v>
      </c>
      <c r="E2025" s="3">
        <v>45930</v>
      </c>
      <c r="F2025" t="s">
        <v>21</v>
      </c>
      <c r="H2025" t="s">
        <v>22</v>
      </c>
      <c r="I2025" t="s">
        <v>863</v>
      </c>
      <c r="K2025" t="s">
        <v>31</v>
      </c>
      <c r="L2025" s="4">
        <v>63.37</v>
      </c>
      <c r="M2025" t="s">
        <v>1429</v>
      </c>
      <c r="N2025" t="s">
        <v>26</v>
      </c>
      <c r="O2025" s="4">
        <v>600</v>
      </c>
      <c r="P2025">
        <v>0</v>
      </c>
      <c r="Q2025" s="4">
        <v>600</v>
      </c>
      <c r="R2025" s="12">
        <f t="shared" si="31"/>
        <v>38022</v>
      </c>
      <c r="T2025" t="s">
        <v>151</v>
      </c>
      <c r="U2025" t="s">
        <v>1430</v>
      </c>
      <c r="V2025" s="4">
        <v>63.37</v>
      </c>
      <c r="W2025">
        <v>0</v>
      </c>
    </row>
    <row r="2026" spans="1:23" hidden="1" x14ac:dyDescent="0.25">
      <c r="A2026" s="2">
        <v>45719.594293981485</v>
      </c>
      <c r="B2026">
        <v>3712</v>
      </c>
      <c r="C2026" t="s">
        <v>1428</v>
      </c>
      <c r="D2026" s="3">
        <v>45645</v>
      </c>
      <c r="E2026" s="3">
        <v>45930</v>
      </c>
      <c r="F2026" t="s">
        <v>21</v>
      </c>
      <c r="H2026" t="s">
        <v>22</v>
      </c>
      <c r="I2026" t="s">
        <v>279</v>
      </c>
      <c r="K2026" t="s">
        <v>31</v>
      </c>
      <c r="L2026" s="4">
        <v>250.57</v>
      </c>
      <c r="M2026" t="s">
        <v>1429</v>
      </c>
      <c r="N2026" t="s">
        <v>26</v>
      </c>
      <c r="O2026" s="4">
        <v>175</v>
      </c>
      <c r="P2026">
        <v>0</v>
      </c>
      <c r="Q2026" s="4">
        <v>175</v>
      </c>
      <c r="R2026" s="12">
        <f t="shared" si="31"/>
        <v>43849.75</v>
      </c>
      <c r="T2026" t="s">
        <v>151</v>
      </c>
      <c r="U2026" t="s">
        <v>1430</v>
      </c>
      <c r="V2026" s="4">
        <v>250.57</v>
      </c>
      <c r="W2026">
        <v>0</v>
      </c>
    </row>
    <row r="2027" spans="1:23" hidden="1" x14ac:dyDescent="0.25">
      <c r="A2027" s="2">
        <v>45719.594293981485</v>
      </c>
      <c r="B2027">
        <v>3712</v>
      </c>
      <c r="C2027" t="s">
        <v>1428</v>
      </c>
      <c r="D2027" s="3">
        <v>45645</v>
      </c>
      <c r="E2027" s="3">
        <v>45930</v>
      </c>
      <c r="F2027" t="s">
        <v>21</v>
      </c>
      <c r="H2027" t="s">
        <v>22</v>
      </c>
      <c r="I2027" t="s">
        <v>89</v>
      </c>
      <c r="K2027" t="s">
        <v>31</v>
      </c>
      <c r="L2027" s="4">
        <v>22.42</v>
      </c>
      <c r="M2027" t="s">
        <v>1429</v>
      </c>
      <c r="N2027" t="s">
        <v>26</v>
      </c>
      <c r="O2027" s="4">
        <v>2000</v>
      </c>
      <c r="P2027">
        <v>0</v>
      </c>
      <c r="Q2027" s="4">
        <v>2000</v>
      </c>
      <c r="R2027" s="12">
        <f t="shared" si="31"/>
        <v>44840</v>
      </c>
      <c r="T2027" t="s">
        <v>151</v>
      </c>
      <c r="U2027" t="s">
        <v>1430</v>
      </c>
      <c r="V2027" s="4">
        <v>22.42</v>
      </c>
      <c r="W2027">
        <v>0</v>
      </c>
    </row>
    <row r="2028" spans="1:23" hidden="1" x14ac:dyDescent="0.25">
      <c r="A2028" s="2">
        <v>45719.594293981485</v>
      </c>
      <c r="B2028">
        <v>3712</v>
      </c>
      <c r="C2028" t="s">
        <v>1428</v>
      </c>
      <c r="D2028" s="3">
        <v>45645</v>
      </c>
      <c r="E2028" s="3">
        <v>45930</v>
      </c>
      <c r="F2028" t="s">
        <v>21</v>
      </c>
      <c r="H2028" t="s">
        <v>22</v>
      </c>
      <c r="I2028" t="s">
        <v>1432</v>
      </c>
      <c r="K2028" t="s">
        <v>31</v>
      </c>
      <c r="L2028" s="4">
        <v>25.74</v>
      </c>
      <c r="M2028" t="s">
        <v>1429</v>
      </c>
      <c r="N2028" t="s">
        <v>26</v>
      </c>
      <c r="O2028" s="4">
        <v>2000</v>
      </c>
      <c r="P2028">
        <v>0</v>
      </c>
      <c r="Q2028" s="4">
        <v>2000</v>
      </c>
      <c r="R2028" s="12">
        <f t="shared" si="31"/>
        <v>51480</v>
      </c>
      <c r="T2028" t="s">
        <v>151</v>
      </c>
      <c r="U2028" t="s">
        <v>1430</v>
      </c>
      <c r="V2028" s="4">
        <v>25.74</v>
      </c>
      <c r="W2028">
        <v>0</v>
      </c>
    </row>
    <row r="2029" spans="1:23" hidden="1" x14ac:dyDescent="0.25">
      <c r="A2029" s="2">
        <v>45719.594293981485</v>
      </c>
      <c r="B2029">
        <v>3712</v>
      </c>
      <c r="C2029" t="s">
        <v>1428</v>
      </c>
      <c r="D2029" s="3">
        <v>45645</v>
      </c>
      <c r="E2029" s="3">
        <v>45930</v>
      </c>
      <c r="F2029" t="s">
        <v>21</v>
      </c>
      <c r="G2029" t="s">
        <v>1493</v>
      </c>
      <c r="H2029" t="s">
        <v>22</v>
      </c>
      <c r="I2029" t="s">
        <v>101</v>
      </c>
      <c r="J2029" t="s">
        <v>1491</v>
      </c>
      <c r="K2029" t="s">
        <v>31</v>
      </c>
      <c r="L2029" s="4">
        <v>585</v>
      </c>
      <c r="M2029" t="s">
        <v>1429</v>
      </c>
      <c r="N2029" t="s">
        <v>26</v>
      </c>
      <c r="O2029" s="4">
        <v>20</v>
      </c>
      <c r="P2029">
        <v>0</v>
      </c>
      <c r="Q2029" s="4">
        <v>20</v>
      </c>
      <c r="R2029" s="12">
        <f t="shared" si="31"/>
        <v>11700</v>
      </c>
      <c r="T2029" t="s">
        <v>151</v>
      </c>
      <c r="U2029" t="s">
        <v>1430</v>
      </c>
      <c r="V2029" s="4">
        <v>585</v>
      </c>
      <c r="W2029">
        <v>0</v>
      </c>
    </row>
    <row r="2030" spans="1:23" hidden="1" x14ac:dyDescent="0.25">
      <c r="A2030" s="2">
        <v>45719.594293981485</v>
      </c>
      <c r="B2030">
        <v>3712</v>
      </c>
      <c r="C2030" t="s">
        <v>1428</v>
      </c>
      <c r="D2030" s="3">
        <v>45645</v>
      </c>
      <c r="E2030" s="3">
        <v>45930</v>
      </c>
      <c r="F2030" t="s">
        <v>21</v>
      </c>
      <c r="H2030" t="s">
        <v>22</v>
      </c>
      <c r="I2030" t="s">
        <v>277</v>
      </c>
      <c r="K2030" t="s">
        <v>31</v>
      </c>
      <c r="L2030" s="4">
        <v>250.57</v>
      </c>
      <c r="M2030" t="s">
        <v>1429</v>
      </c>
      <c r="N2030" t="s">
        <v>26</v>
      </c>
      <c r="O2030" s="4">
        <v>25</v>
      </c>
      <c r="P2030">
        <v>0</v>
      </c>
      <c r="Q2030" s="4">
        <v>25</v>
      </c>
      <c r="R2030" s="12">
        <f t="shared" si="31"/>
        <v>6264.25</v>
      </c>
      <c r="T2030" t="s">
        <v>151</v>
      </c>
      <c r="U2030" t="s">
        <v>1430</v>
      </c>
      <c r="V2030" s="4">
        <v>250.57</v>
      </c>
      <c r="W2030">
        <v>0</v>
      </c>
    </row>
    <row r="2031" spans="1:23" hidden="1" x14ac:dyDescent="0.25">
      <c r="A2031" s="2">
        <v>45719.599895833337</v>
      </c>
      <c r="B2031">
        <v>3713</v>
      </c>
      <c r="C2031" t="s">
        <v>1428</v>
      </c>
      <c r="D2031" s="3">
        <v>45645</v>
      </c>
      <c r="E2031" s="3">
        <v>45930</v>
      </c>
      <c r="F2031" t="s">
        <v>21</v>
      </c>
      <c r="G2031" t="s">
        <v>1493</v>
      </c>
      <c r="H2031" t="s">
        <v>22</v>
      </c>
      <c r="I2031" t="s">
        <v>38</v>
      </c>
      <c r="J2031" t="s">
        <v>1491</v>
      </c>
      <c r="K2031" t="s">
        <v>24</v>
      </c>
      <c r="L2031" s="4">
        <v>43.87</v>
      </c>
      <c r="M2031" t="s">
        <v>1433</v>
      </c>
      <c r="N2031" t="s">
        <v>46</v>
      </c>
      <c r="O2031" s="4">
        <v>180</v>
      </c>
      <c r="P2031">
        <v>0</v>
      </c>
      <c r="Q2031" s="4">
        <v>180</v>
      </c>
      <c r="R2031" s="12">
        <f t="shared" si="31"/>
        <v>7896.5999999999995</v>
      </c>
      <c r="T2031" t="s">
        <v>151</v>
      </c>
      <c r="U2031" t="s">
        <v>1430</v>
      </c>
      <c r="V2031" s="4">
        <v>43.87</v>
      </c>
      <c r="W2031">
        <v>0</v>
      </c>
    </row>
    <row r="2032" spans="1:23" hidden="1" x14ac:dyDescent="0.25">
      <c r="A2032" s="2">
        <v>45719.599895833337</v>
      </c>
      <c r="B2032">
        <v>3713</v>
      </c>
      <c r="C2032" t="s">
        <v>1428</v>
      </c>
      <c r="D2032" s="3">
        <v>45645</v>
      </c>
      <c r="E2032" s="3">
        <v>45930</v>
      </c>
      <c r="F2032" t="s">
        <v>21</v>
      </c>
      <c r="G2032" t="s">
        <v>1493</v>
      </c>
      <c r="H2032" t="s">
        <v>22</v>
      </c>
      <c r="I2032" t="s">
        <v>41</v>
      </c>
      <c r="J2032" t="s">
        <v>1491</v>
      </c>
      <c r="K2032" t="s">
        <v>24</v>
      </c>
      <c r="L2032" s="4">
        <v>292.5</v>
      </c>
      <c r="M2032" t="s">
        <v>1433</v>
      </c>
      <c r="N2032" t="s">
        <v>46</v>
      </c>
      <c r="O2032" s="4">
        <v>180</v>
      </c>
      <c r="P2032">
        <v>0</v>
      </c>
      <c r="Q2032" s="4">
        <v>180</v>
      </c>
      <c r="R2032" s="12">
        <f t="shared" si="31"/>
        <v>52650</v>
      </c>
      <c r="T2032" t="s">
        <v>151</v>
      </c>
      <c r="U2032" t="s">
        <v>1430</v>
      </c>
      <c r="V2032" s="4">
        <v>292.5</v>
      </c>
      <c r="W2032">
        <v>0</v>
      </c>
    </row>
    <row r="2033" spans="1:23" hidden="1" x14ac:dyDescent="0.25">
      <c r="A2033" s="2">
        <v>45719.599895833337</v>
      </c>
      <c r="B2033">
        <v>3713</v>
      </c>
      <c r="C2033" t="s">
        <v>1428</v>
      </c>
      <c r="D2033" s="3">
        <v>45645</v>
      </c>
      <c r="E2033" s="3">
        <v>45930</v>
      </c>
      <c r="F2033" t="s">
        <v>21</v>
      </c>
      <c r="G2033" t="s">
        <v>1493</v>
      </c>
      <c r="H2033" t="s">
        <v>22</v>
      </c>
      <c r="I2033" t="s">
        <v>40</v>
      </c>
      <c r="J2033" t="s">
        <v>1491</v>
      </c>
      <c r="K2033" t="s">
        <v>24</v>
      </c>
      <c r="L2033" s="4">
        <v>292.5</v>
      </c>
      <c r="M2033" t="s">
        <v>1433</v>
      </c>
      <c r="N2033" t="s">
        <v>46</v>
      </c>
      <c r="O2033" s="4">
        <v>180</v>
      </c>
      <c r="P2033">
        <v>0</v>
      </c>
      <c r="Q2033" s="4">
        <v>180</v>
      </c>
      <c r="R2033" s="12">
        <f t="shared" si="31"/>
        <v>52650</v>
      </c>
      <c r="T2033" t="s">
        <v>151</v>
      </c>
      <c r="U2033" t="s">
        <v>1430</v>
      </c>
      <c r="V2033" s="4">
        <v>292.5</v>
      </c>
      <c r="W2033">
        <v>0</v>
      </c>
    </row>
    <row r="2034" spans="1:23" hidden="1" x14ac:dyDescent="0.25">
      <c r="A2034" s="2">
        <v>45719.599895833337</v>
      </c>
      <c r="B2034">
        <v>3713</v>
      </c>
      <c r="C2034" t="s">
        <v>1428</v>
      </c>
      <c r="D2034" s="3">
        <v>45645</v>
      </c>
      <c r="E2034" s="3">
        <v>45930</v>
      </c>
      <c r="F2034" t="s">
        <v>21</v>
      </c>
      <c r="G2034" t="s">
        <v>1493</v>
      </c>
      <c r="H2034" t="s">
        <v>22</v>
      </c>
      <c r="I2034" t="s">
        <v>44</v>
      </c>
      <c r="J2034" t="s">
        <v>1491</v>
      </c>
      <c r="K2034" t="s">
        <v>31</v>
      </c>
      <c r="L2034" s="4">
        <v>360.75</v>
      </c>
      <c r="M2034" t="s">
        <v>1433</v>
      </c>
      <c r="N2034" t="s">
        <v>46</v>
      </c>
      <c r="O2034" s="4">
        <v>180</v>
      </c>
      <c r="P2034">
        <v>0</v>
      </c>
      <c r="Q2034" s="4">
        <v>180</v>
      </c>
      <c r="R2034" s="12">
        <f t="shared" si="31"/>
        <v>64935</v>
      </c>
      <c r="T2034" t="s">
        <v>151</v>
      </c>
      <c r="U2034" t="s">
        <v>1430</v>
      </c>
      <c r="V2034" s="4">
        <v>360.75</v>
      </c>
      <c r="W2034">
        <v>0</v>
      </c>
    </row>
    <row r="2035" spans="1:23" hidden="1" x14ac:dyDescent="0.25">
      <c r="A2035" s="2">
        <v>45719.599895833337</v>
      </c>
      <c r="B2035">
        <v>3713</v>
      </c>
      <c r="C2035" t="s">
        <v>1428</v>
      </c>
      <c r="D2035" s="3">
        <v>45645</v>
      </c>
      <c r="E2035" s="3">
        <v>45930</v>
      </c>
      <c r="F2035" t="s">
        <v>21</v>
      </c>
      <c r="H2035" t="s">
        <v>22</v>
      </c>
      <c r="I2035" t="s">
        <v>1431</v>
      </c>
      <c r="K2035" t="s">
        <v>24</v>
      </c>
      <c r="L2035" s="4">
        <v>219.36666600000001</v>
      </c>
      <c r="M2035" t="s">
        <v>1433</v>
      </c>
      <c r="N2035" t="s">
        <v>46</v>
      </c>
      <c r="O2035" s="4">
        <v>240</v>
      </c>
      <c r="P2035">
        <v>0</v>
      </c>
      <c r="Q2035" s="4">
        <v>240</v>
      </c>
      <c r="R2035" s="12">
        <f t="shared" si="31"/>
        <v>52647.999840000004</v>
      </c>
      <c r="T2035" t="s">
        <v>151</v>
      </c>
      <c r="U2035" t="s">
        <v>1430</v>
      </c>
      <c r="V2035" s="4">
        <v>219.36666600000001</v>
      </c>
      <c r="W2035">
        <v>0</v>
      </c>
    </row>
    <row r="2036" spans="1:23" hidden="1" x14ac:dyDescent="0.25">
      <c r="A2036" s="2">
        <v>45719.599895833337</v>
      </c>
      <c r="B2036">
        <v>3713</v>
      </c>
      <c r="C2036" t="s">
        <v>1428</v>
      </c>
      <c r="D2036" s="3">
        <v>45645</v>
      </c>
      <c r="E2036" s="3">
        <v>45930</v>
      </c>
      <c r="F2036" t="s">
        <v>21</v>
      </c>
      <c r="H2036" t="s">
        <v>22</v>
      </c>
      <c r="I2036" t="s">
        <v>278</v>
      </c>
      <c r="K2036" t="s">
        <v>24</v>
      </c>
      <c r="L2036" s="4">
        <v>24.37</v>
      </c>
      <c r="M2036" t="s">
        <v>1433</v>
      </c>
      <c r="N2036" t="s">
        <v>46</v>
      </c>
      <c r="O2036" s="4">
        <v>1800</v>
      </c>
      <c r="P2036">
        <v>0</v>
      </c>
      <c r="Q2036" s="4">
        <v>1800</v>
      </c>
      <c r="R2036" s="12">
        <f t="shared" si="31"/>
        <v>43866</v>
      </c>
      <c r="T2036" t="s">
        <v>151</v>
      </c>
      <c r="U2036" t="s">
        <v>1430</v>
      </c>
      <c r="V2036" s="4">
        <v>24.37</v>
      </c>
      <c r="W2036">
        <v>0</v>
      </c>
    </row>
    <row r="2037" spans="1:23" hidden="1" x14ac:dyDescent="0.25">
      <c r="A2037" s="2">
        <v>45719.599895833337</v>
      </c>
      <c r="B2037">
        <v>3713</v>
      </c>
      <c r="C2037" t="s">
        <v>1428</v>
      </c>
      <c r="D2037" s="3">
        <v>45645</v>
      </c>
      <c r="E2037" s="3">
        <v>45930</v>
      </c>
      <c r="F2037" t="s">
        <v>21</v>
      </c>
      <c r="H2037" t="s">
        <v>22</v>
      </c>
      <c r="I2037" t="s">
        <v>1434</v>
      </c>
      <c r="K2037" t="s">
        <v>31</v>
      </c>
      <c r="L2037" s="4">
        <v>92.62</v>
      </c>
      <c r="M2037" t="s">
        <v>1433</v>
      </c>
      <c r="N2037" t="s">
        <v>46</v>
      </c>
      <c r="O2037" s="4">
        <v>270</v>
      </c>
      <c r="P2037">
        <v>0</v>
      </c>
      <c r="Q2037" s="4">
        <v>270</v>
      </c>
      <c r="R2037" s="12">
        <f t="shared" si="31"/>
        <v>25007.4</v>
      </c>
      <c r="T2037" t="s">
        <v>151</v>
      </c>
      <c r="U2037" t="s">
        <v>1430</v>
      </c>
      <c r="V2037" s="4">
        <v>92.62</v>
      </c>
      <c r="W2037">
        <v>0</v>
      </c>
    </row>
    <row r="2038" spans="1:23" hidden="1" x14ac:dyDescent="0.25">
      <c r="A2038" s="2">
        <v>45719.599895833337</v>
      </c>
      <c r="B2038">
        <v>3713</v>
      </c>
      <c r="C2038" t="s">
        <v>1428</v>
      </c>
      <c r="D2038" s="3">
        <v>45645</v>
      </c>
      <c r="E2038" s="3">
        <v>45930</v>
      </c>
      <c r="F2038" t="s">
        <v>21</v>
      </c>
      <c r="H2038" t="s">
        <v>22</v>
      </c>
      <c r="I2038" t="s">
        <v>1010</v>
      </c>
      <c r="K2038" t="s">
        <v>31</v>
      </c>
      <c r="L2038" s="4">
        <v>25.74</v>
      </c>
      <c r="M2038" t="s">
        <v>1433</v>
      </c>
      <c r="N2038" t="s">
        <v>46</v>
      </c>
      <c r="O2038" s="4">
        <v>760</v>
      </c>
      <c r="P2038">
        <v>0</v>
      </c>
      <c r="Q2038" s="4">
        <v>760</v>
      </c>
      <c r="R2038" s="12">
        <f t="shared" si="31"/>
        <v>19562.399999999998</v>
      </c>
      <c r="T2038" t="s">
        <v>151</v>
      </c>
      <c r="U2038" t="s">
        <v>1430</v>
      </c>
      <c r="V2038" s="4">
        <v>25.74</v>
      </c>
      <c r="W2038">
        <v>0</v>
      </c>
    </row>
    <row r="2039" spans="1:23" hidden="1" x14ac:dyDescent="0.25">
      <c r="A2039" s="2">
        <v>45719.599895833337</v>
      </c>
      <c r="B2039">
        <v>3713</v>
      </c>
      <c r="C2039" t="s">
        <v>1428</v>
      </c>
      <c r="D2039" s="3">
        <v>45645</v>
      </c>
      <c r="E2039" s="3">
        <v>45930</v>
      </c>
      <c r="F2039" t="s">
        <v>21</v>
      </c>
      <c r="H2039" t="s">
        <v>22</v>
      </c>
      <c r="I2039" t="s">
        <v>277</v>
      </c>
      <c r="K2039" t="s">
        <v>31</v>
      </c>
      <c r="L2039" s="4">
        <v>250.57</v>
      </c>
      <c r="M2039" t="s">
        <v>1433</v>
      </c>
      <c r="N2039" t="s">
        <v>46</v>
      </c>
      <c r="O2039" s="4">
        <v>5</v>
      </c>
      <c r="P2039">
        <v>0</v>
      </c>
      <c r="Q2039" s="4">
        <v>5</v>
      </c>
      <c r="R2039" s="12">
        <f t="shared" si="31"/>
        <v>1252.8499999999999</v>
      </c>
      <c r="T2039" t="s">
        <v>151</v>
      </c>
      <c r="U2039" t="s">
        <v>1430</v>
      </c>
      <c r="V2039" s="4">
        <v>250.57</v>
      </c>
      <c r="W2039">
        <v>0</v>
      </c>
    </row>
    <row r="2040" spans="1:23" hidden="1" x14ac:dyDescent="0.25">
      <c r="A2040" s="2">
        <v>45719.599895833337</v>
      </c>
      <c r="B2040">
        <v>3713</v>
      </c>
      <c r="C2040" t="s">
        <v>1428</v>
      </c>
      <c r="D2040" s="3">
        <v>45645</v>
      </c>
      <c r="E2040" s="3">
        <v>45930</v>
      </c>
      <c r="F2040" t="s">
        <v>21</v>
      </c>
      <c r="H2040" t="s">
        <v>22</v>
      </c>
      <c r="I2040" t="s">
        <v>738</v>
      </c>
      <c r="K2040" t="s">
        <v>24</v>
      </c>
      <c r="L2040" s="4">
        <v>66.742221999999998</v>
      </c>
      <c r="M2040" t="s">
        <v>1433</v>
      </c>
      <c r="N2040" t="s">
        <v>46</v>
      </c>
      <c r="O2040" s="4">
        <v>1000</v>
      </c>
      <c r="P2040">
        <v>0</v>
      </c>
      <c r="Q2040" s="4">
        <v>1000</v>
      </c>
      <c r="R2040" s="12">
        <f t="shared" si="31"/>
        <v>66742.221999999994</v>
      </c>
      <c r="T2040" t="s">
        <v>151</v>
      </c>
      <c r="U2040" t="s">
        <v>1430</v>
      </c>
      <c r="V2040" s="4">
        <v>66.742221999999998</v>
      </c>
      <c r="W2040">
        <v>0</v>
      </c>
    </row>
    <row r="2041" spans="1:23" hidden="1" x14ac:dyDescent="0.25">
      <c r="A2041" s="2">
        <v>45719.599895833337</v>
      </c>
      <c r="B2041">
        <v>3713</v>
      </c>
      <c r="C2041" t="s">
        <v>1428</v>
      </c>
      <c r="D2041" s="3">
        <v>45645</v>
      </c>
      <c r="E2041" s="3">
        <v>45930</v>
      </c>
      <c r="F2041" t="s">
        <v>21</v>
      </c>
      <c r="H2041" t="s">
        <v>22</v>
      </c>
      <c r="I2041" t="s">
        <v>279</v>
      </c>
      <c r="K2041" t="s">
        <v>31</v>
      </c>
      <c r="L2041" s="4">
        <v>250.57</v>
      </c>
      <c r="M2041" t="s">
        <v>1433</v>
      </c>
      <c r="N2041" t="s">
        <v>46</v>
      </c>
      <c r="O2041" s="4">
        <v>175</v>
      </c>
      <c r="P2041">
        <v>0</v>
      </c>
      <c r="Q2041" s="4">
        <v>175</v>
      </c>
      <c r="R2041" s="12">
        <f t="shared" si="31"/>
        <v>43849.75</v>
      </c>
      <c r="T2041" t="s">
        <v>151</v>
      </c>
      <c r="U2041" t="s">
        <v>1430</v>
      </c>
      <c r="V2041" s="4">
        <v>250.57</v>
      </c>
      <c r="W2041">
        <v>0</v>
      </c>
    </row>
    <row r="2042" spans="1:23" hidden="1" x14ac:dyDescent="0.25">
      <c r="A2042" s="2">
        <v>45719.599895833337</v>
      </c>
      <c r="B2042">
        <v>3713</v>
      </c>
      <c r="C2042" t="s">
        <v>1428</v>
      </c>
      <c r="D2042" s="3">
        <v>45645</v>
      </c>
      <c r="E2042" s="3">
        <v>45930</v>
      </c>
      <c r="F2042" t="s">
        <v>21</v>
      </c>
      <c r="H2042" t="s">
        <v>22</v>
      </c>
      <c r="I2042" t="s">
        <v>796</v>
      </c>
      <c r="K2042" t="s">
        <v>24</v>
      </c>
      <c r="L2042" s="4">
        <v>219.36666600000001</v>
      </c>
      <c r="M2042" t="s">
        <v>1433</v>
      </c>
      <c r="N2042" t="s">
        <v>46</v>
      </c>
      <c r="O2042" s="4">
        <v>30</v>
      </c>
      <c r="P2042">
        <v>0</v>
      </c>
      <c r="Q2042" s="4">
        <v>30</v>
      </c>
      <c r="R2042" s="12">
        <f t="shared" si="31"/>
        <v>6580.9999800000005</v>
      </c>
      <c r="T2042" t="s">
        <v>151</v>
      </c>
      <c r="U2042" t="s">
        <v>1430</v>
      </c>
      <c r="V2042" s="4">
        <v>219.36666600000001</v>
      </c>
      <c r="W2042">
        <v>0</v>
      </c>
    </row>
    <row r="2043" spans="1:23" hidden="1" x14ac:dyDescent="0.25">
      <c r="A2043" s="2">
        <v>45719.599895833337</v>
      </c>
      <c r="B2043">
        <v>3713</v>
      </c>
      <c r="C2043" t="s">
        <v>1428</v>
      </c>
      <c r="D2043" s="3">
        <v>45645</v>
      </c>
      <c r="E2043" s="3">
        <v>45930</v>
      </c>
      <c r="F2043" t="s">
        <v>21</v>
      </c>
      <c r="H2043" t="s">
        <v>22</v>
      </c>
      <c r="I2043" t="s">
        <v>1432</v>
      </c>
      <c r="K2043" t="s">
        <v>31</v>
      </c>
      <c r="L2043" s="4">
        <v>25.74</v>
      </c>
      <c r="M2043" t="s">
        <v>1433</v>
      </c>
      <c r="N2043" t="s">
        <v>46</v>
      </c>
      <c r="O2043" s="4">
        <v>1040</v>
      </c>
      <c r="P2043">
        <v>0</v>
      </c>
      <c r="Q2043" s="4">
        <v>1040</v>
      </c>
      <c r="R2043" s="12">
        <f t="shared" si="31"/>
        <v>26769.599999999999</v>
      </c>
      <c r="T2043" t="s">
        <v>151</v>
      </c>
      <c r="U2043" t="s">
        <v>1430</v>
      </c>
      <c r="V2043" s="4">
        <v>25.74</v>
      </c>
      <c r="W2043">
        <v>0</v>
      </c>
    </row>
    <row r="2044" spans="1:23" hidden="1" x14ac:dyDescent="0.25">
      <c r="A2044" s="2">
        <v>45719.599895833337</v>
      </c>
      <c r="B2044">
        <v>3713</v>
      </c>
      <c r="C2044" t="s">
        <v>1428</v>
      </c>
      <c r="D2044" s="3">
        <v>45645</v>
      </c>
      <c r="E2044" s="3">
        <v>45930</v>
      </c>
      <c r="F2044" t="s">
        <v>21</v>
      </c>
      <c r="H2044" t="s">
        <v>22</v>
      </c>
      <c r="I2044" t="s">
        <v>1317</v>
      </c>
      <c r="K2044" t="s">
        <v>24</v>
      </c>
      <c r="L2044" s="4">
        <v>66.742221999999998</v>
      </c>
      <c r="M2044" t="s">
        <v>1433</v>
      </c>
      <c r="N2044" t="s">
        <v>46</v>
      </c>
      <c r="O2044" s="4">
        <v>800</v>
      </c>
      <c r="P2044">
        <v>0</v>
      </c>
      <c r="Q2044" s="4">
        <v>800</v>
      </c>
      <c r="R2044" s="12">
        <f t="shared" si="31"/>
        <v>53393.777600000001</v>
      </c>
      <c r="T2044" t="s">
        <v>151</v>
      </c>
      <c r="U2044" t="s">
        <v>1430</v>
      </c>
      <c r="V2044" s="4">
        <v>66.742221999999998</v>
      </c>
      <c r="W2044">
        <v>0</v>
      </c>
    </row>
    <row r="2045" spans="1:23" hidden="1" x14ac:dyDescent="0.25">
      <c r="A2045" s="2">
        <v>45719.599895833337</v>
      </c>
      <c r="B2045">
        <v>3713</v>
      </c>
      <c r="C2045" t="s">
        <v>1428</v>
      </c>
      <c r="D2045" s="3">
        <v>45645</v>
      </c>
      <c r="E2045" s="3">
        <v>45930</v>
      </c>
      <c r="F2045" t="s">
        <v>21</v>
      </c>
      <c r="H2045" t="s">
        <v>22</v>
      </c>
      <c r="I2045" t="s">
        <v>1435</v>
      </c>
      <c r="K2045" t="s">
        <v>31</v>
      </c>
      <c r="L2045" s="4">
        <v>73.12</v>
      </c>
      <c r="M2045" t="s">
        <v>1433</v>
      </c>
      <c r="N2045" t="s">
        <v>46</v>
      </c>
      <c r="O2045" s="4">
        <v>720</v>
      </c>
      <c r="P2045">
        <v>0</v>
      </c>
      <c r="Q2045" s="4">
        <v>720</v>
      </c>
      <c r="R2045" s="12">
        <f t="shared" si="31"/>
        <v>52646.400000000001</v>
      </c>
      <c r="T2045" t="s">
        <v>151</v>
      </c>
      <c r="U2045" t="s">
        <v>1430</v>
      </c>
      <c r="V2045" s="4">
        <v>73.12</v>
      </c>
      <c r="W2045">
        <v>0</v>
      </c>
    </row>
    <row r="2046" spans="1:23" hidden="1" x14ac:dyDescent="0.25">
      <c r="A2046" s="2">
        <v>45814.62090277778</v>
      </c>
      <c r="B2046">
        <v>3880</v>
      </c>
      <c r="C2046" t="s">
        <v>1428</v>
      </c>
      <c r="D2046" s="3">
        <v>45814</v>
      </c>
      <c r="E2046" s="3">
        <v>45930</v>
      </c>
      <c r="F2046" t="s">
        <v>21</v>
      </c>
      <c r="H2046" t="s">
        <v>22</v>
      </c>
      <c r="I2046" t="s">
        <v>35</v>
      </c>
      <c r="J2046" t="s">
        <v>1490</v>
      </c>
      <c r="K2046" t="s">
        <v>24</v>
      </c>
      <c r="L2046" s="4">
        <v>68</v>
      </c>
      <c r="M2046" t="s">
        <v>1436</v>
      </c>
      <c r="N2046" t="s">
        <v>26</v>
      </c>
      <c r="O2046" s="4">
        <v>1000</v>
      </c>
      <c r="P2046">
        <v>0</v>
      </c>
      <c r="Q2046" s="4">
        <v>1000</v>
      </c>
      <c r="R2046" s="12">
        <f t="shared" si="31"/>
        <v>68000</v>
      </c>
      <c r="T2046" t="s">
        <v>151</v>
      </c>
      <c r="U2046" t="s">
        <v>1430</v>
      </c>
      <c r="V2046" s="4">
        <v>68</v>
      </c>
      <c r="W2046">
        <v>0</v>
      </c>
    </row>
    <row r="2047" spans="1:23" hidden="1" x14ac:dyDescent="0.25">
      <c r="A2047" s="2">
        <v>45846.399918981479</v>
      </c>
      <c r="B2047">
        <v>3926</v>
      </c>
      <c r="C2047" t="s">
        <v>1428</v>
      </c>
      <c r="D2047" s="3">
        <v>45846</v>
      </c>
      <c r="E2047" s="3">
        <v>45930</v>
      </c>
      <c r="F2047" t="s">
        <v>21</v>
      </c>
      <c r="G2047" t="s">
        <v>1493</v>
      </c>
      <c r="H2047" t="s">
        <v>22</v>
      </c>
      <c r="I2047" t="s">
        <v>101</v>
      </c>
      <c r="J2047" t="s">
        <v>1491</v>
      </c>
      <c r="K2047" t="s">
        <v>31</v>
      </c>
      <c r="L2047" s="4">
        <v>585</v>
      </c>
      <c r="M2047" t="s">
        <v>1437</v>
      </c>
      <c r="N2047" t="s">
        <v>26</v>
      </c>
      <c r="O2047" s="4">
        <v>20</v>
      </c>
      <c r="P2047">
        <v>0</v>
      </c>
      <c r="Q2047" s="4">
        <v>20</v>
      </c>
      <c r="R2047" s="12">
        <f t="shared" si="31"/>
        <v>11700</v>
      </c>
      <c r="T2047" t="s">
        <v>151</v>
      </c>
      <c r="U2047" t="s">
        <v>1430</v>
      </c>
      <c r="V2047" s="4">
        <v>585</v>
      </c>
      <c r="W2047">
        <v>0</v>
      </c>
    </row>
    <row r="2048" spans="1:23" hidden="1" x14ac:dyDescent="0.25">
      <c r="A2048" s="2">
        <v>46068.385254629633</v>
      </c>
      <c r="B2048">
        <v>4564</v>
      </c>
      <c r="C2048" t="s">
        <v>1428</v>
      </c>
      <c r="D2048" s="3">
        <v>46068</v>
      </c>
      <c r="E2048" s="3">
        <v>46111</v>
      </c>
      <c r="F2048" t="s">
        <v>21</v>
      </c>
      <c r="G2048" t="s">
        <v>1493</v>
      </c>
      <c r="H2048" t="s">
        <v>22</v>
      </c>
      <c r="I2048" t="s">
        <v>44</v>
      </c>
      <c r="J2048" t="s">
        <v>1491</v>
      </c>
      <c r="K2048" t="s">
        <v>31</v>
      </c>
      <c r="L2048" s="4">
        <v>360.75</v>
      </c>
      <c r="M2048" t="s">
        <v>1438</v>
      </c>
      <c r="N2048" t="s">
        <v>46</v>
      </c>
      <c r="O2048" s="4">
        <v>20</v>
      </c>
      <c r="P2048">
        <v>0</v>
      </c>
      <c r="Q2048" s="4">
        <v>20</v>
      </c>
      <c r="R2048" s="12">
        <f t="shared" si="31"/>
        <v>7215</v>
      </c>
      <c r="T2048" t="s">
        <v>151</v>
      </c>
      <c r="U2048" t="s">
        <v>1430</v>
      </c>
      <c r="V2048" s="4">
        <v>360.75</v>
      </c>
      <c r="W2048">
        <v>0</v>
      </c>
    </row>
    <row r="2049" spans="1:23" hidden="1" x14ac:dyDescent="0.25">
      <c r="A2049" s="2">
        <v>46068.385254629633</v>
      </c>
      <c r="B2049">
        <v>4564</v>
      </c>
      <c r="C2049" t="s">
        <v>1428</v>
      </c>
      <c r="D2049" s="3">
        <v>46068</v>
      </c>
      <c r="E2049" s="3">
        <v>46111</v>
      </c>
      <c r="F2049" t="s">
        <v>21</v>
      </c>
      <c r="H2049" t="s">
        <v>22</v>
      </c>
      <c r="I2049" t="s">
        <v>42</v>
      </c>
      <c r="J2049" t="s">
        <v>1490</v>
      </c>
      <c r="K2049" t="s">
        <v>24</v>
      </c>
      <c r="L2049" s="4">
        <v>219.4</v>
      </c>
      <c r="M2049" t="s">
        <v>1438</v>
      </c>
      <c r="N2049" t="s">
        <v>46</v>
      </c>
      <c r="O2049" s="4">
        <v>30</v>
      </c>
      <c r="P2049">
        <v>0</v>
      </c>
      <c r="Q2049" s="4">
        <v>30</v>
      </c>
      <c r="R2049" s="12">
        <f t="shared" si="31"/>
        <v>6582</v>
      </c>
      <c r="T2049" t="s">
        <v>151</v>
      </c>
      <c r="U2049" t="s">
        <v>1430</v>
      </c>
      <c r="V2049" s="4">
        <v>219.4</v>
      </c>
      <c r="W2049">
        <v>0</v>
      </c>
    </row>
    <row r="2050" spans="1:23" hidden="1" x14ac:dyDescent="0.25">
      <c r="A2050" s="2">
        <v>46068.385254629633</v>
      </c>
      <c r="B2050">
        <v>4564</v>
      </c>
      <c r="C2050" t="s">
        <v>1428</v>
      </c>
      <c r="D2050" s="3">
        <v>46068</v>
      </c>
      <c r="E2050" s="3">
        <v>46111</v>
      </c>
      <c r="F2050" t="s">
        <v>21</v>
      </c>
      <c r="G2050" t="s">
        <v>1493</v>
      </c>
      <c r="H2050" t="s">
        <v>22</v>
      </c>
      <c r="I2050" t="s">
        <v>38</v>
      </c>
      <c r="J2050" t="s">
        <v>1491</v>
      </c>
      <c r="K2050" t="s">
        <v>24</v>
      </c>
      <c r="L2050" s="4">
        <v>43.87</v>
      </c>
      <c r="M2050" t="s">
        <v>1438</v>
      </c>
      <c r="N2050" t="s">
        <v>46</v>
      </c>
      <c r="O2050" s="4">
        <v>21</v>
      </c>
      <c r="P2050">
        <v>0</v>
      </c>
      <c r="Q2050" s="4">
        <v>21</v>
      </c>
      <c r="R2050" s="12">
        <f t="shared" si="31"/>
        <v>921.27</v>
      </c>
      <c r="T2050" t="s">
        <v>151</v>
      </c>
      <c r="U2050" t="s">
        <v>1430</v>
      </c>
      <c r="V2050" s="4">
        <v>43.87</v>
      </c>
      <c r="W2050">
        <v>0</v>
      </c>
    </row>
    <row r="2051" spans="1:23" hidden="1" x14ac:dyDescent="0.25">
      <c r="A2051" s="2">
        <v>46068.385254629633</v>
      </c>
      <c r="B2051">
        <v>4564</v>
      </c>
      <c r="C2051" t="s">
        <v>1428</v>
      </c>
      <c r="D2051" s="3">
        <v>46068</v>
      </c>
      <c r="E2051" s="3">
        <v>46111</v>
      </c>
      <c r="F2051" t="s">
        <v>21</v>
      </c>
      <c r="G2051" t="s">
        <v>1493</v>
      </c>
      <c r="H2051" t="s">
        <v>22</v>
      </c>
      <c r="I2051" t="s">
        <v>41</v>
      </c>
      <c r="J2051" t="s">
        <v>1491</v>
      </c>
      <c r="K2051" t="s">
        <v>24</v>
      </c>
      <c r="L2051" s="4">
        <v>292.5</v>
      </c>
      <c r="M2051" t="s">
        <v>1438</v>
      </c>
      <c r="N2051" t="s">
        <v>46</v>
      </c>
      <c r="O2051" s="4">
        <v>20</v>
      </c>
      <c r="P2051">
        <v>0</v>
      </c>
      <c r="Q2051" s="4">
        <v>20</v>
      </c>
      <c r="R2051" s="12">
        <f t="shared" ref="R2051:R2114" si="32">Q2051*L2051</f>
        <v>5850</v>
      </c>
      <c r="T2051" t="s">
        <v>151</v>
      </c>
      <c r="U2051" t="s">
        <v>1430</v>
      </c>
      <c r="V2051" s="4">
        <v>292.5</v>
      </c>
      <c r="W2051">
        <v>0</v>
      </c>
    </row>
    <row r="2052" spans="1:23" hidden="1" x14ac:dyDescent="0.25">
      <c r="A2052" s="2">
        <v>46068.385254629633</v>
      </c>
      <c r="B2052">
        <v>4564</v>
      </c>
      <c r="C2052" t="s">
        <v>1428</v>
      </c>
      <c r="D2052" s="3">
        <v>46068</v>
      </c>
      <c r="E2052" s="3">
        <v>46111</v>
      </c>
      <c r="F2052" t="s">
        <v>21</v>
      </c>
      <c r="G2052" t="s">
        <v>1493</v>
      </c>
      <c r="H2052" t="s">
        <v>22</v>
      </c>
      <c r="I2052" t="s">
        <v>40</v>
      </c>
      <c r="J2052" t="s">
        <v>1491</v>
      </c>
      <c r="K2052" t="s">
        <v>24</v>
      </c>
      <c r="L2052" s="4">
        <v>292.5</v>
      </c>
      <c r="M2052" t="s">
        <v>1438</v>
      </c>
      <c r="N2052" t="s">
        <v>46</v>
      </c>
      <c r="O2052" s="4">
        <v>20</v>
      </c>
      <c r="P2052">
        <v>0</v>
      </c>
      <c r="Q2052" s="4">
        <v>20</v>
      </c>
      <c r="R2052" s="12">
        <f t="shared" si="32"/>
        <v>5850</v>
      </c>
      <c r="T2052" t="s">
        <v>151</v>
      </c>
      <c r="U2052" t="s">
        <v>1430</v>
      </c>
      <c r="V2052" s="4">
        <v>292.5</v>
      </c>
      <c r="W2052">
        <v>0</v>
      </c>
    </row>
    <row r="2053" spans="1:23" hidden="1" x14ac:dyDescent="0.25">
      <c r="A2053" s="2">
        <v>46072.429560185185</v>
      </c>
      <c r="B2053">
        <v>4584</v>
      </c>
      <c r="C2053" t="s">
        <v>1428</v>
      </c>
      <c r="D2053" s="3">
        <v>46072</v>
      </c>
      <c r="E2053" s="3">
        <v>46142</v>
      </c>
      <c r="F2053" t="s">
        <v>21</v>
      </c>
      <c r="H2053" t="s">
        <v>22</v>
      </c>
      <c r="I2053" t="s">
        <v>30</v>
      </c>
      <c r="J2053" t="s">
        <v>1490</v>
      </c>
      <c r="K2053" t="s">
        <v>31</v>
      </c>
      <c r="L2053" s="4">
        <v>22</v>
      </c>
      <c r="M2053" t="s">
        <v>1439</v>
      </c>
      <c r="N2053" t="s">
        <v>46</v>
      </c>
      <c r="O2053" s="4">
        <v>300</v>
      </c>
      <c r="P2053">
        <v>0</v>
      </c>
      <c r="Q2053" s="4">
        <v>300</v>
      </c>
      <c r="R2053" s="12">
        <f t="shared" si="32"/>
        <v>6600</v>
      </c>
      <c r="T2053" t="s">
        <v>151</v>
      </c>
      <c r="U2053" t="s">
        <v>1430</v>
      </c>
      <c r="V2053" s="4">
        <v>22</v>
      </c>
      <c r="W2053">
        <v>0</v>
      </c>
    </row>
    <row r="2054" spans="1:23" hidden="1" x14ac:dyDescent="0.25">
      <c r="A2054" s="2">
        <v>46072.429560185185</v>
      </c>
      <c r="B2054">
        <v>4584</v>
      </c>
      <c r="C2054" t="s">
        <v>1428</v>
      </c>
      <c r="D2054" s="3">
        <v>46072</v>
      </c>
      <c r="E2054" s="3">
        <v>46142</v>
      </c>
      <c r="F2054" t="s">
        <v>21</v>
      </c>
      <c r="H2054" t="s">
        <v>22</v>
      </c>
      <c r="I2054" t="s">
        <v>188</v>
      </c>
      <c r="J2054" t="s">
        <v>1490</v>
      </c>
      <c r="K2054" t="s">
        <v>31</v>
      </c>
      <c r="L2054" s="4">
        <v>58</v>
      </c>
      <c r="M2054" t="s">
        <v>1439</v>
      </c>
      <c r="N2054" t="s">
        <v>46</v>
      </c>
      <c r="O2054" s="4">
        <v>80</v>
      </c>
      <c r="P2054">
        <v>0</v>
      </c>
      <c r="Q2054" s="4">
        <v>80</v>
      </c>
      <c r="R2054" s="12">
        <f t="shared" si="32"/>
        <v>4640</v>
      </c>
      <c r="T2054" t="s">
        <v>151</v>
      </c>
      <c r="U2054" t="s">
        <v>1430</v>
      </c>
      <c r="V2054" s="4">
        <v>58</v>
      </c>
      <c r="W2054">
        <v>0</v>
      </c>
    </row>
    <row r="2055" spans="1:23" hidden="1" x14ac:dyDescent="0.25">
      <c r="A2055" s="2">
        <v>46072.429560185185</v>
      </c>
      <c r="B2055">
        <v>4584</v>
      </c>
      <c r="C2055" t="s">
        <v>1428</v>
      </c>
      <c r="D2055" s="3">
        <v>46072</v>
      </c>
      <c r="E2055" s="3">
        <v>46142</v>
      </c>
      <c r="F2055" t="s">
        <v>21</v>
      </c>
      <c r="H2055" t="s">
        <v>22</v>
      </c>
      <c r="I2055" t="s">
        <v>519</v>
      </c>
      <c r="J2055" t="s">
        <v>1490</v>
      </c>
      <c r="K2055" t="s">
        <v>31</v>
      </c>
      <c r="L2055" s="4">
        <v>32</v>
      </c>
      <c r="M2055" t="s">
        <v>1439</v>
      </c>
      <c r="N2055" t="s">
        <v>46</v>
      </c>
      <c r="O2055" s="4">
        <v>80</v>
      </c>
      <c r="P2055">
        <v>0</v>
      </c>
      <c r="Q2055" s="4">
        <v>80</v>
      </c>
      <c r="R2055" s="12">
        <f t="shared" si="32"/>
        <v>2560</v>
      </c>
      <c r="T2055" t="s">
        <v>151</v>
      </c>
      <c r="U2055" t="s">
        <v>1430</v>
      </c>
      <c r="V2055" s="4">
        <v>32</v>
      </c>
      <c r="W2055">
        <v>0</v>
      </c>
    </row>
    <row r="2056" spans="1:23" hidden="1" x14ac:dyDescent="0.25">
      <c r="A2056" s="2">
        <v>46072.429560185185</v>
      </c>
      <c r="B2056">
        <v>4584</v>
      </c>
      <c r="C2056" t="s">
        <v>1428</v>
      </c>
      <c r="D2056" s="3">
        <v>46072</v>
      </c>
      <c r="E2056" s="3">
        <v>46142</v>
      </c>
      <c r="F2056" t="s">
        <v>21</v>
      </c>
      <c r="H2056" t="s">
        <v>22</v>
      </c>
      <c r="I2056" t="s">
        <v>32</v>
      </c>
      <c r="J2056" t="s">
        <v>1490</v>
      </c>
      <c r="K2056" t="s">
        <v>24</v>
      </c>
      <c r="L2056" s="4">
        <v>23</v>
      </c>
      <c r="M2056" t="s">
        <v>1439</v>
      </c>
      <c r="N2056" t="s">
        <v>46</v>
      </c>
      <c r="O2056" s="4">
        <v>200</v>
      </c>
      <c r="P2056">
        <v>0</v>
      </c>
      <c r="Q2056" s="4">
        <v>200</v>
      </c>
      <c r="R2056" s="12">
        <f t="shared" si="32"/>
        <v>4600</v>
      </c>
      <c r="T2056" t="s">
        <v>151</v>
      </c>
      <c r="U2056" t="s">
        <v>1430</v>
      </c>
      <c r="V2056" s="4">
        <v>23</v>
      </c>
      <c r="W2056">
        <v>0</v>
      </c>
    </row>
    <row r="2057" spans="1:23" hidden="1" x14ac:dyDescent="0.25">
      <c r="A2057" s="2">
        <v>46072.429560185185</v>
      </c>
      <c r="B2057">
        <v>4584</v>
      </c>
      <c r="C2057" t="s">
        <v>1428</v>
      </c>
      <c r="D2057" s="3">
        <v>46072</v>
      </c>
      <c r="E2057" s="3">
        <v>46142</v>
      </c>
      <c r="F2057" t="s">
        <v>21</v>
      </c>
      <c r="G2057" t="s">
        <v>1493</v>
      </c>
      <c r="H2057" t="s">
        <v>22</v>
      </c>
      <c r="I2057" t="s">
        <v>201</v>
      </c>
      <c r="J2057" t="s">
        <v>1491</v>
      </c>
      <c r="K2057" t="s">
        <v>24</v>
      </c>
      <c r="L2057" s="4">
        <v>65</v>
      </c>
      <c r="M2057" t="s">
        <v>1439</v>
      </c>
      <c r="N2057" t="s">
        <v>46</v>
      </c>
      <c r="O2057" s="4">
        <v>200</v>
      </c>
      <c r="P2057">
        <v>0</v>
      </c>
      <c r="Q2057" s="4">
        <v>200</v>
      </c>
      <c r="R2057" s="12">
        <f t="shared" si="32"/>
        <v>13000</v>
      </c>
      <c r="T2057" t="s">
        <v>151</v>
      </c>
      <c r="U2057" t="s">
        <v>1430</v>
      </c>
      <c r="V2057" s="4">
        <v>65</v>
      </c>
      <c r="W2057">
        <v>0</v>
      </c>
    </row>
    <row r="2058" spans="1:23" hidden="1" x14ac:dyDescent="0.25">
      <c r="A2058" s="2">
        <v>46072.429560185185</v>
      </c>
      <c r="B2058">
        <v>4584</v>
      </c>
      <c r="C2058" t="s">
        <v>1428</v>
      </c>
      <c r="D2058" s="3">
        <v>46072</v>
      </c>
      <c r="E2058" s="3">
        <v>46142</v>
      </c>
      <c r="F2058" t="s">
        <v>21</v>
      </c>
      <c r="H2058" t="s">
        <v>22</v>
      </c>
      <c r="I2058" t="s">
        <v>29</v>
      </c>
      <c r="J2058" t="s">
        <v>1490</v>
      </c>
      <c r="K2058" t="s">
        <v>24</v>
      </c>
      <c r="L2058" s="4">
        <v>140</v>
      </c>
      <c r="M2058" t="s">
        <v>1439</v>
      </c>
      <c r="N2058" t="s">
        <v>46</v>
      </c>
      <c r="O2058" s="4">
        <v>40</v>
      </c>
      <c r="P2058">
        <v>0</v>
      </c>
      <c r="Q2058" s="4">
        <v>40</v>
      </c>
      <c r="R2058" s="12">
        <f t="shared" si="32"/>
        <v>5600</v>
      </c>
      <c r="T2058" t="s">
        <v>151</v>
      </c>
      <c r="U2058" t="s">
        <v>1430</v>
      </c>
      <c r="V2058" s="4">
        <v>140</v>
      </c>
      <c r="W2058">
        <v>0</v>
      </c>
    </row>
    <row r="2059" spans="1:23" hidden="1" x14ac:dyDescent="0.25">
      <c r="A2059" s="2">
        <v>45769.320393518516</v>
      </c>
      <c r="B2059">
        <v>197</v>
      </c>
      <c r="C2059" t="s">
        <v>1440</v>
      </c>
      <c r="D2059" s="3">
        <v>45769</v>
      </c>
      <c r="E2059" s="3">
        <v>46142</v>
      </c>
      <c r="F2059" t="s">
        <v>66</v>
      </c>
      <c r="G2059" t="s">
        <v>1494</v>
      </c>
      <c r="H2059" t="s">
        <v>22</v>
      </c>
      <c r="I2059" t="s">
        <v>44</v>
      </c>
      <c r="J2059" t="s">
        <v>1491</v>
      </c>
      <c r="K2059" t="s">
        <v>31</v>
      </c>
      <c r="L2059" s="4">
        <v>350</v>
      </c>
      <c r="M2059" t="s">
        <v>1441</v>
      </c>
      <c r="N2059" t="s">
        <v>26</v>
      </c>
      <c r="O2059" s="4">
        <v>210</v>
      </c>
      <c r="P2059">
        <v>0</v>
      </c>
      <c r="Q2059" s="4">
        <v>210</v>
      </c>
      <c r="R2059" s="12">
        <f t="shared" si="32"/>
        <v>73500</v>
      </c>
      <c r="T2059" t="s">
        <v>642</v>
      </c>
      <c r="U2059" t="s">
        <v>1442</v>
      </c>
      <c r="V2059" s="4">
        <v>350</v>
      </c>
      <c r="W2059">
        <v>0</v>
      </c>
    </row>
    <row r="2060" spans="1:23" hidden="1" x14ac:dyDescent="0.25">
      <c r="A2060" s="2">
        <v>45769.320393518516</v>
      </c>
      <c r="B2060">
        <v>197</v>
      </c>
      <c r="C2060" t="s">
        <v>1440</v>
      </c>
      <c r="D2060" s="3">
        <v>45769</v>
      </c>
      <c r="E2060" s="3">
        <v>46142</v>
      </c>
      <c r="F2060" t="s">
        <v>66</v>
      </c>
      <c r="G2060" t="s">
        <v>1494</v>
      </c>
      <c r="H2060" t="s">
        <v>22</v>
      </c>
      <c r="I2060" t="s">
        <v>40</v>
      </c>
      <c r="J2060" t="s">
        <v>1491</v>
      </c>
      <c r="K2060" t="s">
        <v>24</v>
      </c>
      <c r="L2060" s="4">
        <v>270</v>
      </c>
      <c r="M2060" t="s">
        <v>1441</v>
      </c>
      <c r="N2060" t="s">
        <v>26</v>
      </c>
      <c r="O2060" s="4">
        <v>210</v>
      </c>
      <c r="P2060">
        <v>0</v>
      </c>
      <c r="Q2060" s="4">
        <v>210</v>
      </c>
      <c r="R2060" s="12">
        <f t="shared" si="32"/>
        <v>56700</v>
      </c>
      <c r="T2060" t="s">
        <v>642</v>
      </c>
      <c r="U2060" t="s">
        <v>1442</v>
      </c>
      <c r="V2060" s="4">
        <v>270</v>
      </c>
      <c r="W2060">
        <v>0</v>
      </c>
    </row>
    <row r="2061" spans="1:23" hidden="1" x14ac:dyDescent="0.25">
      <c r="A2061" s="2">
        <v>45769.320393518516</v>
      </c>
      <c r="B2061">
        <v>197</v>
      </c>
      <c r="C2061" t="s">
        <v>1440</v>
      </c>
      <c r="D2061" s="3">
        <v>45769</v>
      </c>
      <c r="E2061" s="3">
        <v>46142</v>
      </c>
      <c r="F2061" t="s">
        <v>66</v>
      </c>
      <c r="G2061" t="s">
        <v>1494</v>
      </c>
      <c r="H2061" t="s">
        <v>22</v>
      </c>
      <c r="I2061" t="s">
        <v>41</v>
      </c>
      <c r="J2061" t="s">
        <v>1491</v>
      </c>
      <c r="K2061" t="s">
        <v>24</v>
      </c>
      <c r="L2061" s="4">
        <v>270</v>
      </c>
      <c r="M2061" t="s">
        <v>1441</v>
      </c>
      <c r="N2061" t="s">
        <v>26</v>
      </c>
      <c r="O2061" s="4">
        <v>210</v>
      </c>
      <c r="P2061">
        <v>0</v>
      </c>
      <c r="Q2061" s="4">
        <v>210</v>
      </c>
      <c r="R2061" s="12">
        <f t="shared" si="32"/>
        <v>56700</v>
      </c>
      <c r="T2061" t="s">
        <v>642</v>
      </c>
      <c r="U2061" t="s">
        <v>1442</v>
      </c>
      <c r="V2061" s="4">
        <v>270</v>
      </c>
      <c r="W2061">
        <v>0</v>
      </c>
    </row>
    <row r="2062" spans="1:23" hidden="1" x14ac:dyDescent="0.25">
      <c r="A2062" s="2">
        <v>45769.320393518516</v>
      </c>
      <c r="B2062">
        <v>197</v>
      </c>
      <c r="C2062" t="s">
        <v>1440</v>
      </c>
      <c r="D2062" s="3">
        <v>45769</v>
      </c>
      <c r="E2062" s="3">
        <v>46142</v>
      </c>
      <c r="F2062" t="s">
        <v>66</v>
      </c>
      <c r="H2062" t="s">
        <v>22</v>
      </c>
      <c r="I2062" t="s">
        <v>335</v>
      </c>
      <c r="K2062" t="s">
        <v>24</v>
      </c>
      <c r="L2062" s="4">
        <v>9.4600000000000009</v>
      </c>
      <c r="M2062" t="s">
        <v>1441</v>
      </c>
      <c r="N2062" t="s">
        <v>26</v>
      </c>
      <c r="O2062" s="4">
        <v>3500</v>
      </c>
      <c r="P2062">
        <v>0</v>
      </c>
      <c r="Q2062" s="4">
        <v>3500</v>
      </c>
      <c r="R2062" s="12">
        <f t="shared" si="32"/>
        <v>33110</v>
      </c>
      <c r="T2062" t="s">
        <v>642</v>
      </c>
      <c r="U2062" t="s">
        <v>1442</v>
      </c>
      <c r="V2062" s="4">
        <v>9.4600000000000009</v>
      </c>
      <c r="W2062">
        <v>0</v>
      </c>
    </row>
    <row r="2063" spans="1:23" hidden="1" x14ac:dyDescent="0.25">
      <c r="A2063" s="2">
        <v>45916.441331018519</v>
      </c>
      <c r="B2063">
        <v>297</v>
      </c>
      <c r="C2063" t="s">
        <v>1440</v>
      </c>
      <c r="D2063" s="3">
        <v>45916</v>
      </c>
      <c r="E2063" s="3">
        <v>46264</v>
      </c>
      <c r="F2063" t="s">
        <v>66</v>
      </c>
      <c r="G2063" t="s">
        <v>1494</v>
      </c>
      <c r="H2063" t="s">
        <v>22</v>
      </c>
      <c r="I2063" t="s">
        <v>41</v>
      </c>
      <c r="J2063" t="s">
        <v>1491</v>
      </c>
      <c r="K2063" t="s">
        <v>24</v>
      </c>
      <c r="L2063" s="4">
        <v>270</v>
      </c>
      <c r="M2063" t="s">
        <v>1443</v>
      </c>
      <c r="N2063" t="s">
        <v>46</v>
      </c>
      <c r="O2063" s="4">
        <v>100</v>
      </c>
      <c r="P2063">
        <v>0</v>
      </c>
      <c r="Q2063" s="4">
        <v>100</v>
      </c>
      <c r="R2063" s="12">
        <f t="shared" si="32"/>
        <v>27000</v>
      </c>
      <c r="T2063" t="s">
        <v>642</v>
      </c>
      <c r="U2063" t="s">
        <v>1442</v>
      </c>
      <c r="V2063" s="4">
        <v>270</v>
      </c>
      <c r="W2063">
        <v>0</v>
      </c>
    </row>
    <row r="2064" spans="1:23" hidden="1" x14ac:dyDescent="0.25">
      <c r="A2064" s="2">
        <v>45916.441331018519</v>
      </c>
      <c r="B2064">
        <v>297</v>
      </c>
      <c r="C2064" t="s">
        <v>1440</v>
      </c>
      <c r="D2064" s="3">
        <v>45916</v>
      </c>
      <c r="E2064" s="3">
        <v>46264</v>
      </c>
      <c r="F2064" t="s">
        <v>66</v>
      </c>
      <c r="G2064" t="s">
        <v>1494</v>
      </c>
      <c r="H2064" t="s">
        <v>22</v>
      </c>
      <c r="I2064" t="s">
        <v>44</v>
      </c>
      <c r="J2064" t="s">
        <v>1491</v>
      </c>
      <c r="K2064" t="s">
        <v>31</v>
      </c>
      <c r="L2064" s="4">
        <v>350</v>
      </c>
      <c r="M2064" t="s">
        <v>1443</v>
      </c>
      <c r="N2064" t="s">
        <v>46</v>
      </c>
      <c r="O2064" s="4">
        <v>100</v>
      </c>
      <c r="P2064">
        <v>0</v>
      </c>
      <c r="Q2064" s="4">
        <v>100</v>
      </c>
      <c r="R2064" s="12">
        <f t="shared" si="32"/>
        <v>35000</v>
      </c>
      <c r="T2064" t="s">
        <v>642</v>
      </c>
      <c r="U2064" t="s">
        <v>1442</v>
      </c>
      <c r="V2064" s="4">
        <v>350</v>
      </c>
      <c r="W2064">
        <v>0</v>
      </c>
    </row>
    <row r="2065" spans="1:23" hidden="1" x14ac:dyDescent="0.25">
      <c r="A2065" s="2">
        <v>45916.441331018519</v>
      </c>
      <c r="B2065">
        <v>297</v>
      </c>
      <c r="C2065" t="s">
        <v>1440</v>
      </c>
      <c r="D2065" s="3">
        <v>45916</v>
      </c>
      <c r="E2065" s="3">
        <v>46264</v>
      </c>
      <c r="F2065" t="s">
        <v>66</v>
      </c>
      <c r="G2065" t="s">
        <v>1494</v>
      </c>
      <c r="H2065" t="s">
        <v>22</v>
      </c>
      <c r="I2065" t="s">
        <v>40</v>
      </c>
      <c r="J2065" t="s">
        <v>1491</v>
      </c>
      <c r="K2065" t="s">
        <v>24</v>
      </c>
      <c r="L2065" s="4">
        <v>270</v>
      </c>
      <c r="M2065" t="s">
        <v>1443</v>
      </c>
      <c r="N2065" t="s">
        <v>46</v>
      </c>
      <c r="O2065" s="4">
        <v>100</v>
      </c>
      <c r="P2065">
        <v>0</v>
      </c>
      <c r="Q2065" s="4">
        <v>100</v>
      </c>
      <c r="R2065" s="12">
        <f t="shared" si="32"/>
        <v>27000</v>
      </c>
      <c r="T2065" t="s">
        <v>642</v>
      </c>
      <c r="U2065" t="s">
        <v>1442</v>
      </c>
      <c r="V2065" s="4">
        <v>270</v>
      </c>
      <c r="W2065">
        <v>0</v>
      </c>
    </row>
    <row r="2066" spans="1:23" hidden="1" x14ac:dyDescent="0.25">
      <c r="A2066" s="2">
        <v>46013.443252314813</v>
      </c>
      <c r="B2066">
        <v>463</v>
      </c>
      <c r="C2066" t="s">
        <v>1440</v>
      </c>
      <c r="D2066" s="3">
        <v>46013</v>
      </c>
      <c r="E2066" s="3">
        <v>46142</v>
      </c>
      <c r="F2066" t="s">
        <v>66</v>
      </c>
      <c r="H2066" t="s">
        <v>22</v>
      </c>
      <c r="I2066" t="s">
        <v>335</v>
      </c>
      <c r="K2066" t="s">
        <v>24</v>
      </c>
      <c r="L2066" s="4">
        <v>9.4600000000000009</v>
      </c>
      <c r="M2066" t="s">
        <v>1444</v>
      </c>
      <c r="N2066" t="s">
        <v>26</v>
      </c>
      <c r="O2066" s="4">
        <v>1000</v>
      </c>
      <c r="P2066">
        <v>0</v>
      </c>
      <c r="Q2066" s="4">
        <v>1000</v>
      </c>
      <c r="R2066" s="12">
        <f t="shared" si="32"/>
        <v>9460</v>
      </c>
      <c r="T2066" t="s">
        <v>642</v>
      </c>
      <c r="U2066" t="s">
        <v>1442</v>
      </c>
      <c r="V2066" s="4">
        <v>9.4600000000000009</v>
      </c>
      <c r="W2066">
        <v>0</v>
      </c>
    </row>
    <row r="2067" spans="1:23" hidden="1" x14ac:dyDescent="0.25">
      <c r="A2067" s="2">
        <v>46038.726215277777</v>
      </c>
      <c r="B2067">
        <v>505</v>
      </c>
      <c r="C2067" t="s">
        <v>1440</v>
      </c>
      <c r="D2067" s="3">
        <v>46038</v>
      </c>
      <c r="E2067" s="3">
        <v>46295</v>
      </c>
      <c r="F2067" t="s">
        <v>66</v>
      </c>
      <c r="H2067" t="s">
        <v>22</v>
      </c>
      <c r="I2067" t="s">
        <v>335</v>
      </c>
      <c r="K2067" t="s">
        <v>24</v>
      </c>
      <c r="L2067" s="4">
        <v>10.5</v>
      </c>
      <c r="M2067" t="s">
        <v>1445</v>
      </c>
      <c r="N2067" t="s">
        <v>46</v>
      </c>
      <c r="O2067" s="4">
        <v>1500</v>
      </c>
      <c r="P2067">
        <v>0</v>
      </c>
      <c r="Q2067" s="4">
        <v>1500</v>
      </c>
      <c r="R2067" s="12">
        <f t="shared" si="32"/>
        <v>15750</v>
      </c>
      <c r="T2067" t="s">
        <v>642</v>
      </c>
      <c r="U2067" t="s">
        <v>1442</v>
      </c>
      <c r="V2067" s="4">
        <v>10.5</v>
      </c>
      <c r="W2067">
        <v>0</v>
      </c>
    </row>
    <row r="2068" spans="1:23" hidden="1" x14ac:dyDescent="0.25">
      <c r="A2068" s="2">
        <v>46038.726215277777</v>
      </c>
      <c r="B2068">
        <v>505</v>
      </c>
      <c r="C2068" t="s">
        <v>1440</v>
      </c>
      <c r="D2068" s="3">
        <v>46038</v>
      </c>
      <c r="E2068" s="3">
        <v>46295</v>
      </c>
      <c r="F2068" t="s">
        <v>66</v>
      </c>
      <c r="G2068" t="s">
        <v>1494</v>
      </c>
      <c r="H2068" t="s">
        <v>22</v>
      </c>
      <c r="I2068" t="s">
        <v>38</v>
      </c>
      <c r="J2068" t="s">
        <v>1491</v>
      </c>
      <c r="K2068" t="s">
        <v>24</v>
      </c>
      <c r="L2068" s="4">
        <v>50</v>
      </c>
      <c r="M2068" t="s">
        <v>1445</v>
      </c>
      <c r="N2068" t="s">
        <v>46</v>
      </c>
      <c r="O2068" s="4">
        <v>243</v>
      </c>
      <c r="P2068">
        <v>0</v>
      </c>
      <c r="Q2068" s="4">
        <v>243</v>
      </c>
      <c r="R2068" s="12">
        <f t="shared" si="32"/>
        <v>12150</v>
      </c>
      <c r="T2068" t="s">
        <v>642</v>
      </c>
      <c r="U2068" t="s">
        <v>1442</v>
      </c>
      <c r="V2068" s="4">
        <v>50</v>
      </c>
      <c r="W2068">
        <v>0</v>
      </c>
    </row>
    <row r="2069" spans="1:23" hidden="1" x14ac:dyDescent="0.25">
      <c r="A2069" s="2">
        <v>46062.597233796296</v>
      </c>
      <c r="B2069">
        <v>537</v>
      </c>
      <c r="C2069" t="s">
        <v>1440</v>
      </c>
      <c r="D2069" s="3">
        <v>46062</v>
      </c>
      <c r="E2069" s="3">
        <v>46295</v>
      </c>
      <c r="F2069" t="s">
        <v>66</v>
      </c>
      <c r="H2069" t="s">
        <v>22</v>
      </c>
      <c r="I2069" t="s">
        <v>36</v>
      </c>
      <c r="J2069" t="s">
        <v>1490</v>
      </c>
      <c r="K2069" t="s">
        <v>24</v>
      </c>
      <c r="L2069" s="4">
        <v>60</v>
      </c>
      <c r="M2069" t="s">
        <v>1446</v>
      </c>
      <c r="N2069" t="s">
        <v>46</v>
      </c>
      <c r="O2069" s="4">
        <v>140</v>
      </c>
      <c r="P2069">
        <v>0</v>
      </c>
      <c r="Q2069" s="4">
        <v>140</v>
      </c>
      <c r="R2069" s="12">
        <f t="shared" si="32"/>
        <v>8400</v>
      </c>
      <c r="T2069" t="s">
        <v>642</v>
      </c>
      <c r="U2069" t="s">
        <v>1442</v>
      </c>
      <c r="V2069" s="4">
        <v>60</v>
      </c>
      <c r="W2069">
        <v>0</v>
      </c>
    </row>
    <row r="2070" spans="1:23" hidden="1" x14ac:dyDescent="0.25">
      <c r="A2070" s="2">
        <v>46073.405543981484</v>
      </c>
      <c r="B2070">
        <v>558</v>
      </c>
      <c r="C2070" t="s">
        <v>1440</v>
      </c>
      <c r="D2070" s="3">
        <v>46073</v>
      </c>
      <c r="E2070" s="3">
        <v>46295</v>
      </c>
      <c r="F2070" t="s">
        <v>66</v>
      </c>
      <c r="H2070" t="s">
        <v>22</v>
      </c>
      <c r="I2070" t="s">
        <v>335</v>
      </c>
      <c r="K2070" t="s">
        <v>24</v>
      </c>
      <c r="L2070" s="4">
        <v>10.5</v>
      </c>
      <c r="M2070" t="s">
        <v>1447</v>
      </c>
      <c r="N2070" t="s">
        <v>46</v>
      </c>
      <c r="O2070" s="4">
        <v>675</v>
      </c>
      <c r="P2070">
        <v>0</v>
      </c>
      <c r="Q2070" s="4">
        <v>675</v>
      </c>
      <c r="R2070" s="12">
        <f t="shared" si="32"/>
        <v>7087.5</v>
      </c>
      <c r="T2070" t="s">
        <v>642</v>
      </c>
      <c r="U2070" t="s">
        <v>1442</v>
      </c>
      <c r="V2070" s="4">
        <v>10.5</v>
      </c>
      <c r="W2070">
        <v>0</v>
      </c>
    </row>
    <row r="2071" spans="1:23" hidden="1" x14ac:dyDescent="0.25">
      <c r="A2071" s="2">
        <v>45971.642465277779</v>
      </c>
      <c r="B2071">
        <v>4255</v>
      </c>
      <c r="C2071" t="s">
        <v>1448</v>
      </c>
      <c r="D2071" s="3">
        <v>45971</v>
      </c>
      <c r="E2071" s="3">
        <v>46001</v>
      </c>
      <c r="F2071" t="s">
        <v>79</v>
      </c>
      <c r="G2071" t="s">
        <v>1493</v>
      </c>
      <c r="H2071" t="s">
        <v>22</v>
      </c>
      <c r="I2071" t="s">
        <v>38</v>
      </c>
      <c r="J2071" t="s">
        <v>1491</v>
      </c>
      <c r="K2071" t="s">
        <v>24</v>
      </c>
      <c r="L2071" s="4">
        <v>36.799999999999997</v>
      </c>
      <c r="M2071" t="s">
        <v>1449</v>
      </c>
      <c r="N2071" t="s">
        <v>26</v>
      </c>
      <c r="O2071" s="4">
        <v>3</v>
      </c>
      <c r="P2071">
        <v>0</v>
      </c>
      <c r="Q2071" s="4">
        <v>3</v>
      </c>
      <c r="R2071" s="12">
        <f t="shared" si="32"/>
        <v>110.39999999999999</v>
      </c>
      <c r="T2071" t="s">
        <v>371</v>
      </c>
      <c r="U2071" t="s">
        <v>1450</v>
      </c>
      <c r="V2071" s="4">
        <v>36.799999999999997</v>
      </c>
      <c r="W2071">
        <v>0</v>
      </c>
    </row>
    <row r="2072" spans="1:23" hidden="1" x14ac:dyDescent="0.25">
      <c r="A2072" s="2">
        <v>45894.439826388887</v>
      </c>
      <c r="B2072">
        <v>3992</v>
      </c>
      <c r="C2072" t="s">
        <v>1451</v>
      </c>
      <c r="D2072" s="3">
        <v>45894</v>
      </c>
      <c r="E2072" s="3">
        <v>46111</v>
      </c>
      <c r="F2072" t="s">
        <v>79</v>
      </c>
      <c r="H2072" t="s">
        <v>22</v>
      </c>
      <c r="I2072" t="s">
        <v>377</v>
      </c>
      <c r="K2072" t="s">
        <v>24</v>
      </c>
      <c r="L2072" s="4">
        <v>35</v>
      </c>
      <c r="M2072" t="s">
        <v>1452</v>
      </c>
      <c r="N2072" t="s">
        <v>26</v>
      </c>
      <c r="O2072" s="4">
        <v>35</v>
      </c>
      <c r="P2072">
        <v>0</v>
      </c>
      <c r="Q2072" s="4">
        <v>35</v>
      </c>
      <c r="R2072" s="12">
        <f t="shared" si="32"/>
        <v>1225</v>
      </c>
      <c r="T2072" t="s">
        <v>27</v>
      </c>
      <c r="U2072" t="s">
        <v>1453</v>
      </c>
      <c r="V2072" s="4">
        <v>35</v>
      </c>
      <c r="W2072">
        <v>0</v>
      </c>
    </row>
    <row r="2073" spans="1:23" hidden="1" x14ac:dyDescent="0.25">
      <c r="A2073" s="2">
        <v>45894.439826388887</v>
      </c>
      <c r="B2073">
        <v>3992</v>
      </c>
      <c r="C2073" t="s">
        <v>1451</v>
      </c>
      <c r="D2073" s="3">
        <v>45894</v>
      </c>
      <c r="E2073" s="3">
        <v>46111</v>
      </c>
      <c r="F2073" t="s">
        <v>79</v>
      </c>
      <c r="H2073" t="s">
        <v>22</v>
      </c>
      <c r="I2073" t="s">
        <v>380</v>
      </c>
      <c r="K2073" t="s">
        <v>24</v>
      </c>
      <c r="L2073" s="4">
        <v>18.7806</v>
      </c>
      <c r="M2073" t="s">
        <v>1452</v>
      </c>
      <c r="N2073" t="s">
        <v>26</v>
      </c>
      <c r="O2073" s="4">
        <v>50</v>
      </c>
      <c r="P2073">
        <v>0</v>
      </c>
      <c r="Q2073" s="4">
        <v>50</v>
      </c>
      <c r="R2073" s="12">
        <f t="shared" si="32"/>
        <v>939.03</v>
      </c>
      <c r="T2073" t="s">
        <v>27</v>
      </c>
      <c r="U2073" t="s">
        <v>1453</v>
      </c>
      <c r="V2073" s="4">
        <v>18.7806</v>
      </c>
      <c r="W2073">
        <v>0</v>
      </c>
    </row>
    <row r="2074" spans="1:23" hidden="1" x14ac:dyDescent="0.25">
      <c r="A2074" s="2">
        <v>45894.439826388887</v>
      </c>
      <c r="B2074">
        <v>3992</v>
      </c>
      <c r="C2074" t="s">
        <v>1451</v>
      </c>
      <c r="D2074" s="3">
        <v>45894</v>
      </c>
      <c r="E2074" s="3">
        <v>46111</v>
      </c>
      <c r="F2074" t="s">
        <v>79</v>
      </c>
      <c r="H2074" t="s">
        <v>22</v>
      </c>
      <c r="I2074" t="s">
        <v>381</v>
      </c>
      <c r="K2074" t="s">
        <v>31</v>
      </c>
      <c r="L2074" s="4">
        <v>330</v>
      </c>
      <c r="M2074" t="s">
        <v>1452</v>
      </c>
      <c r="N2074" t="s">
        <v>26</v>
      </c>
      <c r="O2074" s="4">
        <v>18</v>
      </c>
      <c r="P2074">
        <v>0</v>
      </c>
      <c r="Q2074" s="4">
        <v>18</v>
      </c>
      <c r="R2074" s="12">
        <f t="shared" si="32"/>
        <v>5940</v>
      </c>
      <c r="T2074" t="s">
        <v>27</v>
      </c>
      <c r="U2074" t="s">
        <v>1453</v>
      </c>
      <c r="V2074" s="4">
        <v>330</v>
      </c>
      <c r="W2074">
        <v>0</v>
      </c>
    </row>
    <row r="2075" spans="1:23" hidden="1" x14ac:dyDescent="0.25">
      <c r="A2075" s="2">
        <v>45985.708912037036</v>
      </c>
      <c r="B2075">
        <v>423</v>
      </c>
      <c r="C2075" t="s">
        <v>1454</v>
      </c>
      <c r="D2075" s="3">
        <v>45985</v>
      </c>
      <c r="E2075" s="3">
        <v>45986</v>
      </c>
      <c r="F2075" t="s">
        <v>52</v>
      </c>
      <c r="H2075" t="s">
        <v>22</v>
      </c>
      <c r="I2075" t="s">
        <v>192</v>
      </c>
      <c r="J2075" t="s">
        <v>1490</v>
      </c>
      <c r="K2075" t="s">
        <v>24</v>
      </c>
      <c r="L2075" s="4">
        <v>17</v>
      </c>
      <c r="M2075" t="s">
        <v>1455</v>
      </c>
      <c r="N2075" t="s">
        <v>26</v>
      </c>
      <c r="O2075" s="4">
        <v>480</v>
      </c>
      <c r="P2075">
        <v>0</v>
      </c>
      <c r="Q2075" s="4">
        <v>480</v>
      </c>
      <c r="R2075" s="12">
        <f t="shared" si="32"/>
        <v>8160</v>
      </c>
      <c r="T2075" t="s">
        <v>642</v>
      </c>
      <c r="U2075" t="s">
        <v>1456</v>
      </c>
      <c r="V2075" s="4">
        <v>17</v>
      </c>
      <c r="W2075">
        <v>0</v>
      </c>
    </row>
    <row r="2076" spans="1:23" x14ac:dyDescent="0.25">
      <c r="A2076" s="2">
        <v>45941.389513888891</v>
      </c>
      <c r="B2076">
        <v>4149</v>
      </c>
      <c r="C2076" t="s">
        <v>1457</v>
      </c>
      <c r="D2076" s="3">
        <v>45940</v>
      </c>
      <c r="E2076" s="3">
        <v>46142</v>
      </c>
      <c r="F2076" t="s">
        <v>98</v>
      </c>
      <c r="H2076" t="s">
        <v>22</v>
      </c>
      <c r="I2076" t="s">
        <v>23</v>
      </c>
      <c r="J2076" t="s">
        <v>1490</v>
      </c>
      <c r="K2076" t="s">
        <v>24</v>
      </c>
      <c r="L2076" s="4">
        <v>17</v>
      </c>
      <c r="M2076" t="s">
        <v>1458</v>
      </c>
      <c r="N2076" t="s">
        <v>26</v>
      </c>
      <c r="O2076" s="4">
        <v>880</v>
      </c>
      <c r="P2076">
        <v>0</v>
      </c>
      <c r="Q2076" s="4">
        <v>880</v>
      </c>
      <c r="R2076" s="12">
        <f t="shared" si="32"/>
        <v>14960</v>
      </c>
      <c r="T2076" t="s">
        <v>225</v>
      </c>
      <c r="U2076" t="s">
        <v>1459</v>
      </c>
      <c r="V2076" s="4">
        <v>17</v>
      </c>
      <c r="W2076">
        <v>0</v>
      </c>
    </row>
    <row r="2077" spans="1:23" x14ac:dyDescent="0.25">
      <c r="A2077" s="2">
        <v>45941.389513888891</v>
      </c>
      <c r="B2077">
        <v>4149</v>
      </c>
      <c r="C2077" t="s">
        <v>1457</v>
      </c>
      <c r="D2077" s="3">
        <v>45940</v>
      </c>
      <c r="E2077" s="3">
        <v>46142</v>
      </c>
      <c r="F2077" t="s">
        <v>98</v>
      </c>
      <c r="H2077" t="s">
        <v>22</v>
      </c>
      <c r="I2077" t="s">
        <v>30</v>
      </c>
      <c r="J2077" t="s">
        <v>1490</v>
      </c>
      <c r="K2077" t="s">
        <v>31</v>
      </c>
      <c r="L2077" s="4">
        <v>22</v>
      </c>
      <c r="M2077" t="s">
        <v>1458</v>
      </c>
      <c r="N2077" t="s">
        <v>26</v>
      </c>
      <c r="O2077" s="4">
        <v>1320</v>
      </c>
      <c r="P2077">
        <v>0</v>
      </c>
      <c r="Q2077" s="4">
        <v>1320</v>
      </c>
      <c r="R2077" s="12">
        <f t="shared" si="32"/>
        <v>29040</v>
      </c>
      <c r="T2077" t="s">
        <v>225</v>
      </c>
      <c r="U2077" t="s">
        <v>1459</v>
      </c>
      <c r="V2077" s="4">
        <v>22</v>
      </c>
      <c r="W2077">
        <v>0</v>
      </c>
    </row>
    <row r="2078" spans="1:23" x14ac:dyDescent="0.25">
      <c r="A2078" s="2">
        <v>45941.389513888891</v>
      </c>
      <c r="B2078">
        <v>4149</v>
      </c>
      <c r="C2078" t="s">
        <v>1457</v>
      </c>
      <c r="D2078" s="3">
        <v>45940</v>
      </c>
      <c r="E2078" s="3">
        <v>46142</v>
      </c>
      <c r="F2078" t="s">
        <v>98</v>
      </c>
      <c r="H2078" t="s">
        <v>22</v>
      </c>
      <c r="I2078" t="s">
        <v>177</v>
      </c>
      <c r="J2078" t="s">
        <v>1490</v>
      </c>
      <c r="K2078" t="s">
        <v>24</v>
      </c>
      <c r="L2078" s="4">
        <v>20</v>
      </c>
      <c r="M2078" t="s">
        <v>1458</v>
      </c>
      <c r="N2078" t="s">
        <v>26</v>
      </c>
      <c r="O2078" s="4">
        <v>880</v>
      </c>
      <c r="P2078">
        <v>0</v>
      </c>
      <c r="Q2078" s="4">
        <v>880</v>
      </c>
      <c r="R2078" s="12">
        <f t="shared" si="32"/>
        <v>17600</v>
      </c>
      <c r="T2078" t="s">
        <v>225</v>
      </c>
      <c r="U2078" t="s">
        <v>1459</v>
      </c>
      <c r="V2078" s="4">
        <v>20</v>
      </c>
      <c r="W2078">
        <v>0</v>
      </c>
    </row>
    <row r="2079" spans="1:23" x14ac:dyDescent="0.25">
      <c r="A2079" s="2">
        <v>45941.389513888891</v>
      </c>
      <c r="B2079">
        <v>4149</v>
      </c>
      <c r="C2079" t="s">
        <v>1457</v>
      </c>
      <c r="D2079" s="3">
        <v>45940</v>
      </c>
      <c r="E2079" s="3">
        <v>46142</v>
      </c>
      <c r="F2079" t="s">
        <v>98</v>
      </c>
      <c r="H2079" t="s">
        <v>22</v>
      </c>
      <c r="I2079" t="s">
        <v>34</v>
      </c>
      <c r="J2079" t="s">
        <v>1490</v>
      </c>
      <c r="K2079" t="s">
        <v>31</v>
      </c>
      <c r="L2079" s="4">
        <v>25</v>
      </c>
      <c r="M2079" t="s">
        <v>1458</v>
      </c>
      <c r="N2079" t="s">
        <v>26</v>
      </c>
      <c r="O2079" s="4">
        <v>880</v>
      </c>
      <c r="P2079">
        <v>0</v>
      </c>
      <c r="Q2079" s="4">
        <v>880</v>
      </c>
      <c r="R2079" s="12">
        <f t="shared" si="32"/>
        <v>22000</v>
      </c>
      <c r="T2079" t="s">
        <v>225</v>
      </c>
      <c r="U2079" t="s">
        <v>1459</v>
      </c>
      <c r="V2079" s="4">
        <v>25</v>
      </c>
      <c r="W2079">
        <v>0</v>
      </c>
    </row>
    <row r="2080" spans="1:23" x14ac:dyDescent="0.25">
      <c r="A2080" s="2">
        <v>45941.389513888891</v>
      </c>
      <c r="B2080">
        <v>4149</v>
      </c>
      <c r="C2080" t="s">
        <v>1457</v>
      </c>
      <c r="D2080" s="3">
        <v>45940</v>
      </c>
      <c r="E2080" s="3">
        <v>46142</v>
      </c>
      <c r="F2080" t="s">
        <v>98</v>
      </c>
      <c r="H2080" t="s">
        <v>22</v>
      </c>
      <c r="I2080" t="s">
        <v>37</v>
      </c>
      <c r="J2080" t="s">
        <v>1490</v>
      </c>
      <c r="K2080" t="s">
        <v>31</v>
      </c>
      <c r="L2080" s="4">
        <v>85</v>
      </c>
      <c r="M2080" t="s">
        <v>1458</v>
      </c>
      <c r="N2080" t="s">
        <v>26</v>
      </c>
      <c r="O2080" s="4">
        <v>132</v>
      </c>
      <c r="P2080">
        <v>0</v>
      </c>
      <c r="Q2080" s="4">
        <v>132</v>
      </c>
      <c r="R2080" s="12">
        <f t="shared" si="32"/>
        <v>11220</v>
      </c>
      <c r="T2080" t="s">
        <v>225</v>
      </c>
      <c r="U2080" t="s">
        <v>1459</v>
      </c>
      <c r="V2080" s="4">
        <v>85</v>
      </c>
      <c r="W2080">
        <v>0</v>
      </c>
    </row>
    <row r="2081" spans="1:23" x14ac:dyDescent="0.25">
      <c r="A2081" s="2">
        <v>45941.389513888891</v>
      </c>
      <c r="B2081">
        <v>4149</v>
      </c>
      <c r="C2081" t="s">
        <v>1457</v>
      </c>
      <c r="D2081" s="3">
        <v>45940</v>
      </c>
      <c r="E2081" s="3">
        <v>46142</v>
      </c>
      <c r="F2081" t="s">
        <v>98</v>
      </c>
      <c r="H2081" t="s">
        <v>22</v>
      </c>
      <c r="I2081" t="s">
        <v>29</v>
      </c>
      <c r="J2081" t="s">
        <v>1490</v>
      </c>
      <c r="K2081" t="s">
        <v>24</v>
      </c>
      <c r="L2081" s="4">
        <v>155</v>
      </c>
      <c r="M2081" t="s">
        <v>1458</v>
      </c>
      <c r="N2081" t="s">
        <v>26</v>
      </c>
      <c r="O2081" s="4">
        <v>180</v>
      </c>
      <c r="P2081">
        <v>0</v>
      </c>
      <c r="Q2081" s="4">
        <v>180</v>
      </c>
      <c r="R2081" s="12">
        <f t="shared" si="32"/>
        <v>27900</v>
      </c>
      <c r="T2081" t="s">
        <v>225</v>
      </c>
      <c r="U2081" t="s">
        <v>1459</v>
      </c>
      <c r="V2081" s="4">
        <v>155</v>
      </c>
      <c r="W2081">
        <v>0</v>
      </c>
    </row>
    <row r="2082" spans="1:23" x14ac:dyDescent="0.25">
      <c r="A2082" s="2">
        <v>45941.389513888891</v>
      </c>
      <c r="B2082">
        <v>4149</v>
      </c>
      <c r="C2082" t="s">
        <v>1457</v>
      </c>
      <c r="D2082" s="3">
        <v>45940</v>
      </c>
      <c r="E2082" s="3">
        <v>46142</v>
      </c>
      <c r="F2082" t="s">
        <v>98</v>
      </c>
      <c r="H2082" t="s">
        <v>22</v>
      </c>
      <c r="I2082" t="s">
        <v>36</v>
      </c>
      <c r="J2082" t="s">
        <v>1490</v>
      </c>
      <c r="K2082" t="s">
        <v>24</v>
      </c>
      <c r="L2082" s="4">
        <v>69</v>
      </c>
      <c r="M2082" t="s">
        <v>1458</v>
      </c>
      <c r="N2082" t="s">
        <v>26</v>
      </c>
      <c r="O2082" s="4">
        <v>135</v>
      </c>
      <c r="P2082">
        <v>0</v>
      </c>
      <c r="Q2082" s="4">
        <v>135</v>
      </c>
      <c r="R2082" s="12">
        <f t="shared" si="32"/>
        <v>9315</v>
      </c>
      <c r="T2082" t="s">
        <v>225</v>
      </c>
      <c r="U2082" t="s">
        <v>1459</v>
      </c>
      <c r="V2082" s="4">
        <v>69</v>
      </c>
      <c r="W2082">
        <v>0</v>
      </c>
    </row>
    <row r="2083" spans="1:23" x14ac:dyDescent="0.25">
      <c r="A2083" s="2">
        <v>45941.389513888891</v>
      </c>
      <c r="B2083">
        <v>4149</v>
      </c>
      <c r="C2083" t="s">
        <v>1457</v>
      </c>
      <c r="D2083" s="3">
        <v>45940</v>
      </c>
      <c r="E2083" s="3">
        <v>46142</v>
      </c>
      <c r="F2083" t="s">
        <v>98</v>
      </c>
      <c r="H2083" t="s">
        <v>22</v>
      </c>
      <c r="I2083" t="s">
        <v>35</v>
      </c>
      <c r="J2083" t="s">
        <v>1490</v>
      </c>
      <c r="K2083" t="s">
        <v>24</v>
      </c>
      <c r="L2083" s="4">
        <v>69</v>
      </c>
      <c r="M2083" t="s">
        <v>1458</v>
      </c>
      <c r="N2083" t="s">
        <v>26</v>
      </c>
      <c r="O2083" s="4">
        <v>220</v>
      </c>
      <c r="P2083">
        <v>0</v>
      </c>
      <c r="Q2083" s="4">
        <v>220</v>
      </c>
      <c r="R2083" s="12">
        <f t="shared" si="32"/>
        <v>15180</v>
      </c>
      <c r="T2083" t="s">
        <v>225</v>
      </c>
      <c r="U2083" t="s">
        <v>1459</v>
      </c>
      <c r="V2083" s="4">
        <v>69</v>
      </c>
      <c r="W2083">
        <v>0</v>
      </c>
    </row>
    <row r="2084" spans="1:23" x14ac:dyDescent="0.25">
      <c r="A2084" s="2">
        <v>45941.389513888891</v>
      </c>
      <c r="B2084">
        <v>4149</v>
      </c>
      <c r="C2084" t="s">
        <v>1457</v>
      </c>
      <c r="D2084" s="3">
        <v>45940</v>
      </c>
      <c r="E2084" s="3">
        <v>46142</v>
      </c>
      <c r="F2084" t="s">
        <v>98</v>
      </c>
      <c r="H2084" t="s">
        <v>22</v>
      </c>
      <c r="I2084" t="s">
        <v>335</v>
      </c>
      <c r="K2084" t="s">
        <v>24</v>
      </c>
      <c r="L2084" s="4">
        <v>12</v>
      </c>
      <c r="M2084" t="s">
        <v>1458</v>
      </c>
      <c r="N2084" t="s">
        <v>26</v>
      </c>
      <c r="O2084" s="4">
        <v>1325</v>
      </c>
      <c r="P2084">
        <v>0</v>
      </c>
      <c r="Q2084" s="4">
        <v>1325</v>
      </c>
      <c r="R2084" s="12">
        <f t="shared" si="32"/>
        <v>15900</v>
      </c>
      <c r="T2084" t="s">
        <v>225</v>
      </c>
      <c r="U2084" t="s">
        <v>1459</v>
      </c>
      <c r="V2084" s="4">
        <v>12</v>
      </c>
      <c r="W2084">
        <v>0</v>
      </c>
    </row>
    <row r="2085" spans="1:23" x14ac:dyDescent="0.25">
      <c r="A2085" s="2">
        <v>45941.389513888891</v>
      </c>
      <c r="B2085">
        <v>4149</v>
      </c>
      <c r="C2085" t="s">
        <v>1457</v>
      </c>
      <c r="D2085" s="3">
        <v>45940</v>
      </c>
      <c r="E2085" s="3">
        <v>46142</v>
      </c>
      <c r="F2085" t="s">
        <v>98</v>
      </c>
      <c r="H2085" t="s">
        <v>22</v>
      </c>
      <c r="I2085" t="s">
        <v>192</v>
      </c>
      <c r="J2085" t="s">
        <v>1490</v>
      </c>
      <c r="K2085" t="s">
        <v>24</v>
      </c>
      <c r="L2085" s="4">
        <v>16.5</v>
      </c>
      <c r="M2085" t="s">
        <v>1458</v>
      </c>
      <c r="N2085" t="s">
        <v>26</v>
      </c>
      <c r="O2085" s="4">
        <v>880</v>
      </c>
      <c r="P2085">
        <v>0</v>
      </c>
      <c r="Q2085" s="4">
        <v>880</v>
      </c>
      <c r="R2085" s="12">
        <f t="shared" si="32"/>
        <v>14520</v>
      </c>
      <c r="T2085" t="s">
        <v>225</v>
      </c>
      <c r="U2085" t="s">
        <v>1459</v>
      </c>
      <c r="V2085" s="4">
        <v>16.5</v>
      </c>
      <c r="W2085">
        <v>0</v>
      </c>
    </row>
    <row r="2086" spans="1:23" x14ac:dyDescent="0.25">
      <c r="A2086" s="2">
        <v>45943.363738425927</v>
      </c>
      <c r="B2086">
        <v>4152</v>
      </c>
      <c r="C2086" t="s">
        <v>1457</v>
      </c>
      <c r="D2086" s="3">
        <v>45940</v>
      </c>
      <c r="E2086" s="3">
        <v>46142</v>
      </c>
      <c r="F2086" t="s">
        <v>98</v>
      </c>
      <c r="H2086" t="s">
        <v>22</v>
      </c>
      <c r="I2086" t="s">
        <v>42</v>
      </c>
      <c r="J2086" t="s">
        <v>1490</v>
      </c>
      <c r="K2086" t="s">
        <v>24</v>
      </c>
      <c r="L2086" s="4">
        <v>235</v>
      </c>
      <c r="M2086" t="s">
        <v>1460</v>
      </c>
      <c r="N2086" t="s">
        <v>26</v>
      </c>
      <c r="O2086" s="4">
        <v>70</v>
      </c>
      <c r="P2086">
        <v>0</v>
      </c>
      <c r="Q2086" s="4">
        <v>70</v>
      </c>
      <c r="R2086" s="12">
        <f t="shared" si="32"/>
        <v>16450</v>
      </c>
      <c r="T2086" t="s">
        <v>225</v>
      </c>
      <c r="U2086" t="s">
        <v>1459</v>
      </c>
      <c r="V2086" s="4">
        <v>235</v>
      </c>
      <c r="W2086">
        <v>0</v>
      </c>
    </row>
    <row r="2087" spans="1:23" x14ac:dyDescent="0.25">
      <c r="A2087" s="2">
        <v>45943.363738425927</v>
      </c>
      <c r="B2087">
        <v>4152</v>
      </c>
      <c r="C2087" t="s">
        <v>1457</v>
      </c>
      <c r="D2087" s="3">
        <v>45940</v>
      </c>
      <c r="E2087" s="3">
        <v>46142</v>
      </c>
      <c r="F2087" t="s">
        <v>98</v>
      </c>
      <c r="G2087" t="s">
        <v>1493</v>
      </c>
      <c r="H2087" t="s">
        <v>22</v>
      </c>
      <c r="I2087" t="s">
        <v>63</v>
      </c>
      <c r="J2087" t="s">
        <v>1491</v>
      </c>
      <c r="K2087" t="s">
        <v>31</v>
      </c>
      <c r="L2087" s="4">
        <v>185</v>
      </c>
      <c r="M2087" t="s">
        <v>1460</v>
      </c>
      <c r="N2087" t="s">
        <v>26</v>
      </c>
      <c r="O2087" s="4">
        <v>88</v>
      </c>
      <c r="P2087">
        <v>0</v>
      </c>
      <c r="Q2087" s="4">
        <v>88</v>
      </c>
      <c r="R2087" s="12">
        <f t="shared" si="32"/>
        <v>16280</v>
      </c>
      <c r="T2087" t="s">
        <v>225</v>
      </c>
      <c r="U2087" t="s">
        <v>1459</v>
      </c>
      <c r="V2087" s="4">
        <v>185</v>
      </c>
      <c r="W2087">
        <v>0</v>
      </c>
    </row>
    <row r="2088" spans="1:23" x14ac:dyDescent="0.25">
      <c r="A2088" s="2">
        <v>45943.363738425927</v>
      </c>
      <c r="B2088">
        <v>4152</v>
      </c>
      <c r="C2088" t="s">
        <v>1457</v>
      </c>
      <c r="D2088" s="3">
        <v>45940</v>
      </c>
      <c r="E2088" s="3">
        <v>46142</v>
      </c>
      <c r="F2088" t="s">
        <v>98</v>
      </c>
      <c r="G2088" t="s">
        <v>1493</v>
      </c>
      <c r="H2088" t="s">
        <v>22</v>
      </c>
      <c r="I2088" t="s">
        <v>40</v>
      </c>
      <c r="J2088" t="s">
        <v>1491</v>
      </c>
      <c r="K2088" t="s">
        <v>24</v>
      </c>
      <c r="L2088" s="4">
        <v>341</v>
      </c>
      <c r="M2088" t="s">
        <v>1460</v>
      </c>
      <c r="N2088" t="s">
        <v>26</v>
      </c>
      <c r="O2088" s="4">
        <v>40</v>
      </c>
      <c r="P2088">
        <v>0</v>
      </c>
      <c r="Q2088" s="4">
        <v>40</v>
      </c>
      <c r="R2088" s="12">
        <f t="shared" si="32"/>
        <v>13640</v>
      </c>
      <c r="T2088" t="s">
        <v>225</v>
      </c>
      <c r="U2088" t="s">
        <v>1459</v>
      </c>
      <c r="V2088" s="4">
        <v>341</v>
      </c>
      <c r="W2088">
        <v>0</v>
      </c>
    </row>
    <row r="2089" spans="1:23" x14ac:dyDescent="0.25">
      <c r="A2089" s="2">
        <v>45943.363738425927</v>
      </c>
      <c r="B2089">
        <v>4152</v>
      </c>
      <c r="C2089" t="s">
        <v>1457</v>
      </c>
      <c r="D2089" s="3">
        <v>45940</v>
      </c>
      <c r="E2089" s="3">
        <v>46142</v>
      </c>
      <c r="F2089" t="s">
        <v>98</v>
      </c>
      <c r="G2089" t="s">
        <v>1493</v>
      </c>
      <c r="H2089" t="s">
        <v>22</v>
      </c>
      <c r="I2089" t="s">
        <v>41</v>
      </c>
      <c r="J2089" t="s">
        <v>1491</v>
      </c>
      <c r="K2089" t="s">
        <v>24</v>
      </c>
      <c r="L2089" s="4">
        <v>341</v>
      </c>
      <c r="M2089" t="s">
        <v>1460</v>
      </c>
      <c r="N2089" t="s">
        <v>26</v>
      </c>
      <c r="O2089" s="4">
        <v>40</v>
      </c>
      <c r="P2089">
        <v>0</v>
      </c>
      <c r="Q2089" s="4">
        <v>40</v>
      </c>
      <c r="R2089" s="12">
        <f t="shared" si="32"/>
        <v>13640</v>
      </c>
      <c r="T2089" t="s">
        <v>225</v>
      </c>
      <c r="U2089" t="s">
        <v>1459</v>
      </c>
      <c r="V2089" s="4">
        <v>341</v>
      </c>
      <c r="W2089">
        <v>0</v>
      </c>
    </row>
    <row r="2090" spans="1:23" x14ac:dyDescent="0.25">
      <c r="A2090" s="2">
        <v>45943.363738425927</v>
      </c>
      <c r="B2090">
        <v>4152</v>
      </c>
      <c r="C2090" t="s">
        <v>1457</v>
      </c>
      <c r="D2090" s="3">
        <v>45940</v>
      </c>
      <c r="E2090" s="3">
        <v>46142</v>
      </c>
      <c r="F2090" t="s">
        <v>98</v>
      </c>
      <c r="G2090" t="s">
        <v>1493</v>
      </c>
      <c r="H2090" t="s">
        <v>22</v>
      </c>
      <c r="I2090" t="s">
        <v>38</v>
      </c>
      <c r="J2090" t="s">
        <v>1491</v>
      </c>
      <c r="K2090" t="s">
        <v>24</v>
      </c>
      <c r="L2090" s="4">
        <v>45</v>
      </c>
      <c r="M2090" t="s">
        <v>1460</v>
      </c>
      <c r="N2090" t="s">
        <v>26</v>
      </c>
      <c r="O2090" s="4">
        <v>45</v>
      </c>
      <c r="P2090">
        <v>0</v>
      </c>
      <c r="Q2090" s="4">
        <v>45</v>
      </c>
      <c r="R2090" s="12">
        <f t="shared" si="32"/>
        <v>2025</v>
      </c>
      <c r="T2090" t="s">
        <v>225</v>
      </c>
      <c r="U2090" t="s">
        <v>1459</v>
      </c>
      <c r="V2090" s="4">
        <v>45</v>
      </c>
      <c r="W2090">
        <v>0</v>
      </c>
    </row>
    <row r="2091" spans="1:23" x14ac:dyDescent="0.25">
      <c r="A2091" s="2">
        <v>45943.363738425927</v>
      </c>
      <c r="B2091">
        <v>4152</v>
      </c>
      <c r="C2091" t="s">
        <v>1457</v>
      </c>
      <c r="D2091" s="3">
        <v>45940</v>
      </c>
      <c r="E2091" s="3">
        <v>46142</v>
      </c>
      <c r="F2091" t="s">
        <v>98</v>
      </c>
      <c r="G2091" t="s">
        <v>1493</v>
      </c>
      <c r="H2091" t="s">
        <v>22</v>
      </c>
      <c r="I2091" t="s">
        <v>43</v>
      </c>
      <c r="J2091" t="s">
        <v>1491</v>
      </c>
      <c r="K2091" t="s">
        <v>24</v>
      </c>
      <c r="L2091" s="4">
        <v>45</v>
      </c>
      <c r="M2091" t="s">
        <v>1460</v>
      </c>
      <c r="N2091" t="s">
        <v>26</v>
      </c>
      <c r="O2091" s="4">
        <v>132</v>
      </c>
      <c r="P2091">
        <v>0</v>
      </c>
      <c r="Q2091" s="4">
        <v>132</v>
      </c>
      <c r="R2091" s="12">
        <f t="shared" si="32"/>
        <v>5940</v>
      </c>
      <c r="T2091" t="s">
        <v>225</v>
      </c>
      <c r="U2091" t="s">
        <v>1459</v>
      </c>
      <c r="V2091" s="4">
        <v>45</v>
      </c>
      <c r="W2091">
        <v>0</v>
      </c>
    </row>
    <row r="2092" spans="1:23" x14ac:dyDescent="0.25">
      <c r="A2092" s="2">
        <v>45978.562719907408</v>
      </c>
      <c r="B2092">
        <v>4276</v>
      </c>
      <c r="C2092" t="s">
        <v>1457</v>
      </c>
      <c r="D2092" s="3">
        <v>45978</v>
      </c>
      <c r="E2092" s="3">
        <v>46142</v>
      </c>
      <c r="F2092" t="s">
        <v>98</v>
      </c>
      <c r="G2092" t="s">
        <v>1493</v>
      </c>
      <c r="H2092" t="s">
        <v>22</v>
      </c>
      <c r="I2092" t="s">
        <v>41</v>
      </c>
      <c r="J2092" t="s">
        <v>1491</v>
      </c>
      <c r="K2092" t="s">
        <v>24</v>
      </c>
      <c r="L2092" s="4">
        <v>341</v>
      </c>
      <c r="M2092" t="s">
        <v>1461</v>
      </c>
      <c r="N2092" t="s">
        <v>26</v>
      </c>
      <c r="O2092" s="4">
        <v>5</v>
      </c>
      <c r="P2092">
        <v>0</v>
      </c>
      <c r="Q2092" s="4">
        <v>5</v>
      </c>
      <c r="R2092" s="12">
        <f t="shared" si="32"/>
        <v>1705</v>
      </c>
      <c r="T2092" t="s">
        <v>225</v>
      </c>
      <c r="U2092" t="s">
        <v>1459</v>
      </c>
      <c r="V2092" s="4">
        <v>341</v>
      </c>
      <c r="W2092">
        <v>0</v>
      </c>
    </row>
    <row r="2093" spans="1:23" x14ac:dyDescent="0.25">
      <c r="A2093" s="2">
        <v>45978.562719907408</v>
      </c>
      <c r="B2093">
        <v>4276</v>
      </c>
      <c r="C2093" t="s">
        <v>1457</v>
      </c>
      <c r="D2093" s="3">
        <v>45978</v>
      </c>
      <c r="E2093" s="3">
        <v>46142</v>
      </c>
      <c r="F2093" t="s">
        <v>98</v>
      </c>
      <c r="G2093" t="s">
        <v>1493</v>
      </c>
      <c r="H2093" t="s">
        <v>22</v>
      </c>
      <c r="I2093" t="s">
        <v>40</v>
      </c>
      <c r="J2093" t="s">
        <v>1491</v>
      </c>
      <c r="K2093" t="s">
        <v>24</v>
      </c>
      <c r="L2093" s="4">
        <v>341</v>
      </c>
      <c r="M2093" t="s">
        <v>1461</v>
      </c>
      <c r="N2093" t="s">
        <v>26</v>
      </c>
      <c r="O2093" s="4">
        <v>5</v>
      </c>
      <c r="P2093">
        <v>0</v>
      </c>
      <c r="Q2093" s="4">
        <v>5</v>
      </c>
      <c r="R2093" s="12">
        <f t="shared" si="32"/>
        <v>1705</v>
      </c>
      <c r="T2093" t="s">
        <v>225</v>
      </c>
      <c r="U2093" t="s">
        <v>1459</v>
      </c>
      <c r="V2093" s="4">
        <v>341</v>
      </c>
      <c r="W2093">
        <v>0</v>
      </c>
    </row>
    <row r="2094" spans="1:23" x14ac:dyDescent="0.25">
      <c r="A2094" s="2">
        <v>45978.562719907408</v>
      </c>
      <c r="B2094">
        <v>4276</v>
      </c>
      <c r="C2094" t="s">
        <v>1457</v>
      </c>
      <c r="D2094" s="3">
        <v>45978</v>
      </c>
      <c r="E2094" s="3">
        <v>46142</v>
      </c>
      <c r="F2094" t="s">
        <v>98</v>
      </c>
      <c r="G2094" t="s">
        <v>1493</v>
      </c>
      <c r="H2094" t="s">
        <v>22</v>
      </c>
      <c r="I2094" t="s">
        <v>43</v>
      </c>
      <c r="J2094" t="s">
        <v>1491</v>
      </c>
      <c r="K2094" t="s">
        <v>24</v>
      </c>
      <c r="L2094" s="4">
        <v>45</v>
      </c>
      <c r="M2094" t="s">
        <v>1461</v>
      </c>
      <c r="N2094" t="s">
        <v>26</v>
      </c>
      <c r="O2094" s="4">
        <v>15</v>
      </c>
      <c r="P2094">
        <v>0</v>
      </c>
      <c r="Q2094" s="4">
        <v>15</v>
      </c>
      <c r="R2094" s="12">
        <f t="shared" si="32"/>
        <v>675</v>
      </c>
      <c r="T2094" t="s">
        <v>225</v>
      </c>
      <c r="U2094" t="s">
        <v>1459</v>
      </c>
      <c r="V2094" s="4">
        <v>45</v>
      </c>
      <c r="W2094">
        <v>0</v>
      </c>
    </row>
    <row r="2095" spans="1:23" x14ac:dyDescent="0.25">
      <c r="A2095" s="2">
        <v>45978.562719907408</v>
      </c>
      <c r="B2095">
        <v>4276</v>
      </c>
      <c r="C2095" t="s">
        <v>1457</v>
      </c>
      <c r="D2095" s="3">
        <v>45978</v>
      </c>
      <c r="E2095" s="3">
        <v>46142</v>
      </c>
      <c r="F2095" t="s">
        <v>98</v>
      </c>
      <c r="G2095" t="s">
        <v>1493</v>
      </c>
      <c r="H2095" t="s">
        <v>22</v>
      </c>
      <c r="I2095" t="s">
        <v>38</v>
      </c>
      <c r="J2095" t="s">
        <v>1491</v>
      </c>
      <c r="K2095" t="s">
        <v>24</v>
      </c>
      <c r="L2095" s="4">
        <v>45</v>
      </c>
      <c r="M2095" t="s">
        <v>1461</v>
      </c>
      <c r="N2095" t="s">
        <v>26</v>
      </c>
      <c r="O2095" s="4">
        <v>6</v>
      </c>
      <c r="P2095">
        <v>0</v>
      </c>
      <c r="Q2095" s="4">
        <v>6</v>
      </c>
      <c r="R2095" s="12">
        <f t="shared" si="32"/>
        <v>270</v>
      </c>
      <c r="T2095" t="s">
        <v>225</v>
      </c>
      <c r="U2095" t="s">
        <v>1459</v>
      </c>
      <c r="V2095" s="4">
        <v>45</v>
      </c>
      <c r="W2095">
        <v>0</v>
      </c>
    </row>
    <row r="2096" spans="1:23" x14ac:dyDescent="0.25">
      <c r="A2096" s="2">
        <v>45978.562719907408</v>
      </c>
      <c r="B2096">
        <v>4276</v>
      </c>
      <c r="C2096" t="s">
        <v>1457</v>
      </c>
      <c r="D2096" s="3">
        <v>45978</v>
      </c>
      <c r="E2096" s="3">
        <v>46142</v>
      </c>
      <c r="F2096" t="s">
        <v>98</v>
      </c>
      <c r="G2096" t="s">
        <v>1493</v>
      </c>
      <c r="H2096" t="s">
        <v>22</v>
      </c>
      <c r="I2096" t="s">
        <v>63</v>
      </c>
      <c r="J2096" t="s">
        <v>1491</v>
      </c>
      <c r="K2096" t="s">
        <v>31</v>
      </c>
      <c r="L2096" s="4">
        <v>185</v>
      </c>
      <c r="M2096" t="s">
        <v>1461</v>
      </c>
      <c r="N2096" t="s">
        <v>26</v>
      </c>
      <c r="O2096" s="4">
        <v>10</v>
      </c>
      <c r="P2096">
        <v>0</v>
      </c>
      <c r="Q2096" s="4">
        <v>10</v>
      </c>
      <c r="R2096" s="12">
        <f t="shared" si="32"/>
        <v>1850</v>
      </c>
      <c r="T2096" t="s">
        <v>225</v>
      </c>
      <c r="U2096" t="s">
        <v>1459</v>
      </c>
      <c r="V2096" s="4">
        <v>185</v>
      </c>
      <c r="W2096">
        <v>0</v>
      </c>
    </row>
    <row r="2097" spans="1:23" x14ac:dyDescent="0.25">
      <c r="A2097" s="2">
        <v>45978.562719907408</v>
      </c>
      <c r="B2097">
        <v>4276</v>
      </c>
      <c r="C2097" t="s">
        <v>1457</v>
      </c>
      <c r="D2097" s="3">
        <v>45978</v>
      </c>
      <c r="E2097" s="3">
        <v>46142</v>
      </c>
      <c r="F2097" t="s">
        <v>98</v>
      </c>
      <c r="H2097" t="s">
        <v>22</v>
      </c>
      <c r="I2097" t="s">
        <v>42</v>
      </c>
      <c r="J2097" t="s">
        <v>1490</v>
      </c>
      <c r="K2097" t="s">
        <v>24</v>
      </c>
      <c r="L2097" s="4">
        <v>235</v>
      </c>
      <c r="M2097" t="s">
        <v>1461</v>
      </c>
      <c r="N2097" t="s">
        <v>26</v>
      </c>
      <c r="O2097" s="4">
        <v>10</v>
      </c>
      <c r="P2097">
        <v>0</v>
      </c>
      <c r="Q2097" s="4">
        <v>10</v>
      </c>
      <c r="R2097" s="12">
        <f t="shared" si="32"/>
        <v>2350</v>
      </c>
      <c r="T2097" t="s">
        <v>225</v>
      </c>
      <c r="U2097" t="s">
        <v>1459</v>
      </c>
      <c r="V2097" s="4">
        <v>235</v>
      </c>
      <c r="W2097">
        <v>0</v>
      </c>
    </row>
    <row r="2098" spans="1:23" hidden="1" x14ac:dyDescent="0.25">
      <c r="A2098" s="2">
        <v>46056.613275462965</v>
      </c>
      <c r="B2098">
        <v>4522</v>
      </c>
      <c r="C2098" t="s">
        <v>1457</v>
      </c>
      <c r="D2098" s="3">
        <v>46056</v>
      </c>
      <c r="E2098" s="3">
        <v>46264</v>
      </c>
      <c r="F2098" t="s">
        <v>98</v>
      </c>
      <c r="H2098" t="s">
        <v>22</v>
      </c>
      <c r="I2098" t="s">
        <v>36</v>
      </c>
      <c r="J2098" t="s">
        <v>1490</v>
      </c>
      <c r="K2098" t="s">
        <v>24</v>
      </c>
      <c r="L2098" s="4">
        <v>69</v>
      </c>
      <c r="M2098" t="s">
        <v>1462</v>
      </c>
      <c r="N2098" t="s">
        <v>46</v>
      </c>
      <c r="O2098" s="4">
        <v>45</v>
      </c>
      <c r="P2098">
        <v>0</v>
      </c>
      <c r="Q2098" s="4">
        <v>45</v>
      </c>
      <c r="R2098" s="12">
        <f t="shared" si="32"/>
        <v>3105</v>
      </c>
      <c r="T2098" t="s">
        <v>225</v>
      </c>
      <c r="U2098" t="s">
        <v>1459</v>
      </c>
      <c r="V2098" s="4">
        <v>69</v>
      </c>
      <c r="W2098">
        <v>0</v>
      </c>
    </row>
    <row r="2099" spans="1:23" hidden="1" x14ac:dyDescent="0.25">
      <c r="A2099" s="2">
        <v>46064.350046296298</v>
      </c>
      <c r="B2099">
        <v>4551</v>
      </c>
      <c r="C2099" t="s">
        <v>1457</v>
      </c>
      <c r="D2099" s="3">
        <v>46062</v>
      </c>
      <c r="E2099" s="3">
        <v>46264</v>
      </c>
      <c r="F2099" t="s">
        <v>98</v>
      </c>
      <c r="H2099" t="s">
        <v>22</v>
      </c>
      <c r="I2099" t="s">
        <v>36</v>
      </c>
      <c r="J2099" t="s">
        <v>1490</v>
      </c>
      <c r="K2099" t="s">
        <v>24</v>
      </c>
      <c r="L2099" s="4">
        <v>69</v>
      </c>
      <c r="M2099" t="s">
        <v>1463</v>
      </c>
      <c r="N2099" t="s">
        <v>46</v>
      </c>
      <c r="O2099" s="4">
        <v>110</v>
      </c>
      <c r="P2099" s="4">
        <v>50</v>
      </c>
      <c r="Q2099" s="4">
        <v>60</v>
      </c>
      <c r="R2099" s="12">
        <f t="shared" si="32"/>
        <v>4140</v>
      </c>
      <c r="T2099" t="s">
        <v>225</v>
      </c>
      <c r="U2099" t="s">
        <v>1459</v>
      </c>
      <c r="V2099" s="4">
        <v>69</v>
      </c>
      <c r="W2099">
        <v>0</v>
      </c>
    </row>
    <row r="2100" spans="1:23" hidden="1" x14ac:dyDescent="0.25">
      <c r="A2100" s="2">
        <v>46064.350046296298</v>
      </c>
      <c r="B2100">
        <v>4551</v>
      </c>
      <c r="C2100" t="s">
        <v>1457</v>
      </c>
      <c r="D2100" s="3">
        <v>46062</v>
      </c>
      <c r="E2100" s="3">
        <v>46264</v>
      </c>
      <c r="F2100" t="s">
        <v>98</v>
      </c>
      <c r="H2100" t="s">
        <v>22</v>
      </c>
      <c r="I2100" t="s">
        <v>23</v>
      </c>
      <c r="J2100" t="s">
        <v>1490</v>
      </c>
      <c r="K2100" t="s">
        <v>24</v>
      </c>
      <c r="L2100" s="4">
        <v>16</v>
      </c>
      <c r="M2100" t="s">
        <v>1463</v>
      </c>
      <c r="N2100" t="s">
        <v>46</v>
      </c>
      <c r="O2100" s="4">
        <v>140</v>
      </c>
      <c r="P2100">
        <v>0</v>
      </c>
      <c r="Q2100" s="4">
        <v>140</v>
      </c>
      <c r="R2100" s="12">
        <f t="shared" si="32"/>
        <v>2240</v>
      </c>
      <c r="T2100" t="s">
        <v>225</v>
      </c>
      <c r="U2100" t="s">
        <v>1459</v>
      </c>
      <c r="V2100" s="4">
        <v>16</v>
      </c>
      <c r="W2100">
        <v>0</v>
      </c>
    </row>
    <row r="2101" spans="1:23" hidden="1" x14ac:dyDescent="0.25">
      <c r="A2101" s="2">
        <v>46064.350046296298</v>
      </c>
      <c r="B2101">
        <v>4551</v>
      </c>
      <c r="C2101" t="s">
        <v>1457</v>
      </c>
      <c r="D2101" s="3">
        <v>46062</v>
      </c>
      <c r="E2101" s="3">
        <v>46264</v>
      </c>
      <c r="F2101" t="s">
        <v>98</v>
      </c>
      <c r="H2101" t="s">
        <v>22</v>
      </c>
      <c r="I2101" t="s">
        <v>35</v>
      </c>
      <c r="J2101" t="s">
        <v>1490</v>
      </c>
      <c r="K2101" t="s">
        <v>24</v>
      </c>
      <c r="L2101" s="4">
        <v>69</v>
      </c>
      <c r="M2101" t="s">
        <v>1463</v>
      </c>
      <c r="N2101" t="s">
        <v>46</v>
      </c>
      <c r="O2101" s="4">
        <v>185</v>
      </c>
      <c r="P2101" s="4">
        <v>90</v>
      </c>
      <c r="Q2101" s="4">
        <v>95</v>
      </c>
      <c r="R2101" s="12">
        <f t="shared" si="32"/>
        <v>6555</v>
      </c>
      <c r="T2101" t="s">
        <v>225</v>
      </c>
      <c r="U2101" t="s">
        <v>1459</v>
      </c>
      <c r="V2101" s="4">
        <v>69</v>
      </c>
      <c r="W2101">
        <v>0</v>
      </c>
    </row>
    <row r="2102" spans="1:23" hidden="1" x14ac:dyDescent="0.25">
      <c r="A2102" s="2">
        <v>46064.350046296298</v>
      </c>
      <c r="B2102">
        <v>4551</v>
      </c>
      <c r="C2102" t="s">
        <v>1457</v>
      </c>
      <c r="D2102" s="3">
        <v>46062</v>
      </c>
      <c r="E2102" s="3">
        <v>46264</v>
      </c>
      <c r="F2102" t="s">
        <v>98</v>
      </c>
      <c r="H2102" t="s">
        <v>22</v>
      </c>
      <c r="I2102" t="s">
        <v>177</v>
      </c>
      <c r="J2102" t="s">
        <v>1490</v>
      </c>
      <c r="K2102" t="s">
        <v>24</v>
      </c>
      <c r="L2102" s="4">
        <v>19</v>
      </c>
      <c r="M2102" t="s">
        <v>1463</v>
      </c>
      <c r="N2102" t="s">
        <v>46</v>
      </c>
      <c r="O2102" s="4">
        <v>80</v>
      </c>
      <c r="P2102">
        <v>0</v>
      </c>
      <c r="Q2102" s="4">
        <v>80</v>
      </c>
      <c r="R2102" s="12">
        <f t="shared" si="32"/>
        <v>1520</v>
      </c>
      <c r="T2102" t="s">
        <v>225</v>
      </c>
      <c r="U2102" t="s">
        <v>1459</v>
      </c>
      <c r="V2102" s="4">
        <v>19</v>
      </c>
      <c r="W2102">
        <v>0</v>
      </c>
    </row>
    <row r="2103" spans="1:23" hidden="1" x14ac:dyDescent="0.25">
      <c r="A2103" s="2">
        <v>46064.350046296298</v>
      </c>
      <c r="B2103">
        <v>4551</v>
      </c>
      <c r="C2103" t="s">
        <v>1457</v>
      </c>
      <c r="D2103" s="3">
        <v>46062</v>
      </c>
      <c r="E2103" s="3">
        <v>46264</v>
      </c>
      <c r="F2103" t="s">
        <v>98</v>
      </c>
      <c r="H2103" t="s">
        <v>22</v>
      </c>
      <c r="I2103" t="s">
        <v>29</v>
      </c>
      <c r="J2103" t="s">
        <v>1490</v>
      </c>
      <c r="K2103" t="s">
        <v>24</v>
      </c>
      <c r="L2103" s="4">
        <v>150</v>
      </c>
      <c r="M2103" t="s">
        <v>1463</v>
      </c>
      <c r="N2103" t="s">
        <v>46</v>
      </c>
      <c r="O2103" s="4">
        <v>20</v>
      </c>
      <c r="P2103">
        <v>0</v>
      </c>
      <c r="Q2103" s="4">
        <v>20</v>
      </c>
      <c r="R2103" s="12">
        <f t="shared" si="32"/>
        <v>3000</v>
      </c>
      <c r="T2103" t="s">
        <v>225</v>
      </c>
      <c r="U2103" t="s">
        <v>1459</v>
      </c>
      <c r="V2103" s="4">
        <v>150</v>
      </c>
      <c r="W2103">
        <v>0</v>
      </c>
    </row>
    <row r="2104" spans="1:23" hidden="1" x14ac:dyDescent="0.25">
      <c r="A2104" s="2">
        <v>46064.350046296298</v>
      </c>
      <c r="B2104">
        <v>4551</v>
      </c>
      <c r="C2104" t="s">
        <v>1457</v>
      </c>
      <c r="D2104" s="3">
        <v>46062</v>
      </c>
      <c r="E2104" s="3">
        <v>46264</v>
      </c>
      <c r="F2104" t="s">
        <v>98</v>
      </c>
      <c r="H2104" t="s">
        <v>22</v>
      </c>
      <c r="I2104" t="s">
        <v>335</v>
      </c>
      <c r="K2104" t="s">
        <v>24</v>
      </c>
      <c r="L2104" s="4">
        <v>12</v>
      </c>
      <c r="M2104" t="s">
        <v>1463</v>
      </c>
      <c r="N2104" t="s">
        <v>46</v>
      </c>
      <c r="O2104" s="4">
        <v>1275</v>
      </c>
      <c r="P2104" s="4">
        <v>775</v>
      </c>
      <c r="Q2104" s="4">
        <v>500</v>
      </c>
      <c r="R2104" s="12">
        <f t="shared" si="32"/>
        <v>6000</v>
      </c>
      <c r="T2104" t="s">
        <v>225</v>
      </c>
      <c r="U2104" t="s">
        <v>1459</v>
      </c>
      <c r="V2104" s="4">
        <v>12</v>
      </c>
      <c r="W2104">
        <v>0</v>
      </c>
    </row>
    <row r="2105" spans="1:23" hidden="1" x14ac:dyDescent="0.25">
      <c r="A2105" s="2">
        <v>46064.350046296298</v>
      </c>
      <c r="B2105">
        <v>4551</v>
      </c>
      <c r="C2105" t="s">
        <v>1457</v>
      </c>
      <c r="D2105" s="3">
        <v>46062</v>
      </c>
      <c r="E2105" s="3">
        <v>46264</v>
      </c>
      <c r="F2105" t="s">
        <v>98</v>
      </c>
      <c r="G2105" t="s">
        <v>1493</v>
      </c>
      <c r="H2105" t="s">
        <v>22</v>
      </c>
      <c r="I2105" t="s">
        <v>41</v>
      </c>
      <c r="J2105" t="s">
        <v>1491</v>
      </c>
      <c r="K2105" t="s">
        <v>24</v>
      </c>
      <c r="L2105" s="4">
        <v>341</v>
      </c>
      <c r="M2105" t="s">
        <v>1463</v>
      </c>
      <c r="N2105" t="s">
        <v>46</v>
      </c>
      <c r="O2105" s="4">
        <v>19</v>
      </c>
      <c r="P2105">
        <v>0</v>
      </c>
      <c r="Q2105" s="4">
        <v>19</v>
      </c>
      <c r="R2105" s="12">
        <f t="shared" si="32"/>
        <v>6479</v>
      </c>
      <c r="T2105" t="s">
        <v>225</v>
      </c>
      <c r="U2105" t="s">
        <v>1459</v>
      </c>
      <c r="V2105" s="4">
        <v>341</v>
      </c>
      <c r="W2105">
        <v>0</v>
      </c>
    </row>
    <row r="2106" spans="1:23" hidden="1" x14ac:dyDescent="0.25">
      <c r="A2106" s="2">
        <v>46064.350046296298</v>
      </c>
      <c r="B2106">
        <v>4551</v>
      </c>
      <c r="C2106" t="s">
        <v>1457</v>
      </c>
      <c r="D2106" s="3">
        <v>46062</v>
      </c>
      <c r="E2106" s="3">
        <v>46264</v>
      </c>
      <c r="F2106" t="s">
        <v>98</v>
      </c>
      <c r="G2106" t="s">
        <v>1493</v>
      </c>
      <c r="H2106" t="s">
        <v>22</v>
      </c>
      <c r="I2106" t="s">
        <v>40</v>
      </c>
      <c r="J2106" t="s">
        <v>1491</v>
      </c>
      <c r="K2106" t="s">
        <v>24</v>
      </c>
      <c r="L2106" s="4">
        <v>341</v>
      </c>
      <c r="M2106" t="s">
        <v>1463</v>
      </c>
      <c r="N2106" t="s">
        <v>46</v>
      </c>
      <c r="O2106" s="4">
        <v>19</v>
      </c>
      <c r="P2106">
        <v>0</v>
      </c>
      <c r="Q2106" s="4">
        <v>19</v>
      </c>
      <c r="R2106" s="12">
        <f t="shared" si="32"/>
        <v>6479</v>
      </c>
      <c r="T2106" t="s">
        <v>225</v>
      </c>
      <c r="U2106" t="s">
        <v>1459</v>
      </c>
      <c r="V2106" s="4">
        <v>341</v>
      </c>
      <c r="W2106">
        <v>0</v>
      </c>
    </row>
    <row r="2107" spans="1:23" hidden="1" x14ac:dyDescent="0.25">
      <c r="A2107" s="2">
        <v>46064.350046296298</v>
      </c>
      <c r="B2107">
        <v>4551</v>
      </c>
      <c r="C2107" t="s">
        <v>1457</v>
      </c>
      <c r="D2107" s="3">
        <v>46062</v>
      </c>
      <c r="E2107" s="3">
        <v>46264</v>
      </c>
      <c r="F2107" t="s">
        <v>98</v>
      </c>
      <c r="H2107" t="s">
        <v>22</v>
      </c>
      <c r="I2107" t="s">
        <v>30</v>
      </c>
      <c r="J2107" t="s">
        <v>1490</v>
      </c>
      <c r="K2107" t="s">
        <v>31</v>
      </c>
      <c r="L2107" s="4">
        <v>21</v>
      </c>
      <c r="M2107" t="s">
        <v>1463</v>
      </c>
      <c r="N2107" t="s">
        <v>46</v>
      </c>
      <c r="O2107" s="4">
        <v>150</v>
      </c>
      <c r="P2107">
        <v>0</v>
      </c>
      <c r="Q2107" s="4">
        <v>150</v>
      </c>
      <c r="R2107" s="12">
        <f t="shared" si="32"/>
        <v>3150</v>
      </c>
      <c r="T2107" t="s">
        <v>225</v>
      </c>
      <c r="U2107" t="s">
        <v>1459</v>
      </c>
      <c r="V2107" s="4">
        <v>21</v>
      </c>
      <c r="W2107">
        <v>0</v>
      </c>
    </row>
    <row r="2108" spans="1:23" hidden="1" x14ac:dyDescent="0.25">
      <c r="A2108" s="2">
        <v>45764.313020833331</v>
      </c>
      <c r="B2108">
        <v>3813</v>
      </c>
      <c r="C2108" t="s">
        <v>1464</v>
      </c>
      <c r="D2108" s="3">
        <v>45688</v>
      </c>
      <c r="E2108" s="3">
        <v>45930</v>
      </c>
      <c r="F2108" t="s">
        <v>112</v>
      </c>
      <c r="H2108" t="s">
        <v>22</v>
      </c>
      <c r="I2108" t="s">
        <v>278</v>
      </c>
      <c r="K2108" t="s">
        <v>24</v>
      </c>
      <c r="L2108" s="4">
        <v>24</v>
      </c>
      <c r="M2108" t="s">
        <v>1465</v>
      </c>
      <c r="N2108" t="s">
        <v>46</v>
      </c>
      <c r="O2108" s="4">
        <v>200</v>
      </c>
      <c r="P2108">
        <v>0</v>
      </c>
      <c r="Q2108" s="4">
        <v>200</v>
      </c>
      <c r="R2108" s="12">
        <f t="shared" si="32"/>
        <v>4800</v>
      </c>
      <c r="T2108" t="s">
        <v>151</v>
      </c>
      <c r="U2108" t="s">
        <v>1466</v>
      </c>
      <c r="V2108" s="4">
        <v>24</v>
      </c>
      <c r="W2108">
        <v>0</v>
      </c>
    </row>
    <row r="2109" spans="1:23" hidden="1" x14ac:dyDescent="0.25">
      <c r="A2109" s="2">
        <v>45764.313020833331</v>
      </c>
      <c r="B2109">
        <v>3813</v>
      </c>
      <c r="C2109" t="s">
        <v>1464</v>
      </c>
      <c r="D2109" s="3">
        <v>45688</v>
      </c>
      <c r="E2109" s="3">
        <v>45930</v>
      </c>
      <c r="F2109" t="s">
        <v>112</v>
      </c>
      <c r="H2109" t="s">
        <v>22</v>
      </c>
      <c r="I2109" t="s">
        <v>193</v>
      </c>
      <c r="K2109" t="s">
        <v>31</v>
      </c>
      <c r="L2109" s="4">
        <v>30</v>
      </c>
      <c r="M2109" t="s">
        <v>1465</v>
      </c>
      <c r="N2109" t="s">
        <v>46</v>
      </c>
      <c r="O2109" s="4">
        <v>100</v>
      </c>
      <c r="P2109">
        <v>0</v>
      </c>
      <c r="Q2109" s="4">
        <v>100</v>
      </c>
      <c r="R2109" s="12">
        <f t="shared" si="32"/>
        <v>3000</v>
      </c>
      <c r="T2109" t="s">
        <v>151</v>
      </c>
      <c r="U2109" t="s">
        <v>1466</v>
      </c>
      <c r="V2109" s="4">
        <v>30</v>
      </c>
      <c r="W2109">
        <v>0</v>
      </c>
    </row>
    <row r="2110" spans="1:23" hidden="1" x14ac:dyDescent="0.25">
      <c r="A2110" s="2">
        <v>45758.574178240742</v>
      </c>
      <c r="B2110">
        <v>3807</v>
      </c>
      <c r="C2110" t="s">
        <v>1464</v>
      </c>
      <c r="D2110" s="3">
        <v>45757</v>
      </c>
      <c r="E2110" s="3">
        <v>46142</v>
      </c>
      <c r="F2110" t="s">
        <v>112</v>
      </c>
      <c r="H2110" t="s">
        <v>22</v>
      </c>
      <c r="I2110" t="s">
        <v>29</v>
      </c>
      <c r="J2110" t="s">
        <v>1490</v>
      </c>
      <c r="K2110" t="s">
        <v>24</v>
      </c>
      <c r="L2110" s="4">
        <v>150</v>
      </c>
      <c r="M2110" t="s">
        <v>1467</v>
      </c>
      <c r="N2110" t="s">
        <v>26</v>
      </c>
      <c r="O2110" s="4">
        <v>280</v>
      </c>
      <c r="P2110">
        <v>0</v>
      </c>
      <c r="Q2110" s="4">
        <v>280</v>
      </c>
      <c r="R2110" s="12">
        <f t="shared" si="32"/>
        <v>42000</v>
      </c>
      <c r="T2110" t="s">
        <v>151</v>
      </c>
      <c r="U2110" t="s">
        <v>1466</v>
      </c>
      <c r="V2110" s="4">
        <v>150</v>
      </c>
      <c r="W2110">
        <v>0</v>
      </c>
    </row>
    <row r="2111" spans="1:23" hidden="1" x14ac:dyDescent="0.25">
      <c r="A2111" s="2">
        <v>45758.574178240742</v>
      </c>
      <c r="B2111">
        <v>3807</v>
      </c>
      <c r="C2111" t="s">
        <v>1464</v>
      </c>
      <c r="D2111" s="3">
        <v>45757</v>
      </c>
      <c r="E2111" s="3">
        <v>46142</v>
      </c>
      <c r="F2111" t="s">
        <v>112</v>
      </c>
      <c r="H2111" t="s">
        <v>22</v>
      </c>
      <c r="I2111" t="s">
        <v>35</v>
      </c>
      <c r="J2111" t="s">
        <v>1490</v>
      </c>
      <c r="K2111" t="s">
        <v>24</v>
      </c>
      <c r="L2111" s="4">
        <v>70</v>
      </c>
      <c r="M2111" t="s">
        <v>1467</v>
      </c>
      <c r="N2111" t="s">
        <v>26</v>
      </c>
      <c r="O2111" s="4">
        <v>210</v>
      </c>
      <c r="P2111">
        <v>0</v>
      </c>
      <c r="Q2111" s="4">
        <v>210</v>
      </c>
      <c r="R2111" s="12">
        <f t="shared" si="32"/>
        <v>14700</v>
      </c>
      <c r="T2111" t="s">
        <v>151</v>
      </c>
      <c r="U2111" t="s">
        <v>1466</v>
      </c>
      <c r="V2111" s="4">
        <v>70</v>
      </c>
      <c r="W2111">
        <v>0</v>
      </c>
    </row>
    <row r="2112" spans="1:23" hidden="1" x14ac:dyDescent="0.25">
      <c r="A2112" s="2">
        <v>45758.574178240742</v>
      </c>
      <c r="B2112">
        <v>3807</v>
      </c>
      <c r="C2112" t="s">
        <v>1464</v>
      </c>
      <c r="D2112" s="3">
        <v>45757</v>
      </c>
      <c r="E2112" s="3">
        <v>46142</v>
      </c>
      <c r="F2112" t="s">
        <v>112</v>
      </c>
      <c r="H2112" t="s">
        <v>22</v>
      </c>
      <c r="I2112" t="s">
        <v>36</v>
      </c>
      <c r="J2112" t="s">
        <v>1490</v>
      </c>
      <c r="K2112" t="s">
        <v>24</v>
      </c>
      <c r="L2112" s="4">
        <v>70</v>
      </c>
      <c r="M2112" t="s">
        <v>1467</v>
      </c>
      <c r="N2112" t="s">
        <v>26</v>
      </c>
      <c r="O2112" s="4">
        <v>100</v>
      </c>
      <c r="P2112">
        <v>0</v>
      </c>
      <c r="Q2112" s="4">
        <v>100</v>
      </c>
      <c r="R2112" s="12">
        <f t="shared" si="32"/>
        <v>7000</v>
      </c>
      <c r="T2112" t="s">
        <v>151</v>
      </c>
      <c r="U2112" t="s">
        <v>1466</v>
      </c>
      <c r="V2112" s="4">
        <v>70</v>
      </c>
      <c r="W2112">
        <v>0</v>
      </c>
    </row>
    <row r="2113" spans="1:23" hidden="1" x14ac:dyDescent="0.25">
      <c r="A2113" s="2">
        <v>45758.574178240742</v>
      </c>
      <c r="B2113">
        <v>3807</v>
      </c>
      <c r="C2113" t="s">
        <v>1464</v>
      </c>
      <c r="D2113" s="3">
        <v>45757</v>
      </c>
      <c r="E2113" s="3">
        <v>46142</v>
      </c>
      <c r="F2113" t="s">
        <v>112</v>
      </c>
      <c r="H2113" t="s">
        <v>22</v>
      </c>
      <c r="I2113" t="s">
        <v>42</v>
      </c>
      <c r="J2113" t="s">
        <v>1490</v>
      </c>
      <c r="K2113" t="s">
        <v>24</v>
      </c>
      <c r="L2113" s="4">
        <v>230</v>
      </c>
      <c r="M2113" t="s">
        <v>1467</v>
      </c>
      <c r="N2113" t="s">
        <v>26</v>
      </c>
      <c r="O2113" s="4">
        <v>140</v>
      </c>
      <c r="P2113">
        <v>0</v>
      </c>
      <c r="Q2113" s="4">
        <v>140</v>
      </c>
      <c r="R2113" s="12">
        <f t="shared" si="32"/>
        <v>32200</v>
      </c>
      <c r="T2113" t="s">
        <v>151</v>
      </c>
      <c r="U2113" t="s">
        <v>1466</v>
      </c>
      <c r="V2113" s="4">
        <v>230</v>
      </c>
      <c r="W2113">
        <v>0</v>
      </c>
    </row>
    <row r="2114" spans="1:23" hidden="1" x14ac:dyDescent="0.25">
      <c r="A2114" s="2">
        <v>45862.3356712963</v>
      </c>
      <c r="B2114">
        <v>3941</v>
      </c>
      <c r="C2114" t="s">
        <v>1464</v>
      </c>
      <c r="D2114" s="3">
        <v>45861</v>
      </c>
      <c r="E2114" s="3">
        <v>46142</v>
      </c>
      <c r="F2114" t="s">
        <v>112</v>
      </c>
      <c r="H2114" t="s">
        <v>22</v>
      </c>
      <c r="I2114" t="s">
        <v>23</v>
      </c>
      <c r="J2114" t="s">
        <v>1490</v>
      </c>
      <c r="K2114" t="s">
        <v>24</v>
      </c>
      <c r="L2114" s="4">
        <v>16</v>
      </c>
      <c r="M2114" t="s">
        <v>1468</v>
      </c>
      <c r="N2114" t="s">
        <v>26</v>
      </c>
      <c r="O2114" s="4">
        <v>1400</v>
      </c>
      <c r="P2114">
        <v>0</v>
      </c>
      <c r="Q2114" s="4">
        <v>1400</v>
      </c>
      <c r="R2114" s="12">
        <f t="shared" si="32"/>
        <v>22400</v>
      </c>
      <c r="T2114" t="s">
        <v>151</v>
      </c>
      <c r="U2114" t="s">
        <v>1466</v>
      </c>
      <c r="V2114" s="4">
        <v>16</v>
      </c>
      <c r="W2114">
        <v>0</v>
      </c>
    </row>
    <row r="2115" spans="1:23" hidden="1" x14ac:dyDescent="0.25">
      <c r="A2115" s="2">
        <v>45862.3356712963</v>
      </c>
      <c r="B2115">
        <v>3941</v>
      </c>
      <c r="C2115" t="s">
        <v>1464</v>
      </c>
      <c r="D2115" s="3">
        <v>45861</v>
      </c>
      <c r="E2115" s="3">
        <v>46142</v>
      </c>
      <c r="F2115" t="s">
        <v>112</v>
      </c>
      <c r="H2115" t="s">
        <v>22</v>
      </c>
      <c r="I2115" t="s">
        <v>37</v>
      </c>
      <c r="J2115" t="s">
        <v>1490</v>
      </c>
      <c r="K2115" t="s">
        <v>31</v>
      </c>
      <c r="L2115" s="4">
        <v>95</v>
      </c>
      <c r="M2115" t="s">
        <v>1468</v>
      </c>
      <c r="N2115" t="s">
        <v>26</v>
      </c>
      <c r="O2115" s="4">
        <v>210</v>
      </c>
      <c r="P2115">
        <v>0</v>
      </c>
      <c r="Q2115" s="4">
        <v>210</v>
      </c>
      <c r="R2115" s="12">
        <f t="shared" ref="R2115:R2140" si="33">Q2115*L2115</f>
        <v>19950</v>
      </c>
      <c r="T2115" t="s">
        <v>151</v>
      </c>
      <c r="U2115" t="s">
        <v>1466</v>
      </c>
      <c r="V2115" s="4">
        <v>95</v>
      </c>
      <c r="W2115">
        <v>0</v>
      </c>
    </row>
    <row r="2116" spans="1:23" hidden="1" x14ac:dyDescent="0.25">
      <c r="A2116" s="2">
        <v>45862.3356712963</v>
      </c>
      <c r="B2116">
        <v>3941</v>
      </c>
      <c r="C2116" t="s">
        <v>1464</v>
      </c>
      <c r="D2116" s="3">
        <v>45861</v>
      </c>
      <c r="E2116" s="3">
        <v>46142</v>
      </c>
      <c r="F2116" t="s">
        <v>112</v>
      </c>
      <c r="H2116" t="s">
        <v>22</v>
      </c>
      <c r="I2116" t="s">
        <v>33</v>
      </c>
      <c r="J2116" t="s">
        <v>1490</v>
      </c>
      <c r="K2116" t="s">
        <v>31</v>
      </c>
      <c r="L2116" s="4">
        <v>24</v>
      </c>
      <c r="M2116" t="s">
        <v>1468</v>
      </c>
      <c r="N2116" t="s">
        <v>26</v>
      </c>
      <c r="O2116" s="4">
        <v>840</v>
      </c>
      <c r="P2116">
        <v>0</v>
      </c>
      <c r="Q2116" s="4">
        <v>840</v>
      </c>
      <c r="R2116" s="12">
        <f t="shared" si="33"/>
        <v>20160</v>
      </c>
      <c r="T2116" t="s">
        <v>151</v>
      </c>
      <c r="U2116" t="s">
        <v>1466</v>
      </c>
      <c r="V2116" s="4">
        <v>24</v>
      </c>
      <c r="W2116">
        <v>0</v>
      </c>
    </row>
    <row r="2117" spans="1:23" hidden="1" x14ac:dyDescent="0.25">
      <c r="A2117" s="2">
        <v>45862.3356712963</v>
      </c>
      <c r="B2117">
        <v>3941</v>
      </c>
      <c r="C2117" t="s">
        <v>1464</v>
      </c>
      <c r="D2117" s="3">
        <v>45861</v>
      </c>
      <c r="E2117" s="3">
        <v>46142</v>
      </c>
      <c r="F2117" t="s">
        <v>112</v>
      </c>
      <c r="H2117" t="s">
        <v>22</v>
      </c>
      <c r="I2117" t="s">
        <v>34</v>
      </c>
      <c r="J2117" t="s">
        <v>1490</v>
      </c>
      <c r="K2117" t="s">
        <v>31</v>
      </c>
      <c r="L2117" s="4">
        <v>24</v>
      </c>
      <c r="M2117" t="s">
        <v>1468</v>
      </c>
      <c r="N2117" t="s">
        <v>26</v>
      </c>
      <c r="O2117" s="4">
        <v>1400</v>
      </c>
      <c r="P2117">
        <v>0</v>
      </c>
      <c r="Q2117" s="4">
        <v>1400</v>
      </c>
      <c r="R2117" s="12">
        <f t="shared" si="33"/>
        <v>33600</v>
      </c>
      <c r="T2117" t="s">
        <v>151</v>
      </c>
      <c r="U2117" t="s">
        <v>1466</v>
      </c>
      <c r="V2117" s="4">
        <v>24</v>
      </c>
      <c r="W2117">
        <v>0</v>
      </c>
    </row>
    <row r="2118" spans="1:23" hidden="1" x14ac:dyDescent="0.25">
      <c r="A2118" s="2">
        <v>45862.3356712963</v>
      </c>
      <c r="B2118">
        <v>3941</v>
      </c>
      <c r="C2118" t="s">
        <v>1464</v>
      </c>
      <c r="D2118" s="3">
        <v>45861</v>
      </c>
      <c r="E2118" s="3">
        <v>46142</v>
      </c>
      <c r="F2118" t="s">
        <v>112</v>
      </c>
      <c r="H2118" t="s">
        <v>22</v>
      </c>
      <c r="I2118" t="s">
        <v>191</v>
      </c>
      <c r="J2118" t="s">
        <v>1490</v>
      </c>
      <c r="K2118" t="s">
        <v>31</v>
      </c>
      <c r="L2118" s="4">
        <v>21</v>
      </c>
      <c r="M2118" t="s">
        <v>1468</v>
      </c>
      <c r="N2118" t="s">
        <v>26</v>
      </c>
      <c r="O2118" s="4">
        <v>1400</v>
      </c>
      <c r="P2118">
        <v>0</v>
      </c>
      <c r="Q2118" s="4">
        <v>1400</v>
      </c>
      <c r="R2118" s="12">
        <f t="shared" si="33"/>
        <v>29400</v>
      </c>
      <c r="T2118" t="s">
        <v>151</v>
      </c>
      <c r="U2118" t="s">
        <v>1466</v>
      </c>
      <c r="V2118" s="4">
        <v>21</v>
      </c>
      <c r="W2118">
        <v>0</v>
      </c>
    </row>
    <row r="2119" spans="1:23" hidden="1" x14ac:dyDescent="0.25">
      <c r="A2119" s="2">
        <v>45862.3356712963</v>
      </c>
      <c r="B2119">
        <v>3941</v>
      </c>
      <c r="C2119" t="s">
        <v>1464</v>
      </c>
      <c r="D2119" s="3">
        <v>45861</v>
      </c>
      <c r="E2119" s="3">
        <v>46142</v>
      </c>
      <c r="F2119" t="s">
        <v>112</v>
      </c>
      <c r="H2119" t="s">
        <v>22</v>
      </c>
      <c r="I2119" t="s">
        <v>32</v>
      </c>
      <c r="J2119" t="s">
        <v>1490</v>
      </c>
      <c r="K2119" t="s">
        <v>24</v>
      </c>
      <c r="L2119" s="4">
        <v>21.5</v>
      </c>
      <c r="M2119" t="s">
        <v>1468</v>
      </c>
      <c r="N2119" t="s">
        <v>26</v>
      </c>
      <c r="O2119" s="4">
        <v>1400</v>
      </c>
      <c r="P2119">
        <v>0</v>
      </c>
      <c r="Q2119" s="4">
        <v>1400</v>
      </c>
      <c r="R2119" s="12">
        <f t="shared" si="33"/>
        <v>30100</v>
      </c>
      <c r="T2119" t="s">
        <v>151</v>
      </c>
      <c r="U2119" t="s">
        <v>1466</v>
      </c>
      <c r="V2119" s="4">
        <v>21.5</v>
      </c>
      <c r="W2119">
        <v>0</v>
      </c>
    </row>
    <row r="2120" spans="1:23" hidden="1" x14ac:dyDescent="0.25">
      <c r="A2120" s="2">
        <v>45862.337638888886</v>
      </c>
      <c r="B2120">
        <v>3942</v>
      </c>
      <c r="C2120" t="s">
        <v>1464</v>
      </c>
      <c r="D2120" s="3">
        <v>45861</v>
      </c>
      <c r="E2120" s="3">
        <v>46142</v>
      </c>
      <c r="F2120" t="s">
        <v>112</v>
      </c>
      <c r="G2120" t="s">
        <v>1493</v>
      </c>
      <c r="H2120" t="s">
        <v>22</v>
      </c>
      <c r="I2120" t="s">
        <v>40</v>
      </c>
      <c r="J2120" t="s">
        <v>1491</v>
      </c>
      <c r="K2120" t="s">
        <v>24</v>
      </c>
      <c r="L2120" s="4">
        <v>360</v>
      </c>
      <c r="M2120" t="s">
        <v>1469</v>
      </c>
      <c r="N2120" t="s">
        <v>26</v>
      </c>
      <c r="O2120" s="4">
        <v>20</v>
      </c>
      <c r="P2120">
        <v>0</v>
      </c>
      <c r="Q2120" s="4">
        <v>20</v>
      </c>
      <c r="R2120" s="12">
        <f t="shared" si="33"/>
        <v>7200</v>
      </c>
      <c r="T2120" t="s">
        <v>151</v>
      </c>
      <c r="U2120" t="s">
        <v>1466</v>
      </c>
      <c r="V2120" s="4">
        <v>360</v>
      </c>
      <c r="W2120">
        <v>0</v>
      </c>
    </row>
    <row r="2121" spans="1:23" hidden="1" x14ac:dyDescent="0.25">
      <c r="A2121" s="2">
        <v>45862.337638888886</v>
      </c>
      <c r="B2121">
        <v>3942</v>
      </c>
      <c r="C2121" t="s">
        <v>1464</v>
      </c>
      <c r="D2121" s="3">
        <v>45861</v>
      </c>
      <c r="E2121" s="3">
        <v>46142</v>
      </c>
      <c r="F2121" t="s">
        <v>112</v>
      </c>
      <c r="G2121" t="s">
        <v>1493</v>
      </c>
      <c r="H2121" t="s">
        <v>22</v>
      </c>
      <c r="I2121" t="s">
        <v>41</v>
      </c>
      <c r="J2121" t="s">
        <v>1491</v>
      </c>
      <c r="K2121" t="s">
        <v>24</v>
      </c>
      <c r="L2121" s="4">
        <v>370</v>
      </c>
      <c r="M2121" t="s">
        <v>1469</v>
      </c>
      <c r="N2121" t="s">
        <v>26</v>
      </c>
      <c r="O2121" s="4">
        <v>20</v>
      </c>
      <c r="P2121">
        <v>0</v>
      </c>
      <c r="Q2121" s="4">
        <v>20</v>
      </c>
      <c r="R2121" s="12">
        <f t="shared" si="33"/>
        <v>7400</v>
      </c>
      <c r="T2121" t="s">
        <v>151</v>
      </c>
      <c r="U2121" t="s">
        <v>1466</v>
      </c>
      <c r="V2121" s="4">
        <v>370</v>
      </c>
      <c r="W2121">
        <v>0</v>
      </c>
    </row>
    <row r="2122" spans="1:23" hidden="1" x14ac:dyDescent="0.25">
      <c r="A2122" s="2">
        <v>45862.337638888886</v>
      </c>
      <c r="B2122">
        <v>3942</v>
      </c>
      <c r="C2122" t="s">
        <v>1464</v>
      </c>
      <c r="D2122" s="3">
        <v>45861</v>
      </c>
      <c r="E2122" s="3">
        <v>46142</v>
      </c>
      <c r="F2122" t="s">
        <v>112</v>
      </c>
      <c r="G2122" t="s">
        <v>1493</v>
      </c>
      <c r="H2122" t="s">
        <v>22</v>
      </c>
      <c r="I2122" t="s">
        <v>43</v>
      </c>
      <c r="J2122" t="s">
        <v>1491</v>
      </c>
      <c r="K2122" t="s">
        <v>24</v>
      </c>
      <c r="L2122" s="4">
        <v>47</v>
      </c>
      <c r="M2122" t="s">
        <v>1469</v>
      </c>
      <c r="N2122" t="s">
        <v>26</v>
      </c>
      <c r="O2122" s="4">
        <v>60</v>
      </c>
      <c r="P2122">
        <v>0</v>
      </c>
      <c r="Q2122" s="4">
        <v>60</v>
      </c>
      <c r="R2122" s="12">
        <f t="shared" si="33"/>
        <v>2820</v>
      </c>
      <c r="T2122" t="s">
        <v>151</v>
      </c>
      <c r="U2122" t="s">
        <v>1466</v>
      </c>
      <c r="V2122" s="4">
        <v>47</v>
      </c>
      <c r="W2122">
        <v>0</v>
      </c>
    </row>
    <row r="2123" spans="1:23" hidden="1" x14ac:dyDescent="0.25">
      <c r="A2123" s="2">
        <v>45862.337638888886</v>
      </c>
      <c r="B2123">
        <v>3942</v>
      </c>
      <c r="C2123" t="s">
        <v>1464</v>
      </c>
      <c r="D2123" s="3">
        <v>45861</v>
      </c>
      <c r="E2123" s="3">
        <v>46142</v>
      </c>
      <c r="F2123" t="s">
        <v>112</v>
      </c>
      <c r="G2123" t="s">
        <v>1493</v>
      </c>
      <c r="H2123" t="s">
        <v>22</v>
      </c>
      <c r="I2123" t="s">
        <v>38</v>
      </c>
      <c r="J2123" t="s">
        <v>1491</v>
      </c>
      <c r="K2123" t="s">
        <v>24</v>
      </c>
      <c r="L2123" s="4">
        <v>52</v>
      </c>
      <c r="M2123" t="s">
        <v>1469</v>
      </c>
      <c r="N2123" t="s">
        <v>26</v>
      </c>
      <c r="O2123" s="4">
        <v>42</v>
      </c>
      <c r="P2123">
        <v>0</v>
      </c>
      <c r="Q2123" s="4">
        <v>42</v>
      </c>
      <c r="R2123" s="12">
        <f t="shared" si="33"/>
        <v>2184</v>
      </c>
      <c r="T2123" t="s">
        <v>151</v>
      </c>
      <c r="U2123" t="s">
        <v>1466</v>
      </c>
      <c r="V2123" s="4">
        <v>52</v>
      </c>
      <c r="W2123">
        <v>0</v>
      </c>
    </row>
    <row r="2124" spans="1:23" hidden="1" x14ac:dyDescent="0.25">
      <c r="A2124" s="2">
        <v>45862.337638888886</v>
      </c>
      <c r="B2124">
        <v>3942</v>
      </c>
      <c r="C2124" t="s">
        <v>1464</v>
      </c>
      <c r="D2124" s="3">
        <v>45861</v>
      </c>
      <c r="E2124" s="3">
        <v>46142</v>
      </c>
      <c r="F2124" t="s">
        <v>112</v>
      </c>
      <c r="G2124" t="s">
        <v>1493</v>
      </c>
      <c r="H2124" t="s">
        <v>22</v>
      </c>
      <c r="I2124" t="s">
        <v>63</v>
      </c>
      <c r="J2124" t="s">
        <v>1491</v>
      </c>
      <c r="K2124" t="s">
        <v>31</v>
      </c>
      <c r="L2124" s="4">
        <v>200</v>
      </c>
      <c r="M2124" t="s">
        <v>1469</v>
      </c>
      <c r="N2124" t="s">
        <v>26</v>
      </c>
      <c r="O2124" s="4">
        <v>40</v>
      </c>
      <c r="P2124">
        <v>0</v>
      </c>
      <c r="Q2124" s="4">
        <v>40</v>
      </c>
      <c r="R2124" s="12">
        <f t="shared" si="33"/>
        <v>8000</v>
      </c>
      <c r="T2124" t="s">
        <v>151</v>
      </c>
      <c r="U2124" t="s">
        <v>1466</v>
      </c>
      <c r="V2124" s="4">
        <v>200</v>
      </c>
      <c r="W2124">
        <v>0</v>
      </c>
    </row>
    <row r="2125" spans="1:23" hidden="1" x14ac:dyDescent="0.25">
      <c r="A2125" s="2">
        <v>45918.587361111109</v>
      </c>
      <c r="B2125">
        <v>4057</v>
      </c>
      <c r="C2125" t="s">
        <v>1464</v>
      </c>
      <c r="D2125" s="3">
        <v>45918</v>
      </c>
      <c r="E2125" s="3">
        <v>46142</v>
      </c>
      <c r="F2125" t="s">
        <v>112</v>
      </c>
      <c r="H2125" t="s">
        <v>22</v>
      </c>
      <c r="I2125" t="s">
        <v>33</v>
      </c>
      <c r="J2125" t="s">
        <v>1490</v>
      </c>
      <c r="K2125" t="s">
        <v>31</v>
      </c>
      <c r="L2125" s="4">
        <v>24</v>
      </c>
      <c r="M2125" t="s">
        <v>1470</v>
      </c>
      <c r="N2125" t="s">
        <v>26</v>
      </c>
      <c r="O2125" s="4">
        <v>560</v>
      </c>
      <c r="P2125">
        <v>0</v>
      </c>
      <c r="Q2125" s="4">
        <v>560</v>
      </c>
      <c r="R2125" s="12">
        <f t="shared" si="33"/>
        <v>13440</v>
      </c>
      <c r="T2125" t="s">
        <v>151</v>
      </c>
      <c r="U2125" t="s">
        <v>1466</v>
      </c>
      <c r="V2125" s="4">
        <v>24</v>
      </c>
      <c r="W2125">
        <v>0</v>
      </c>
    </row>
    <row r="2126" spans="1:23" hidden="1" x14ac:dyDescent="0.25">
      <c r="A2126" s="2">
        <v>45950.637453703705</v>
      </c>
      <c r="B2126">
        <v>4186</v>
      </c>
      <c r="C2126" t="s">
        <v>1464</v>
      </c>
      <c r="D2126" s="3">
        <v>45950</v>
      </c>
      <c r="E2126" s="3">
        <v>46142</v>
      </c>
      <c r="F2126" t="s">
        <v>112</v>
      </c>
      <c r="H2126" t="s">
        <v>22</v>
      </c>
      <c r="I2126" t="s">
        <v>36</v>
      </c>
      <c r="J2126" t="s">
        <v>1490</v>
      </c>
      <c r="K2126" t="s">
        <v>24</v>
      </c>
      <c r="L2126" s="4">
        <v>70</v>
      </c>
      <c r="M2126" t="s">
        <v>1471</v>
      </c>
      <c r="N2126" t="s">
        <v>26</v>
      </c>
      <c r="O2126" s="4">
        <v>40</v>
      </c>
      <c r="P2126">
        <v>0</v>
      </c>
      <c r="Q2126" s="4">
        <v>40</v>
      </c>
      <c r="R2126" s="12">
        <f t="shared" si="33"/>
        <v>2800</v>
      </c>
      <c r="T2126" t="s">
        <v>151</v>
      </c>
      <c r="U2126" t="s">
        <v>1466</v>
      </c>
      <c r="V2126" s="4">
        <v>70</v>
      </c>
      <c r="W2126">
        <v>0</v>
      </c>
    </row>
    <row r="2127" spans="1:23" hidden="1" x14ac:dyDescent="0.25">
      <c r="A2127" s="2">
        <v>45965.31958333333</v>
      </c>
      <c r="B2127">
        <v>4233</v>
      </c>
      <c r="C2127" t="s">
        <v>1464</v>
      </c>
      <c r="D2127" s="3">
        <v>45965</v>
      </c>
      <c r="E2127" s="3">
        <v>46142</v>
      </c>
      <c r="F2127" t="s">
        <v>112</v>
      </c>
      <c r="H2127" t="s">
        <v>22</v>
      </c>
      <c r="I2127" t="s">
        <v>36</v>
      </c>
      <c r="J2127" t="s">
        <v>1490</v>
      </c>
      <c r="K2127" t="s">
        <v>24</v>
      </c>
      <c r="L2127" s="4">
        <v>70</v>
      </c>
      <c r="M2127" t="s">
        <v>1472</v>
      </c>
      <c r="N2127" t="s">
        <v>26</v>
      </c>
      <c r="O2127" s="4">
        <v>20</v>
      </c>
      <c r="P2127">
        <v>0</v>
      </c>
      <c r="Q2127" s="4">
        <v>20</v>
      </c>
      <c r="R2127" s="12">
        <f t="shared" si="33"/>
        <v>1400</v>
      </c>
      <c r="T2127" t="s">
        <v>151</v>
      </c>
      <c r="U2127" t="s">
        <v>1466</v>
      </c>
      <c r="V2127" s="4">
        <v>70</v>
      </c>
      <c r="W2127">
        <v>0</v>
      </c>
    </row>
    <row r="2128" spans="1:23" hidden="1" x14ac:dyDescent="0.25">
      <c r="A2128" s="2">
        <v>45971.597916666666</v>
      </c>
      <c r="B2128">
        <v>4252</v>
      </c>
      <c r="C2128" t="s">
        <v>1464</v>
      </c>
      <c r="D2128" s="3">
        <v>45971</v>
      </c>
      <c r="E2128" s="3">
        <v>46142</v>
      </c>
      <c r="F2128" t="s">
        <v>112</v>
      </c>
      <c r="H2128" t="s">
        <v>22</v>
      </c>
      <c r="I2128" t="s">
        <v>36</v>
      </c>
      <c r="J2128" t="s">
        <v>1490</v>
      </c>
      <c r="K2128" t="s">
        <v>24</v>
      </c>
      <c r="L2128" s="4">
        <v>70</v>
      </c>
      <c r="M2128" t="s">
        <v>1473</v>
      </c>
      <c r="N2128" t="s">
        <v>26</v>
      </c>
      <c r="O2128" s="4">
        <v>20</v>
      </c>
      <c r="P2128">
        <v>0</v>
      </c>
      <c r="Q2128" s="4">
        <v>20</v>
      </c>
      <c r="R2128" s="12">
        <f t="shared" si="33"/>
        <v>1400</v>
      </c>
      <c r="T2128" t="s">
        <v>151</v>
      </c>
      <c r="U2128" t="s">
        <v>1466</v>
      </c>
      <c r="V2128" s="4">
        <v>70</v>
      </c>
      <c r="W2128">
        <v>0</v>
      </c>
    </row>
    <row r="2129" spans="1:23" hidden="1" x14ac:dyDescent="0.25">
      <c r="A2129" s="2">
        <v>45923.301550925928</v>
      </c>
      <c r="B2129">
        <v>310</v>
      </c>
      <c r="C2129" t="s">
        <v>1474</v>
      </c>
      <c r="D2129" s="3">
        <v>45922</v>
      </c>
      <c r="E2129" s="3">
        <v>46111</v>
      </c>
      <c r="F2129" t="s">
        <v>52</v>
      </c>
      <c r="H2129" t="s">
        <v>22</v>
      </c>
      <c r="I2129" t="s">
        <v>37</v>
      </c>
      <c r="J2129" t="s">
        <v>1490</v>
      </c>
      <c r="K2129" t="s">
        <v>31</v>
      </c>
      <c r="L2129" s="4">
        <v>85</v>
      </c>
      <c r="M2129" t="s">
        <v>1475</v>
      </c>
      <c r="N2129" t="s">
        <v>26</v>
      </c>
      <c r="O2129" s="4">
        <v>6</v>
      </c>
      <c r="P2129">
        <v>0</v>
      </c>
      <c r="Q2129" s="4">
        <v>6</v>
      </c>
      <c r="R2129" s="12">
        <f t="shared" si="33"/>
        <v>510</v>
      </c>
      <c r="T2129" t="s">
        <v>55</v>
      </c>
      <c r="U2129" t="s">
        <v>1476</v>
      </c>
      <c r="V2129" s="4">
        <v>85</v>
      </c>
      <c r="W2129">
        <v>0</v>
      </c>
    </row>
    <row r="2130" spans="1:23" hidden="1" x14ac:dyDescent="0.25">
      <c r="A2130" s="2">
        <v>45923.301550925928</v>
      </c>
      <c r="B2130">
        <v>310</v>
      </c>
      <c r="C2130" t="s">
        <v>1474</v>
      </c>
      <c r="D2130" s="3">
        <v>45922</v>
      </c>
      <c r="E2130" s="3">
        <v>46111</v>
      </c>
      <c r="F2130" t="s">
        <v>52</v>
      </c>
      <c r="H2130" t="s">
        <v>22</v>
      </c>
      <c r="I2130" t="s">
        <v>30</v>
      </c>
      <c r="J2130" t="s">
        <v>1490</v>
      </c>
      <c r="K2130" t="s">
        <v>31</v>
      </c>
      <c r="L2130" s="4">
        <v>23</v>
      </c>
      <c r="M2130" t="s">
        <v>1475</v>
      </c>
      <c r="N2130" t="s">
        <v>26</v>
      </c>
      <c r="O2130" s="4">
        <v>40</v>
      </c>
      <c r="P2130">
        <v>0</v>
      </c>
      <c r="Q2130" s="4">
        <v>40</v>
      </c>
      <c r="R2130" s="12">
        <f t="shared" si="33"/>
        <v>920</v>
      </c>
      <c r="T2130" t="s">
        <v>55</v>
      </c>
      <c r="U2130" t="s">
        <v>1476</v>
      </c>
      <c r="V2130" s="4">
        <v>23</v>
      </c>
      <c r="W2130">
        <v>0</v>
      </c>
    </row>
    <row r="2131" spans="1:23" hidden="1" x14ac:dyDescent="0.25">
      <c r="A2131" s="2">
        <v>45923.301550925928</v>
      </c>
      <c r="B2131">
        <v>310</v>
      </c>
      <c r="C2131" t="s">
        <v>1474</v>
      </c>
      <c r="D2131" s="3">
        <v>45922</v>
      </c>
      <c r="E2131" s="3">
        <v>46111</v>
      </c>
      <c r="F2131" t="s">
        <v>52</v>
      </c>
      <c r="H2131" t="s">
        <v>22</v>
      </c>
      <c r="I2131" t="s">
        <v>33</v>
      </c>
      <c r="J2131" t="s">
        <v>1490</v>
      </c>
      <c r="K2131" t="s">
        <v>31</v>
      </c>
      <c r="L2131" s="4">
        <v>24</v>
      </c>
      <c r="M2131" t="s">
        <v>1475</v>
      </c>
      <c r="N2131" t="s">
        <v>26</v>
      </c>
      <c r="O2131" s="4">
        <v>20</v>
      </c>
      <c r="P2131">
        <v>0</v>
      </c>
      <c r="Q2131" s="4">
        <v>20</v>
      </c>
      <c r="R2131" s="12">
        <f t="shared" si="33"/>
        <v>480</v>
      </c>
      <c r="T2131" t="s">
        <v>55</v>
      </c>
      <c r="U2131" t="s">
        <v>1476</v>
      </c>
      <c r="V2131" s="4">
        <v>24</v>
      </c>
      <c r="W2131">
        <v>0</v>
      </c>
    </row>
    <row r="2132" spans="1:23" hidden="1" x14ac:dyDescent="0.25">
      <c r="A2132" s="2">
        <v>45923.301550925928</v>
      </c>
      <c r="B2132">
        <v>310</v>
      </c>
      <c r="C2132" t="s">
        <v>1474</v>
      </c>
      <c r="D2132" s="3">
        <v>45922</v>
      </c>
      <c r="E2132" s="3">
        <v>46111</v>
      </c>
      <c r="F2132" t="s">
        <v>52</v>
      </c>
      <c r="H2132" t="s">
        <v>22</v>
      </c>
      <c r="I2132" t="s">
        <v>32</v>
      </c>
      <c r="J2132" t="s">
        <v>1490</v>
      </c>
      <c r="K2132" t="s">
        <v>24</v>
      </c>
      <c r="L2132" s="4">
        <v>24</v>
      </c>
      <c r="M2132" t="s">
        <v>1475</v>
      </c>
      <c r="N2132" t="s">
        <v>26</v>
      </c>
      <c r="O2132" s="4">
        <v>40</v>
      </c>
      <c r="P2132">
        <v>0</v>
      </c>
      <c r="Q2132" s="4">
        <v>40</v>
      </c>
      <c r="R2132" s="12">
        <f t="shared" si="33"/>
        <v>960</v>
      </c>
      <c r="T2132" t="s">
        <v>55</v>
      </c>
      <c r="U2132" t="s">
        <v>1476</v>
      </c>
      <c r="V2132" s="4">
        <v>24</v>
      </c>
      <c r="W2132">
        <v>0</v>
      </c>
    </row>
    <row r="2133" spans="1:23" hidden="1" x14ac:dyDescent="0.25">
      <c r="A2133" s="2">
        <v>45923.301550925928</v>
      </c>
      <c r="B2133">
        <v>310</v>
      </c>
      <c r="C2133" t="s">
        <v>1474</v>
      </c>
      <c r="D2133" s="3">
        <v>45922</v>
      </c>
      <c r="E2133" s="3">
        <v>46111</v>
      </c>
      <c r="F2133" t="s">
        <v>52</v>
      </c>
      <c r="H2133" t="s">
        <v>22</v>
      </c>
      <c r="I2133" t="s">
        <v>29</v>
      </c>
      <c r="J2133" t="s">
        <v>1490</v>
      </c>
      <c r="K2133" t="s">
        <v>24</v>
      </c>
      <c r="L2133" s="4">
        <v>145</v>
      </c>
      <c r="M2133" t="s">
        <v>1475</v>
      </c>
      <c r="N2133" t="s">
        <v>26</v>
      </c>
      <c r="O2133" s="4">
        <v>20</v>
      </c>
      <c r="P2133">
        <v>0</v>
      </c>
      <c r="Q2133" s="4">
        <v>20</v>
      </c>
      <c r="R2133" s="12">
        <f t="shared" si="33"/>
        <v>2900</v>
      </c>
      <c r="T2133" t="s">
        <v>55</v>
      </c>
      <c r="U2133" t="s">
        <v>1476</v>
      </c>
      <c r="V2133" s="4">
        <v>145</v>
      </c>
      <c r="W2133">
        <v>0</v>
      </c>
    </row>
    <row r="2134" spans="1:23" hidden="1" x14ac:dyDescent="0.25">
      <c r="A2134" s="2">
        <v>45923.301550925928</v>
      </c>
      <c r="B2134">
        <v>310</v>
      </c>
      <c r="C2134" t="s">
        <v>1474</v>
      </c>
      <c r="D2134" s="3">
        <v>45922</v>
      </c>
      <c r="E2134" s="3">
        <v>46111</v>
      </c>
      <c r="F2134" t="s">
        <v>52</v>
      </c>
      <c r="H2134" t="s">
        <v>22</v>
      </c>
      <c r="I2134" t="s">
        <v>36</v>
      </c>
      <c r="J2134" t="s">
        <v>1490</v>
      </c>
      <c r="K2134" t="s">
        <v>24</v>
      </c>
      <c r="L2134" s="4">
        <v>74</v>
      </c>
      <c r="M2134" t="s">
        <v>1475</v>
      </c>
      <c r="N2134" t="s">
        <v>26</v>
      </c>
      <c r="O2134" s="4">
        <v>5</v>
      </c>
      <c r="P2134">
        <v>0</v>
      </c>
      <c r="Q2134" s="4">
        <v>5</v>
      </c>
      <c r="R2134" s="12">
        <f t="shared" si="33"/>
        <v>370</v>
      </c>
      <c r="T2134" t="s">
        <v>55</v>
      </c>
      <c r="U2134" t="s">
        <v>1476</v>
      </c>
      <c r="V2134" s="4">
        <v>74</v>
      </c>
      <c r="W2134">
        <v>0</v>
      </c>
    </row>
    <row r="2135" spans="1:23" hidden="1" x14ac:dyDescent="0.25">
      <c r="A2135" s="2">
        <v>45923.301550925928</v>
      </c>
      <c r="B2135">
        <v>310</v>
      </c>
      <c r="C2135" t="s">
        <v>1474</v>
      </c>
      <c r="D2135" s="3">
        <v>45922</v>
      </c>
      <c r="E2135" s="3">
        <v>46111</v>
      </c>
      <c r="F2135" t="s">
        <v>52</v>
      </c>
      <c r="H2135" t="s">
        <v>22</v>
      </c>
      <c r="I2135" t="s">
        <v>34</v>
      </c>
      <c r="J2135" t="s">
        <v>1490</v>
      </c>
      <c r="K2135" t="s">
        <v>31</v>
      </c>
      <c r="L2135" s="4">
        <v>25</v>
      </c>
      <c r="M2135" t="s">
        <v>1475</v>
      </c>
      <c r="N2135" t="s">
        <v>26</v>
      </c>
      <c r="O2135" s="4">
        <v>40</v>
      </c>
      <c r="P2135">
        <v>0</v>
      </c>
      <c r="Q2135" s="4">
        <v>40</v>
      </c>
      <c r="R2135" s="12">
        <f t="shared" si="33"/>
        <v>1000</v>
      </c>
      <c r="T2135" t="s">
        <v>55</v>
      </c>
      <c r="U2135" t="s">
        <v>1476</v>
      </c>
      <c r="V2135" s="4">
        <v>25</v>
      </c>
      <c r="W2135">
        <v>0</v>
      </c>
    </row>
    <row r="2136" spans="1:23" hidden="1" x14ac:dyDescent="0.25">
      <c r="A2136" s="2">
        <v>45923.301550925928</v>
      </c>
      <c r="B2136">
        <v>310</v>
      </c>
      <c r="C2136" t="s">
        <v>1474</v>
      </c>
      <c r="D2136" s="3">
        <v>45922</v>
      </c>
      <c r="E2136" s="3">
        <v>46111</v>
      </c>
      <c r="F2136" t="s">
        <v>52</v>
      </c>
      <c r="H2136" t="s">
        <v>22</v>
      </c>
      <c r="I2136" t="s">
        <v>192</v>
      </c>
      <c r="J2136" t="s">
        <v>1490</v>
      </c>
      <c r="K2136" t="s">
        <v>24</v>
      </c>
      <c r="L2136" s="4">
        <v>18</v>
      </c>
      <c r="M2136" t="s">
        <v>1475</v>
      </c>
      <c r="N2136" t="s">
        <v>26</v>
      </c>
      <c r="O2136" s="4">
        <v>80</v>
      </c>
      <c r="P2136">
        <v>0</v>
      </c>
      <c r="Q2136" s="4">
        <v>80</v>
      </c>
      <c r="R2136" s="12">
        <f t="shared" si="33"/>
        <v>1440</v>
      </c>
      <c r="T2136" t="s">
        <v>55</v>
      </c>
      <c r="U2136" t="s">
        <v>1476</v>
      </c>
      <c r="V2136" s="4">
        <v>18</v>
      </c>
      <c r="W2136">
        <v>0</v>
      </c>
    </row>
    <row r="2137" spans="1:23" hidden="1" x14ac:dyDescent="0.25">
      <c r="A2137" s="2">
        <v>45923.301550925928</v>
      </c>
      <c r="B2137">
        <v>310</v>
      </c>
      <c r="C2137" t="s">
        <v>1474</v>
      </c>
      <c r="D2137" s="3">
        <v>45922</v>
      </c>
      <c r="E2137" s="3">
        <v>46111</v>
      </c>
      <c r="F2137" t="s">
        <v>52</v>
      </c>
      <c r="H2137" t="s">
        <v>22</v>
      </c>
      <c r="I2137" t="s">
        <v>35</v>
      </c>
      <c r="J2137" t="s">
        <v>1490</v>
      </c>
      <c r="K2137" t="s">
        <v>24</v>
      </c>
      <c r="L2137" s="4">
        <v>74</v>
      </c>
      <c r="M2137" t="s">
        <v>1475</v>
      </c>
      <c r="N2137" t="s">
        <v>26</v>
      </c>
      <c r="O2137" s="4">
        <v>10</v>
      </c>
      <c r="P2137">
        <v>0</v>
      </c>
      <c r="Q2137" s="4">
        <v>10</v>
      </c>
      <c r="R2137" s="12">
        <f t="shared" si="33"/>
        <v>740</v>
      </c>
      <c r="T2137" t="s">
        <v>55</v>
      </c>
      <c r="U2137" t="s">
        <v>1476</v>
      </c>
      <c r="V2137" s="4">
        <v>74</v>
      </c>
      <c r="W2137">
        <v>0</v>
      </c>
    </row>
    <row r="2138" spans="1:23" hidden="1" x14ac:dyDescent="0.25">
      <c r="A2138" s="2">
        <v>45923.301550925928</v>
      </c>
      <c r="B2138">
        <v>310</v>
      </c>
      <c r="C2138" t="s">
        <v>1474</v>
      </c>
      <c r="D2138" s="3">
        <v>45922</v>
      </c>
      <c r="E2138" s="3">
        <v>46111</v>
      </c>
      <c r="F2138" t="s">
        <v>52</v>
      </c>
      <c r="H2138" t="s">
        <v>22</v>
      </c>
      <c r="I2138" t="s">
        <v>188</v>
      </c>
      <c r="J2138" t="s">
        <v>1490</v>
      </c>
      <c r="K2138" t="s">
        <v>31</v>
      </c>
      <c r="L2138" s="4">
        <v>68</v>
      </c>
      <c r="M2138" t="s">
        <v>1475</v>
      </c>
      <c r="N2138" t="s">
        <v>26</v>
      </c>
      <c r="O2138" s="4">
        <v>20</v>
      </c>
      <c r="P2138">
        <v>0</v>
      </c>
      <c r="Q2138" s="4">
        <v>20</v>
      </c>
      <c r="R2138" s="12">
        <f t="shared" si="33"/>
        <v>1360</v>
      </c>
      <c r="T2138" t="s">
        <v>55</v>
      </c>
      <c r="U2138" t="s">
        <v>1476</v>
      </c>
      <c r="V2138" s="4">
        <v>68</v>
      </c>
      <c r="W2138">
        <v>0</v>
      </c>
    </row>
    <row r="2139" spans="1:23" x14ac:dyDescent="0.25">
      <c r="A2139" s="2">
        <v>45758.555231481485</v>
      </c>
      <c r="B2139">
        <v>3804</v>
      </c>
      <c r="C2139" t="s">
        <v>1477</v>
      </c>
      <c r="D2139" s="3">
        <v>45754</v>
      </c>
      <c r="E2139" s="3">
        <v>46142</v>
      </c>
      <c r="F2139" t="s">
        <v>98</v>
      </c>
      <c r="H2139" t="s">
        <v>22</v>
      </c>
      <c r="I2139" t="s">
        <v>134</v>
      </c>
      <c r="K2139" t="s">
        <v>105</v>
      </c>
      <c r="L2139" s="4">
        <v>1667</v>
      </c>
      <c r="M2139" t="s">
        <v>1478</v>
      </c>
      <c r="N2139" t="s">
        <v>26</v>
      </c>
      <c r="O2139" s="4">
        <v>40</v>
      </c>
      <c r="P2139">
        <v>0</v>
      </c>
      <c r="Q2139" s="4">
        <v>40</v>
      </c>
      <c r="R2139" s="12">
        <f t="shared" si="33"/>
        <v>66680</v>
      </c>
      <c r="T2139" t="s">
        <v>27</v>
      </c>
      <c r="U2139" t="s">
        <v>1479</v>
      </c>
      <c r="V2139" s="4">
        <v>1667</v>
      </c>
      <c r="W2139">
        <v>0</v>
      </c>
    </row>
    <row r="2140" spans="1:23" hidden="1" x14ac:dyDescent="0.25">
      <c r="A2140" s="2">
        <v>46009.321585648147</v>
      </c>
      <c r="B2140">
        <v>4367</v>
      </c>
      <c r="C2140" t="s">
        <v>1480</v>
      </c>
      <c r="D2140" s="3">
        <v>46009</v>
      </c>
      <c r="E2140" s="3">
        <v>46010</v>
      </c>
      <c r="F2140" t="s">
        <v>79</v>
      </c>
      <c r="H2140" t="s">
        <v>22</v>
      </c>
      <c r="I2140" t="s">
        <v>1481</v>
      </c>
      <c r="K2140" t="s">
        <v>31</v>
      </c>
      <c r="L2140" s="4">
        <v>0.816666</v>
      </c>
      <c r="M2140" t="s">
        <v>1482</v>
      </c>
      <c r="N2140" t="s">
        <v>26</v>
      </c>
      <c r="O2140" s="4">
        <v>160260</v>
      </c>
      <c r="P2140">
        <v>0</v>
      </c>
      <c r="Q2140" s="4">
        <v>160260</v>
      </c>
      <c r="R2140" s="12">
        <f t="shared" si="33"/>
        <v>130878.89316000001</v>
      </c>
      <c r="U2140" t="s">
        <v>1483</v>
      </c>
      <c r="V2140" s="4">
        <v>0.816666</v>
      </c>
      <c r="W2140">
        <v>0</v>
      </c>
    </row>
  </sheetData>
  <autoFilter ref="A1:W2140" xr:uid="{00000000-0001-0000-0000-000000000000}">
    <filterColumn colId="5">
      <filters>
        <filter val="DIOGO PEREIRA SILVA"/>
      </filters>
    </filterColumn>
    <filterColumn colId="13">
      <filters>
        <filter val="SAFRA 25/26"/>
      </filters>
    </filterColumn>
  </autoFilter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Planilha1</vt:lpstr>
      <vt:lpstr>Carlos Alves</vt:lpstr>
      <vt:lpstr>Planilha5</vt:lpstr>
      <vt:lpstr>Meta Lallemand Sinop </vt:lpstr>
      <vt:lpstr>Planilha3</vt:lpstr>
      <vt:lpstr>Carteira Pedidos de Venda - 202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Ari Bittar</cp:lastModifiedBy>
  <cp:revision>1</cp:revision>
  <dcterms:created xsi:type="dcterms:W3CDTF">2026-03-16T08:18:16Z</dcterms:created>
  <dcterms:modified xsi:type="dcterms:W3CDTF">2026-03-19T13:09:15Z</dcterms:modified>
</cp:coreProperties>
</file>